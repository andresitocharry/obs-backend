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abio Cerón Niño\Desktop\USB\Fundación Canguro\"/>
    </mc:Choice>
  </mc:AlternateContent>
  <xr:revisionPtr revIDLastSave="0" documentId="13_ncr:1_{BE5A7EB9-1204-4FBD-B0EE-EE15C479A552}" xr6:coauthVersionLast="47" xr6:coauthVersionMax="47" xr10:uidLastSave="{00000000-0000-0000-0000-000000000000}"/>
  <workbookProtection workbookAlgorithmName="SHA-512" workbookHashValue="YODUbI6bwUbbPUj1G4omJua+SX0Ymd4Vj/6MvhjpKfs7jG9y9XS0mqsMNJFXZF36D19+zQy2egtf3klN48UBug==" workbookSaltValue="iNxUlxgnuDA5Hlr/xf/5aA==" workbookSpinCount="100000" lockStructure="1"/>
  <bookViews>
    <workbookView xWindow="-108" yWindow="-108" windowWidth="23256" windowHeight="12456" xr2:uid="{D8606FB3-F7EA-49AA-8BBB-7E64C3F32561}"/>
  </bookViews>
  <sheets>
    <sheet name="INICIO" sheetId="12" r:id="rId1"/>
    <sheet name="FRM_CLINICO" sheetId="19" r:id="rId2"/>
    <sheet name="FRM_SEGUIMIENTO" sheetId="18" state="veryHidden" r:id="rId3"/>
    <sheet name="INDICADORES" sheetId="20" state="veryHidden" r:id="rId4"/>
    <sheet name="ADMINISTRAR" sheetId="21" state="veryHidden" r:id="rId5"/>
    <sheet name="BORRAR_PACIENTE" sheetId="22" state="veryHidden" r:id="rId6"/>
    <sheet name="PARAMETROS" sheetId="13" state="veryHidden" r:id="rId7"/>
    <sheet name="DB_INSTITUCIONES" sheetId="17" state="veryHidden" r:id="rId8"/>
    <sheet name="DB_PACIENTES" sheetId="2" r:id="rId9"/>
    <sheet name="DB_SEGUIMIENTO" sheetId="3" state="veryHidden" r:id="rId10"/>
    <sheet name="DB_TOTAL" sheetId="15" state="veryHidden" r:id="rId11"/>
    <sheet name="LISTAS" sheetId="14" state="veryHidden" r:id="rId12"/>
    <sheet name="DOC" sheetId="16" state="veryHidden" r:id="rId13"/>
    <sheet name="PRUEBAS" sheetId="23" state="veryHidden" r:id="rId14"/>
  </sheets>
  <functionGroups builtInGroupCount="19"/>
  <definedNames>
    <definedName name="_xlnm._FilterDatabase" localSheetId="9" hidden="1">DB_SEGUIMIENTO!#REF!</definedName>
    <definedName name="_xlnm._FilterDatabase" localSheetId="12" hidden="1">DOC!$A$2:$I$199</definedName>
    <definedName name="_xlnm._FilterDatabase" localSheetId="11" hidden="1">LISTAS!$U$2:$X$251</definedName>
    <definedName name="_xlnm._FilterDatabase" localSheetId="6" hidden="1">PARAMETROS!#REF!</definedName>
    <definedName name="ANIOS">LISTAS!$E$39:$E$65</definedName>
    <definedName name="BLK_ALOJAMIENTO" comment="rango del bloque de alojamiento conjunto" localSheetId="2">FRM_SEGUIMIENTO!$A$74:$U$154</definedName>
    <definedName name="BLK_AMBU_12M" comment="rango del bloque de 12 meses de ambulatorio" localSheetId="2">FRM_SEGUIMIENTO!$A$539:$U$590</definedName>
    <definedName name="BLK_AMBU_3M" comment="rango del bloque de 3 meses de ambulatorio" localSheetId="2">FRM_SEGUIMIENTO!$A$410:$U$457</definedName>
    <definedName name="BLK_AMBU_40S" comment="rango del bloque de 40 semanas de ambulatorio" localSheetId="2">FRM_SEGUIMIENTO!$A$342:$U$409</definedName>
    <definedName name="BLK_AMBU_6M" comment="rango del bloque de 6 meses de ambulatorio" localSheetId="2">FRM_SEGUIMIENTO!$A$458:$U$500</definedName>
    <definedName name="BLK_AMBU_9M" comment="rango del bloque de 9 meses de ambulatorio" localSheetId="2">FRM_SEGUIMIENTO!$A$501:$U$538</definedName>
    <definedName name="BLK_AMBU_BASE" comment="rango del bloque de la primera parte de ambulatorio" localSheetId="2">FRM_SEGUIMIENTO!$A$311:$U$341</definedName>
    <definedName name="BLK_CLIN_NAC" comment="rango del bloque de Institución de Nacimiento del Paciente" localSheetId="1">FRM_CLINICO!$A$30:$U$49</definedName>
    <definedName name="BLK_SALA_PARTOS" comment="rango del bloque de sala de partos" localSheetId="2">FRM_SEGUIMIENTO!$A$8:$U$73</definedName>
    <definedName name="BLK_SEG_ID" comment="Rango de bloque de celdas ID de seguimiento" localSheetId="2">FRM_SEGUIMIENTO!$A$1:$U$7</definedName>
    <definedName name="BLK_URN" comment="rango del bloque de URN" localSheetId="2">FRM_SEGUIMIENTO!$A$155:$U$310</definedName>
    <definedName name="CHK_DIAG" comment="rango de celdas de check de diagnostico" localSheetId="2">FRM_SEGUIMIENTO!$K$192:$K$193,FRM_SEGUIMIENTO!$K$195:$K$196,FRM_SEGUIMIENTO!$K$198:$K$199,FRM_SEGUIMIENTO!$K$201:$K$202,FRM_SEGUIMIENTO!$K$204:$K$205,FRM_SEGUIMIENTO!$K$207:$K$208,FRM_SEGUIMIENTO!$O$192:$O$193,FRM_SEGUIMIENTO!$O$195:$O$196,FRM_SEGUIMIENTO!$O$198:$O$199,FRM_SEGUIMIENTO!$O$201:$O$202,FRM_SEGUIMIENTO!$O$204:$O$205,FRM_SEGUIMIENTO!$O$207:$O$208</definedName>
    <definedName name="DATE_CELLS" comment="rango de celdas de formato fecha" localSheetId="1">FRM_CLINICO!$D$56:$J$57,FRM_CLINICO!$D$126:$J$127</definedName>
    <definedName name="DATE_CELLS" comment="rango de celdas de formato fecha" localSheetId="2">FRM_SEGUIMIENTO!$L$65:$R$66,FRM_SEGUIMIENTO!$D$86:$J$87,FRM_SEGUIMIENTO!$D$167:$J$168,FRM_SEGUIMIENTO!$D$282:$J$283,FRM_SEGUIMIENTO!$D$323:$J$324,FRM_SEGUIMIENTO!$L$323:$R$324</definedName>
    <definedName name="DATE_CELLS" localSheetId="13">PRUEBAS!$C$3:$C$12</definedName>
    <definedName name="DEC_CELLS" comment="rango de celdas de formato decimal" localSheetId="1">FRM_CLINICO!$D$46:$J$47,FRM_CLINICO!$D$66:$J$67,FRM_CLINICO!$L$56:$R$57,FRM_CLINICO!$L$61:$R$62,FRM_CLINICO!$L$66:$R$67</definedName>
    <definedName name="DEC_CELLS" comment="rango de celdas de formato decimal" localSheetId="2">FRM_SEGUIMIENTO!$L$30:$R$31,FRM_SEGUIMIENTO!$D$35:$J$36,FRM_SEGUIMIENTO!$L$45:$R$46,FRM_SEGUIMIENTO!$L$91:$R$92,FRM_SEGUIMIENTO!$D$96:$J$97,FRM_SEGUIMIENTO!$L$96:$R$97,FRM_SEGUIMIENTO!$L$116:$R$117,FRM_SEGUIMIENTO!$D$121:$J$122,FRM_SEGUIMIENTO!$L$121:$R$122,FRM_SEGUIMIENTO!$D$131:$J$132,FRM_SEGUIMIENTO!$L$131:$R$132,FRM_SEGUIMIENTO!$D$136:$J$137,FRM_SEGUIMIENTO!$D$172:$J$173,FRM_SEGUIMIENTO!$L$172:$R$173,FRM_SEGUIMIENTO!$D$177:$J$178,FRM_SEGUIMIENTO!$D$222:$J$223,FRM_SEGUIMIENTO!$L$247:$R$248,FRM_SEGUIMIENTO!$L$252:$R$253,FRM_SEGUIMIENTO!$L$282:$R$283,FRM_SEGUIMIENTO!$D$287:$J$288,FRM_SEGUIMIENTO!$L$287:$R$288,FRM_SEGUIMIENTO!$L$328:$R$329,FRM_SEGUIMIENTO!$D$333:$J$334,FRM_SEGUIMIENTO!$L$333:$R$334,FRM_SEGUIMIENTO!$D$351:$J$352,FRM_SEGUIMIENTO!$L$351:$R$352,FRM_SEGUIMIENTO!$L$356:$R$357,FRM_SEGUIMIENTO!$L$386:$R$387,FRM_SEGUIMIENTO!$D$391:$J$392,FRM_SEGUIMIENTO!$L$391:$R$392,FRM_SEGUIMIENTO!$D$419:$J$420,FRM_SEGUIMIENTO!$L$419:$R$420,FRM_SEGUIMIENTO!$D$424:$J$425,FRM_SEGUIMIENTO!$D$467:$J$468,FRM_SEGUIMIENTO!$L$467:$R$468,FRM_SEGUIMIENTO!$D$472:$J$473,FRM_SEGUIMIENTO!$D$510:$J$511,FRM_SEGUIMIENTO!$L$510:$R$511,FRM_SEGUIMIENTO!$D$515:$J$516,FRM_SEGUIMIENTO!$D$548:$J$549,FRM_SEGUIMIENTO!$L$548:$R$549,FRM_SEGUIMIENTO!$D$553:$J$554</definedName>
    <definedName name="DEC_CELLS" localSheetId="13">PRUEBAS!$D$3:$D$12</definedName>
    <definedName name="INT_CELLS" comment="rango de celdas de formato entero" localSheetId="1">FRM_CLINICO!$C$6:$H$7,FRM_CLINICO!$D$21:$J$22,FRM_CLINICO!$D$41:$J$42,FRM_CLINICO!$D$81:$J$82,FRM_CLINICO!$D$86:$J$87,FRM_CLINICO!$L$111:$R$112</definedName>
    <definedName name="INT_CELLS" comment="rango de celdas de formato entero" localSheetId="2">FRM_SEGUIMIENTO!$C$6:$H$7,FRM_SEGUIMIENTO!$D$91:$J$92,FRM_SEGUIMIENTO!$D$106:$J$107,FRM_SEGUIMIENTO!$D$116:$J$117,FRM_SEGUIMIENTO!$D$217:$J$218,FRM_SEGUIMIENTO!$L$217:$R$218,FRM_SEGUIMIENTO!$D$227:$J$228,FRM_SEGUIMIENTO!$D$237:$J$238,FRM_SEGUIMIENTO!$D$247:$J$248,FRM_SEGUIMIENTO!$D$252:$J$253,FRM_SEGUIMIENTO!$D$292:$J$293,FRM_SEGUIMIENTO!$L$292:$R$293,FRM_SEGUIMIENTO!$L$361:$R$362,FRM_SEGUIMIENTO!$D$386:$J$387,FRM_SEGUIMIENTO!$D$401:$J$402,FRM_SEGUIMIENTO!$L$553:$R$554</definedName>
    <definedName name="INT_CELLS" localSheetId="13">PRUEBAS!$E$3:$E$12</definedName>
    <definedName name="lista0">LISTAS!$A$2:$A$3</definedName>
    <definedName name="lista1">LISTAS!$C$2:$C$4</definedName>
    <definedName name="lista10">LISTAS!$C$14:$C$20</definedName>
    <definedName name="lista11">LISTAS!$E$14:$E$20</definedName>
    <definedName name="lista12">LISTAS!$G$14:$G$16</definedName>
    <definedName name="lista13">LISTAS!$I$14:$I$17</definedName>
    <definedName name="lista14">LISTAS!$K$14:$K$18</definedName>
    <definedName name="lista15">LISTAS!$M$14:$M$18</definedName>
    <definedName name="lista16">LISTAS!$O$14:$O$17</definedName>
    <definedName name="lista17">LISTAS!$Q$14:$Q$17</definedName>
    <definedName name="lista18">LISTAS!$A$26:$A$30</definedName>
    <definedName name="lista19">LISTAS!$C$26:$C$29</definedName>
    <definedName name="lista2">LISTAS!$E$2:$E$4</definedName>
    <definedName name="lista20">LISTAS!$E$26:$E$29</definedName>
    <definedName name="lista21">LISTAS!$G$26:$G$30</definedName>
    <definedName name="lista22">LISTAS!$I$26:$I$30</definedName>
    <definedName name="lista23">LISTAS!$K$26:$K$29</definedName>
    <definedName name="lista24">LISTAS!$M$26:$M$33</definedName>
    <definedName name="lista25">LISTAS!$O$26:$O$29</definedName>
    <definedName name="lista26">LISTAS!$Q$26:$Q$28</definedName>
    <definedName name="lista3">LISTAS!$G$2:$G$5</definedName>
    <definedName name="lista4">LISTAS!$I$2:$I$4</definedName>
    <definedName name="lista5">LISTAS!$K$2:$K$6</definedName>
    <definedName name="lista6">LISTAS!$M$2:$M$4</definedName>
    <definedName name="lista7">LISTAS!$O$2:$O$5</definedName>
    <definedName name="lista8">LISTAS!$Q$2:$Q$5</definedName>
    <definedName name="lista9">LISTAS!$A$14:$A$16</definedName>
    <definedName name="MESES">LISTAS!$A$39:$A$50</definedName>
    <definedName name="PAISES">LISTAS!$U$3:$U$251</definedName>
    <definedName name="REQ_CELLS_ALOJ" comment="rango de celdas obligatorias del bloque alojamiento conjunto" localSheetId="2">FRM_SEGUIMIENTO!$D$86:$J$87,FRM_SEGUIMIENTO!$L$86:$R$87,FRM_SEGUIMIENTO!$D$91:$J$92,FRM_SEGUIMIENTO!$L$91:$R$92,FRM_SEGUIMIENTO!$D$131:$J$132,FRM_SEGUIMIENTO!$D$141:$J$142,FRM_SEGUIMIENTO!$D$146:$J$147,FRM_SEGUIMIENTO!$L$136:$R$137,FRM_SEGUIMIENTO!$L$141:$R$142,FRM_SEGUIMIENTO!$L$146:$R$147</definedName>
    <definedName name="REQ_CELLS_AMBU_12M" comment="rango de celdas obligatorias del bloque de 12 meses de ambulatorio" localSheetId="2">FRM_SEGUIMIENTO!$D$548:$J$549,FRM_SEGUIMIENTO!$L$553:$R$554,FRM_SEGUIMIENTO!$D$558:$J$559,FRM_SEGUIMIENTO!$L$558:$R$559,FRM_SEGUIMIENTO!$D$563:$J$564,FRM_SEGUIMIENTO!$L$563:$R$564,FRM_SEGUIMIENTO!$D$568:$J$569,FRM_SEGUIMIENTO!$L$568:$R$569,FRM_SEGUIMIENTO!$D$573:$J$574,FRM_SEGUIMIENTO!$L$573:$R$574,FRM_SEGUIMIENTO!$D$578:$J$579,FRM_SEGUIMIENTO!$L$578:$R$579,FRM_SEGUIMIENTO!$D$583:$J$584,FRM_SEGUIMIENTO!$L$583:$R$584</definedName>
    <definedName name="REQ_CELLS_AMBU_3M" comment="rango de celdas obligatorias del bloque de 3 meses de ambulatorio" localSheetId="2">FRM_SEGUIMIENTO!$D$419:$J$420,FRM_SEGUIMIENTO!$D$429:$J$430,FRM_SEGUIMIENTO!$L$429:$R$430,FRM_SEGUIMIENTO!$D$434:$J$435,FRM_SEGUIMIENTO!$L$434:$R$435,FRM_SEGUIMIENTO!$D$439:$J$440,FRM_SEGUIMIENTO!$L$439:$R$440,FRM_SEGUIMIENTO!$D$444:$J$445,FRM_SEGUIMIENTO!$L$444:$R$445,FRM_SEGUIMIENTO!$D$449:$J$450,FRM_SEGUIMIENTO!$L$449:$R$450</definedName>
    <definedName name="REQ_CELLS_AMBU_40S" comment="rango de celdas obligatorias del bloque de 40 semanas de ambulatorio" localSheetId="2">FRM_SEGUIMIENTO!$D$351:$J$352,FRM_SEGUIMIENTO!$D$356:$J$357,FRM_SEGUIMIENTO!$D$361:$J$362,FRM_SEGUIMIENTO!$L$361:$R$362,FRM_SEGUIMIENTO!$D$366:$J$367,FRM_SEGUIMIENTO!$L$366:$R$367,FRM_SEGUIMIENTO!$D$371:$J$372,FRM_SEGUIMIENTO!$L$371:$R$372,FRM_SEGUIMIENTO!$D$376:$J$377,FRM_SEGUIMIENTO!$L$376:$R$377,FRM_SEGUIMIENTO!$L$386:$R$387</definedName>
    <definedName name="REQ_CELLS_AMBU_6M" comment="rango de celdas obligatorias del bloque de 6 meses de ambulatorio" localSheetId="2">FRM_SEGUIMIENTO!$D$467:$J$468,FRM_SEGUIMIENTO!$L$472:$R$473,FRM_SEGUIMIENTO!$D$477:$J$478,FRM_SEGUIMIENTO!$L$477:$R$478,FRM_SEGUIMIENTO!$D$482:$J$483,FRM_SEGUIMIENTO!$L$482:$R$483,FRM_SEGUIMIENTO!$D$487:$J$488,FRM_SEGUIMIENTO!$L$487:$R$488,FRM_SEGUIMIENTO!$D$492:$J$493</definedName>
    <definedName name="REQ_CELLS_AMBU_9M" comment="rango de celdas obligatorias del bloque de 9 meses de ambulatorio" localSheetId="2">FRM_SEGUIMIENTO!$D$510:$J$511,FRM_SEGUIMIENTO!$L$515:$R$516,FRM_SEGUIMIENTO!$D$520:$J$521,FRM_SEGUIMIENTO!$L$520:$R$521,FRM_SEGUIMIENTO!$D$525:$J$526,FRM_SEGUIMIENTO!$L$525:$R$526,FRM_SEGUIMIENTO!$D$530:$J$531</definedName>
    <definedName name="REQ_CELLS_AMBU_BASE" comment="REQ_CELLS_AMBU_BASE" localSheetId="2">FRM_SEGUIMIENTO!$D$323:$J$324,FRM_SEGUIMIENTO!$L$323:$R$324,FRM_SEGUIMIENTO!$D$328:$J$329,FRM_SEGUIMIENTO!$L$328:$R$329,FRM_SEGUIMIENTO!$D$338:$J$339</definedName>
    <definedName name="REQ_CELLS_CLIN" comment="rango de celdas obligatorias" localSheetId="1">FRM_CLINICO!$C$6:$H$7,FRM_CLINICO!$D$16:$J$17,FRM_CLINICO!$D$21:$J$22,FRM_CLINICO!$L$16:$R$17,FRM_CLINICO!$D$36:$J$37,FRM_CLINICO!$D$41:$J$42,FRM_CLINICO!$D$56:$J$57,FRM_CLINICO!$D$61:$J$62,FRM_CLINICO!$D$66:$J$67,FRM_CLINICO!$L$56:$R$57,FRM_CLINICO!$L$71:$R$72,FRM_CLINICO!$D$81:$J$82,FRM_CLINICO!$D$86:$J$87,FRM_CLINICO!$D$91:$J$92,FRM_CLINICO!$D$96:$J$97,FRM_CLINICO!$L$81:$R$82,FRM_CLINICO!$L$86:$R$87,FRM_CLINICO!$L$91:$R$92,FRM_CLINICO!$L$96:$R$97,FRM_CLINICO!$D$121:$J$122,FRM_CLINICO!$D$126:$J$127,FRM_CLINICO!$D$131:$J$132,FRM_CLINICO!$D$141:$J$142</definedName>
    <definedName name="REQ_CELLS_PRUEBAS" localSheetId="13">PRUEBAS!$F$3:$F$12</definedName>
    <definedName name="REQ_CELLS_SALA" comment="rango de celdas obligatorias del bloque de sala de partos" localSheetId="2">FRM_SEGUIMIENTO!$L$25:$R$26,FRM_SEGUIMIENTO!$D$45:$J$46,FRM_SEGUIMIENTO!$L$45:$R$46,FRM_SEGUIMIENTO!$D$50:$J$51,FRM_SEGUIMIENTO!$D$65:$J$66,FRM_SEGUIMIENTO!$L$65:$R$66</definedName>
    <definedName name="REQ_CELLS_SEG_ID" comment="rango de celdas obligatorias del bloque ID de seguimiento" localSheetId="2">FRM_SEGUIMIENTO!$C$6:$H$7</definedName>
    <definedName name="REQ_CELLS_URN" comment="rango de celdas obligatorias del bloque URN" localSheetId="2">FRM_SEGUIMIENTO!$D$167:$J$168,FRM_SEGUIMIENTO!$D$172:$J$173,FRM_SEGUIMIENTO!$D$187:$J$188,FRM_SEGUIMIENTO!$L$187:$R$188,FRM_SEGUIMIENTO!$D$192:$J$193,FRM_SEGUIMIENTO!$D$217:$J$218,FRM_SEGUIMIENTO!$L$222:$R$223,FRM_SEGUIMIENTO!$D$247:$J$248,FRM_SEGUIMIENTO!$D$252:$J$253,FRM_SEGUIMIENTO!$L$247:$R$248,FRM_SEGUIMIENTO!$L$252:$R$253,FRM_SEGUIMIENTO!$D$262:$J$263,FRM_SEGUIMIENTO!$L$262:$R$263,FRM_SEGUIMIENTO!$D$267:$J$268,FRM_SEGUIMIENTO!$D$272:$J$273,FRM_SEGUIMIENTO!$L$272:$R$273,FRM_SEGUIMIENTO!$D$282:$J$283,FRM_SEGUIMIENTO!$L$282:$R$283,FRM_SEGUIMIENTO!$L$292:$R$293,FRM_SEGUIMIENTO!$D$297:$J$298,FRM_SEGUIMIENTO!$L$297:$R$298,FRM_SEGUIMIENTO!$D$302:$J$303,FRM_SEGUIMIENTO!$L$302:$R$303</definedName>
    <definedName name="SEC_ALOJ_INPUTS" comment="rango de celdas a registrar de alojamiento conjunto en la DB_SEGUIMIENTO" localSheetId="2">FRM_SEGUIMIENTO!$D$86:$J$87,FRM_SEGUIMIENTO!$L$86:$R$87,FRM_SEGUIMIENTO!$D$91:$J$92,FRM_SEGUIMIENTO!$L$91:$R$92,FRM_SEGUIMIENTO!$D$96:$J$97,FRM_SEGUIMIENTO!$L$96:$R$97,FRM_SEGUIMIENTO!$D$106:$J$107,FRM_SEGUIMIENTO!$D$116:$J$117,FRM_SEGUIMIENTO!$L$116:$R$117,FRM_SEGUIMIENTO!$D$121:$J$122,FRM_SEGUIMIENTO!$L$121:$R$122,FRM_SEGUIMIENTO!$D$131:$J$132,FRM_SEGUIMIENTO!$L$131:$R$132,FRM_SEGUIMIENTO!$D$136:$J$137,FRM_SEGUIMIENTO!$D$141:$J$142,FRM_SEGUIMIENTO!$D$146:$J$147,FRM_SEGUIMIENTO!$L$136:$R$137,FRM_SEGUIMIENTO!$L$141:$R$142,FRM_SEGUIMIENTO!$L$146:$R$147</definedName>
    <definedName name="SEC_AMBU_12M_INPUTS" comment="rango de celdas a registrar del bloque de 12 meses de ambulatorio en la DB_SEGUIMIENTO" localSheetId="2">FRM_SEGUIMIENTO!$D$548:$J$549,FRM_SEGUIMIENTO!$L$548:$R$549,FRM_SEGUIMIENTO!$D$553:$J$554,FRM_SEGUIMIENTO!$L$553:$R$554,FRM_SEGUIMIENTO!$D$558:$J$559,FRM_SEGUIMIENTO!$L$558:$R$559,FRM_SEGUIMIENTO!$D$563:$J$564,FRM_SEGUIMIENTO!$L$563:$R$564,FRM_SEGUIMIENTO!$D$568:$J$569,FRM_SEGUIMIENTO!$L$568:$R$569,FRM_SEGUIMIENTO!$D$573:$J$574,FRM_SEGUIMIENTO!$L$573:$R$574,FRM_SEGUIMIENTO!$D$578:$J$579,FRM_SEGUIMIENTO!$L$578:$R$579,FRM_SEGUIMIENTO!$D$583:$J$584,FRM_SEGUIMIENTO!$L$583:$R$584</definedName>
    <definedName name="SEC_AMBU_3M_INPUTS" comment="rango de celdas a registrar del bloque de 3 meses de ambulatorio en la DB_SEGUIMIENTO" localSheetId="2">FRM_SEGUIMIENTO!$D$419:$J$420,FRM_SEGUIMIENTO!$L$419:$R$420,FRM_SEGUIMIENTO!$D$424:$J$425,FRM_SEGUIMIENTO!$L$424:$R$425,FRM_SEGUIMIENTO!$D$429:$J$430,FRM_SEGUIMIENTO!$L$429:$R$430,FRM_SEGUIMIENTO!$D$434:$J$435,FRM_SEGUIMIENTO!$L$434:$R$435,FRM_SEGUIMIENTO!$D$439:$J$440,FRM_SEGUIMIENTO!$L$439:$R$440,FRM_SEGUIMIENTO!$D$444:$J$445,FRM_SEGUIMIENTO!$L$444:$R$445,FRM_SEGUIMIENTO!$D$449:$J$450,FRM_SEGUIMIENTO!$L$449:$R$450</definedName>
    <definedName name="SEC_AMBU_40S_INPUTS" comment="rango de celdas a registrar del bloque de 40 semanas de ambulatorio en la DB_SEGUIMIENTO" localSheetId="2">FRM_SEGUIMIENTO!$D$351:$J$352,FRM_SEGUIMIENTO!$L$351:$R$352,FRM_SEGUIMIENTO!$L$356:$R$357,FRM_SEGUIMIENTO!$D$356:$J$357,FRM_SEGUIMIENTO!$D$361:$J$362,FRM_SEGUIMIENTO!$L$361:$R$362,FRM_SEGUIMIENTO!$D$366:$J$367,FRM_SEGUIMIENTO!$L$366:$R$367,FRM_SEGUIMIENTO!$D$371:$J$372,FRM_SEGUIMIENTO!$L$371:$R$372,FRM_SEGUIMIENTO!$D$376:$J$377,FRM_SEGUIMIENTO!$L$376:$R$377,FRM_SEGUIMIENTO!$D$386:$J$387,FRM_SEGUIMIENTO!$L$386:$R$387,FRM_SEGUIMIENTO!$D$391:$J$392,FRM_SEGUIMIENTO!$L$391:$R$392,FRM_SEGUIMIENTO!$D$401:$J$402,FRM_SEGUIMIENTO!$L$401:$R$402</definedName>
    <definedName name="SEC_AMBU_6M_INPUTS" comment="rango de celdas a registrar del bloque de 6 meses de ambulatorio en la DB_SEGUIMIENTO" localSheetId="2">FRM_SEGUIMIENTO!$D$467:$J$468,FRM_SEGUIMIENTO!$L$467:$R$468,FRM_SEGUIMIENTO!$D$472:$J$473,FRM_SEGUIMIENTO!$L$472:$R$473,FRM_SEGUIMIENTO!$D$477:$J$478,FRM_SEGUIMIENTO!$L$477:$R$478,FRM_SEGUIMIENTO!$D$482:$J$483,FRM_SEGUIMIENTO!$L$482:$R$483,FRM_SEGUIMIENTO!$D$487:$J$488,FRM_SEGUIMIENTO!$L$487:$R$488,FRM_SEGUIMIENTO!$D$492:$J$493</definedName>
    <definedName name="SEC_AMBU_9M_INPUTS" comment="rango de celdas a registrar del bloque de 9 meses de ambulatorio en la DB_SEGUIMIENTO" localSheetId="2">FRM_SEGUIMIENTO!$D$510:$J$511,FRM_SEGUIMIENTO!$L$510:$R$511,FRM_SEGUIMIENTO!$D$515:$J$516,FRM_SEGUIMIENTO!$L$515:$R$516,FRM_SEGUIMIENTO!$D$520:$J$521,FRM_SEGUIMIENTO!$L$520:$R$521,FRM_SEGUIMIENTO!$D$525:$J$526,FRM_SEGUIMIENTO!$L$525:$R$526,FRM_SEGUIMIENTO!$D$530:$J$531</definedName>
    <definedName name="SEC_AMBU_BASE_INPUTS" comment="rango de celdas a registrar de la primera parte de ambulatorio en la DB_SEGUIMIENTO" localSheetId="2">FRM_SEGUIMIENTO!$D$323:$J$324,FRM_SEGUIMIENTO!$L$323:$R$324,FRM_SEGUIMIENTO!$D$328:$J$329,FRM_SEGUIMIENTO!$L$328:$R$329,FRM_SEGUIMIENTO!$D$333:$J$334,FRM_SEGUIMIENTO!$L$333:$R$334,FRM_SEGUIMIENTO!$D$338:$J$339</definedName>
    <definedName name="SEC_CLIN_INPUTS" comment="rango de celdas a registrar en la DB_PACIENTES" localSheetId="1">FRM_CLINICO!$C$6:$H$7,FRM_CLINICO!$J$6:$M$7,FRM_CLINICO!$D$16:$J$17,FRM_CLINICO!$D$21:$J$22,FRM_CLINICO!$D$26:$J$27,FRM_CLINICO!$L$16:$R$17,FRM_CLINICO!$D$36:$J$37,FRM_CLINICO!$D$41:$J$42,FRM_CLINICO!$L$41:$R$42,FRM_CLINICO!$L$36:$R$37,FRM_CLINICO!$D$46:$J$47,FRM_CLINICO!$D$56:$J$57,FRM_CLINICO!$D$61:$J$62,FRM_CLINICO!$D$66:$J$67,FRM_CLINICO!$L$56:$R$57,FRM_CLINICO!$L$61:$R$62,FRM_CLINICO!$L$66:$R$67,FRM_CLINICO!$L$71:$R$72,FRM_CLINICO!$D$81:$J$82,FRM_CLINICO!$D$86:$J$87,FRM_CLINICO!$D$91:$J$92,FRM_CLINICO!$D$96:$J$97,FRM_CLINICO!$L$81:$R$82,FRM_CLINICO!$L$86:$R$87,FRM_CLINICO!$L$91:$R$92,FRM_CLINICO!$L$96:$R$97,FRM_CLINICO!$D$106:$J$107,FRM_CLINICO!$D$111:$J$112,FRM_CLINICO!$L$111:$R$112,FRM_CLINICO!$D$121:$J$122,FRM_CLINICO!$D$126:$J$127,FRM_CLINICO!$D$131:$J$132,FRM_CLINICO!$D$141:$J$142</definedName>
    <definedName name="SEC_SALA_INPUTS" comment="rango de celdas a registrar de sala de partos en la DB_SEGUIMIENTO" localSheetId="2">FRM_SEGUIMIENTO!$D$20:$J$21,FRM_SEGUIMIENTO!$L$20:$R$21,FRM_SEGUIMIENTO!$D$25:$J$26,FRM_SEGUIMIENTO!$D$30:$J$31,FRM_SEGUIMIENTO!$L$25:$R$26,FRM_SEGUIMIENTO!$L$30:$R$31,FRM_SEGUIMIENTO!$D$35:$J$36,FRM_SEGUIMIENTO!$D$45:$J$46,FRM_SEGUIMIENTO!$L$45:$R$46,FRM_SEGUIMIENTO!$D$50:$J$51,FRM_SEGUIMIENTO!$L$50:$R$51,FRM_SEGUIMIENTO!$D$55:$J$56,FRM_SEGUIMIENTO!$D$65:$J$66,FRM_SEGUIMIENTO!$L$65:$R$66</definedName>
    <definedName name="SEC_SEG_ID_INPUTS" comment="rango de celdas a registrar de ID en la DB_SEGUIMIENTO" localSheetId="2">FRM_SEGUIMIENTO!$C$6:$H$7,FRM_SEGUIMIENTO!$J$6:$M$7</definedName>
    <definedName name="SEC_URN_INPUTS" comment="rango de celdas a registrar de URN en la DB_SEGUIMIENTO" localSheetId="2">FRM_SEGUIMIENTO!$D$167:$J$168,FRM_SEGUIMIENTO!$L$167:$R$168,FRM_SEGUIMIENTO!$D$172:$J$173,FRM_SEGUIMIENTO!$L$172:$R$173,FRM_SEGUIMIENTO!$D$177:$J$178,FRM_SEGUIMIENTO!$D$187:$J$188,FRM_SEGUIMIENTO!$L$187:$R$188,FRM_SEGUIMIENTO!$D$192:$J$193,FRM_SEGUIMIENTO!$K$192:$K$193,FRM_SEGUIMIENTO!$K$195:$K$196,FRM_SEGUIMIENTO!$K$198:$K$199,FRM_SEGUIMIENTO!$K$201:$K$202,FRM_SEGUIMIENTO!$K$204:$K$205,FRM_SEGUIMIENTO!$K$207:$K$208,FRM_SEGUIMIENTO!$O$192:$O$193,FRM_SEGUIMIENTO!$O$195:$O$196,FRM_SEGUIMIENTO!$O$198:$O$199,FRM_SEGUIMIENTO!$O$201:$O$202,FRM_SEGUIMIENTO!$O$204:$O$205,FRM_SEGUIMIENTO!$O$207:$O$208,FRM_SEGUIMIENTO!$D$207:$J$208,FRM_SEGUIMIENTO!$D$217:$J$218,FRM_SEGUIMIENTO!$L$217:$R$218,FRM_SEGUIMIENTO!$D$222:$J$223,FRM_SEGUIMIENTO!$D$227:$J$228,FRM_SEGUIMIENTO!$L$222:$R$223,FRM_SEGUIMIENTO!$D$237:$J$238,FRM_SEGUIMIENTO!$D$247:$J$248,FRM_SEGUIMIENTO!$D$252:$J$253,FRM_SEGUIMIENTO!$L$247:$R$248,FRM_SEGUIMIENTO!$L$252:$R$253,FRM_SEGUIMIENTO!$D$262:$J$263,FRM_SEGUIMIENTO!$L$262:$R$263,FRM_SEGUIMIENTO!$D$267:$J$268,FRM_SEGUIMIENTO!$D$272:$J$273,FRM_SEGUIMIENTO!$L$272:$R$273,FRM_SEGUIMIENTO!$D$282:$J$283,FRM_SEGUIMIENTO!$L$282:$R$283,FRM_SEGUIMIENTO!$D$287:$J$288,FRM_SEGUIMIENTO!$L$287:$R$288,FRM_SEGUIMIENTO!$L$292:$R$293,FRM_SEGUIMIENTO!$D$297:$J$298,FRM_SEGUIMIENTO!$L$297:$R$298,FRM_SEGUIMIENTO!$D$302:$J$303,FRM_SEGUIMIENTO!$L$302:$R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7" l="1"/>
  <c r="D11" i="22"/>
  <c r="D19" i="19"/>
  <c r="EH1" i="3"/>
  <c r="DW1" i="3"/>
  <c r="CW1" i="3"/>
  <c r="CU1" i="3"/>
  <c r="CR1" i="3"/>
  <c r="N1" i="3"/>
  <c r="F1" i="3"/>
  <c r="FB1" i="3"/>
  <c r="FA1" i="3"/>
  <c r="EZ1" i="3"/>
  <c r="EY1" i="3"/>
  <c r="EX1" i="3"/>
  <c r="EW1" i="3"/>
  <c r="EV1" i="3"/>
  <c r="EU1" i="3"/>
  <c r="ET1" i="3"/>
  <c r="ES1" i="3"/>
  <c r="ER1" i="3"/>
  <c r="EQ1" i="3"/>
  <c r="EP1" i="3"/>
  <c r="EO1" i="3"/>
  <c r="EN1" i="3"/>
  <c r="EM1" i="3"/>
  <c r="EL1" i="3"/>
  <c r="EK1" i="3"/>
  <c r="EJ1" i="3"/>
  <c r="EI1" i="3"/>
  <c r="EG1" i="3"/>
  <c r="EF1" i="3"/>
  <c r="EE1" i="3"/>
  <c r="ED1" i="3"/>
  <c r="EC1" i="3"/>
  <c r="EB1" i="3"/>
  <c r="EA1" i="3"/>
  <c r="DZ1" i="3"/>
  <c r="DY1" i="3"/>
  <c r="DX1" i="3"/>
  <c r="DV1" i="3"/>
  <c r="DU1" i="3"/>
  <c r="DT1" i="3"/>
  <c r="DS1" i="3"/>
  <c r="DR1" i="3"/>
  <c r="DQ1" i="3"/>
  <c r="DP1" i="3"/>
  <c r="DO1" i="3"/>
  <c r="DN1" i="3"/>
  <c r="DM1" i="3"/>
  <c r="DL1" i="3"/>
  <c r="DK1" i="3"/>
  <c r="DJ1" i="3"/>
  <c r="DI1" i="3"/>
  <c r="DH1" i="3"/>
  <c r="DG1" i="3"/>
  <c r="DF1" i="3"/>
  <c r="DE1" i="3"/>
  <c r="DD1" i="3"/>
  <c r="DC1" i="3"/>
  <c r="DB1" i="3"/>
  <c r="DA1" i="3"/>
  <c r="CZ1" i="3"/>
  <c r="CY1" i="3"/>
  <c r="CX1" i="3"/>
  <c r="CV1" i="3"/>
  <c r="CT1" i="3"/>
  <c r="CS1" i="3"/>
  <c r="CQ1" i="3"/>
  <c r="CP1" i="3"/>
  <c r="CO1" i="3"/>
  <c r="CN1" i="3"/>
  <c r="CM1" i="3"/>
  <c r="CL1" i="3"/>
  <c r="CK1" i="3"/>
  <c r="CJ1" i="3"/>
  <c r="CI1" i="3"/>
  <c r="CH1" i="3"/>
  <c r="CG1" i="3"/>
  <c r="CF1" i="3"/>
  <c r="CE1" i="3"/>
  <c r="CD1" i="3"/>
  <c r="CC1" i="3"/>
  <c r="CB1" i="3"/>
  <c r="CA1" i="3"/>
  <c r="BZ1" i="3"/>
  <c r="BY1" i="3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M1" i="3"/>
  <c r="L1" i="3"/>
  <c r="K1" i="3"/>
  <c r="J1" i="3"/>
  <c r="I1" i="3"/>
  <c r="H1" i="3"/>
  <c r="G1" i="3"/>
  <c r="E1" i="3"/>
  <c r="D1" i="3"/>
  <c r="C1" i="3"/>
  <c r="B1" i="3"/>
  <c r="A1" i="3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  <c r="L581" i="18"/>
  <c r="D581" i="18"/>
  <c r="L576" i="18"/>
  <c r="D576" i="18"/>
  <c r="L571" i="18"/>
  <c r="D571" i="18"/>
  <c r="L566" i="18"/>
  <c r="D566" i="18"/>
  <c r="L561" i="18"/>
  <c r="D561" i="18"/>
  <c r="L556" i="18"/>
  <c r="D556" i="18"/>
  <c r="L551" i="18"/>
  <c r="D551" i="18"/>
  <c r="L546" i="18"/>
  <c r="D546" i="18"/>
  <c r="D544" i="18"/>
  <c r="D528" i="18"/>
  <c r="L523" i="18"/>
  <c r="D523" i="18"/>
  <c r="L518" i="18"/>
  <c r="D518" i="18"/>
  <c r="L513" i="18"/>
  <c r="D513" i="18"/>
  <c r="L508" i="18"/>
  <c r="D508" i="18"/>
  <c r="D506" i="18"/>
  <c r="D490" i="18"/>
  <c r="L485" i="18"/>
  <c r="D485" i="18"/>
  <c r="L480" i="18"/>
  <c r="D480" i="18"/>
  <c r="L475" i="18"/>
  <c r="D475" i="18"/>
  <c r="L470" i="18"/>
  <c r="D470" i="18"/>
  <c r="L465" i="18" l="1"/>
  <c r="D465" i="18"/>
  <c r="D463" i="18"/>
  <c r="L447" i="18"/>
  <c r="D447" i="18"/>
  <c r="L442" i="18"/>
  <c r="D442" i="18"/>
  <c r="L437" i="18"/>
  <c r="D437" i="18"/>
  <c r="L432" i="18"/>
  <c r="D432" i="18"/>
  <c r="L427" i="18"/>
  <c r="D427" i="18"/>
  <c r="L422" i="18"/>
  <c r="D422" i="18"/>
  <c r="L417" i="18"/>
  <c r="D417" i="18"/>
  <c r="D415" i="18"/>
  <c r="L399" i="18"/>
  <c r="D399" i="18"/>
  <c r="D397" i="18"/>
  <c r="L389" i="18"/>
  <c r="L384" i="18"/>
  <c r="D389" i="18"/>
  <c r="D384" i="18"/>
  <c r="D382" i="18"/>
  <c r="L374" i="18"/>
  <c r="D374" i="18"/>
  <c r="L369" i="18"/>
  <c r="D369" i="18"/>
  <c r="L364" i="18"/>
  <c r="D364" i="18"/>
  <c r="L359" i="18"/>
  <c r="D359" i="18"/>
  <c r="L354" i="18"/>
  <c r="D354" i="18"/>
  <c r="L349" i="18"/>
  <c r="D349" i="18"/>
  <c r="D347" i="18"/>
  <c r="D336" i="18"/>
  <c r="L331" i="18"/>
  <c r="D331" i="18"/>
  <c r="L326" i="18"/>
  <c r="D326" i="18"/>
  <c r="L321" i="18"/>
  <c r="D321" i="18"/>
  <c r="D319" i="18"/>
  <c r="D316" i="18"/>
  <c r="L300" i="18"/>
  <c r="D300" i="18"/>
  <c r="L295" i="18"/>
  <c r="D295" i="18"/>
  <c r="L290" i="18"/>
  <c r="D290" i="18"/>
  <c r="L285" i="18"/>
  <c r="D285" i="18"/>
  <c r="L280" i="18"/>
  <c r="D280" i="18"/>
  <c r="D278" i="18"/>
  <c r="L270" i="18"/>
  <c r="D270" i="18"/>
  <c r="D265" i="18"/>
  <c r="L260" i="18"/>
  <c r="D260" i="18"/>
  <c r="D258" i="18"/>
  <c r="L250" i="18"/>
  <c r="D250" i="18"/>
  <c r="L245" i="18"/>
  <c r="D245" i="18"/>
  <c r="D243" i="18"/>
  <c r="D235" i="18"/>
  <c r="D233" i="18"/>
  <c r="D225" i="18"/>
  <c r="L220" i="18" l="1"/>
  <c r="D220" i="18" l="1"/>
  <c r="L215" i="18"/>
  <c r="D215" i="18"/>
  <c r="D213" i="18"/>
  <c r="D204" i="18"/>
  <c r="P207" i="18"/>
  <c r="P204" i="18"/>
  <c r="P201" i="18"/>
  <c r="P198" i="18"/>
  <c r="P195" i="18"/>
  <c r="P192" i="18"/>
  <c r="L207" i="18"/>
  <c r="L204" i="18"/>
  <c r="L201" i="18"/>
  <c r="L198" i="18"/>
  <c r="L195" i="18"/>
  <c r="L192" i="18"/>
  <c r="D190" i="18"/>
  <c r="L185" i="18"/>
  <c r="D185" i="18"/>
  <c r="D183" i="18"/>
  <c r="D175" i="18"/>
  <c r="L170" i="18"/>
  <c r="D165" i="18"/>
  <c r="D170" i="18"/>
  <c r="L165" i="18"/>
  <c r="D163" i="18"/>
  <c r="D160" i="18"/>
  <c r="L144" i="18"/>
  <c r="D144" i="18"/>
  <c r="L139" i="18"/>
  <c r="D139" i="18"/>
  <c r="L134" i="18"/>
  <c r="D134" i="18"/>
  <c r="L129" i="18"/>
  <c r="D129" i="18"/>
  <c r="D127" i="18"/>
  <c r="L119" i="18"/>
  <c r="L114" i="18"/>
  <c r="D119" i="18"/>
  <c r="D114" i="18"/>
  <c r="D112" i="18"/>
  <c r="D104" i="18"/>
  <c r="D102" i="18"/>
  <c r="L94" i="18"/>
  <c r="D94" i="18"/>
  <c r="L89" i="18"/>
  <c r="D89" i="18"/>
  <c r="L84" i="18"/>
  <c r="D84" i="18"/>
  <c r="D82" i="18"/>
  <c r="D79" i="18"/>
  <c r="L63" i="18"/>
  <c r="D63" i="18"/>
  <c r="D61" i="18"/>
  <c r="D53" i="18"/>
  <c r="L48" i="18"/>
  <c r="D48" i="18"/>
  <c r="L43" i="18"/>
  <c r="D43" i="18"/>
  <c r="D41" i="18"/>
  <c r="D33" i="18"/>
  <c r="L28" i="18"/>
  <c r="D28" i="18"/>
  <c r="L23" i="18"/>
  <c r="D23" i="18"/>
  <c r="L18" i="18"/>
  <c r="D18" i="18"/>
  <c r="D16" i="18"/>
  <c r="D13" i="18"/>
  <c r="J4" i="18"/>
  <c r="C4" i="18"/>
  <c r="C1" i="18"/>
  <c r="D139" i="19"/>
  <c r="D137" i="19"/>
  <c r="D129" i="19"/>
  <c r="D124" i="19"/>
  <c r="D119" i="19"/>
  <c r="D117" i="19"/>
  <c r="L109" i="19"/>
  <c r="D109" i="19"/>
  <c r="D104" i="19"/>
  <c r="D102" i="19"/>
  <c r="L94" i="19"/>
  <c r="L89" i="19"/>
  <c r="L84" i="19"/>
  <c r="L79" i="19"/>
  <c r="D94" i="19"/>
  <c r="D89" i="19"/>
  <c r="D84" i="19"/>
  <c r="D79" i="19"/>
  <c r="D77" i="19"/>
  <c r="L69" i="19"/>
  <c r="L64" i="19"/>
  <c r="L59" i="19"/>
  <c r="L54" i="19"/>
  <c r="D64" i="19"/>
  <c r="D59" i="19"/>
  <c r="D54" i="19"/>
  <c r="D52" i="19"/>
  <c r="L34" i="19"/>
  <c r="L39" i="19"/>
  <c r="D44" i="19"/>
  <c r="D39" i="19"/>
  <c r="D34" i="19"/>
  <c r="C1" i="19"/>
  <c r="L14" i="19"/>
  <c r="D24" i="19"/>
  <c r="D14" i="19"/>
  <c r="J4" i="19"/>
  <c r="C4" i="19"/>
  <c r="D32" i="19"/>
  <c r="D12" i="19"/>
  <c r="B19" i="20"/>
  <c r="B45" i="20"/>
  <c r="B46" i="20"/>
  <c r="B47" i="20"/>
  <c r="B44" i="20"/>
  <c r="B34" i="20"/>
  <c r="B26" i="20"/>
  <c r="B22" i="20"/>
  <c r="B9" i="20"/>
  <c r="B56" i="20"/>
  <c r="B55" i="20"/>
  <c r="B54" i="20"/>
  <c r="B53" i="20"/>
  <c r="B52" i="20"/>
  <c r="B51" i="20"/>
  <c r="B50" i="20"/>
  <c r="B49" i="20"/>
  <c r="B48" i="20"/>
  <c r="B43" i="20"/>
  <c r="B42" i="20"/>
  <c r="B41" i="20"/>
  <c r="B40" i="20"/>
  <c r="B39" i="20"/>
  <c r="B38" i="20"/>
  <c r="B37" i="20"/>
  <c r="B36" i="20"/>
  <c r="B35" i="20"/>
  <c r="B33" i="20"/>
  <c r="B32" i="20"/>
  <c r="B31" i="20"/>
  <c r="B30" i="20"/>
  <c r="B29" i="20"/>
  <c r="B28" i="20"/>
  <c r="B27" i="20"/>
  <c r="B25" i="20"/>
  <c r="B24" i="20"/>
  <c r="B23" i="20"/>
  <c r="B21" i="20"/>
  <c r="B20" i="20"/>
  <c r="B18" i="20"/>
  <c r="B17" i="20"/>
  <c r="B16" i="20"/>
  <c r="B15" i="20"/>
  <c r="B14" i="20"/>
  <c r="B13" i="20"/>
  <c r="B12" i="20"/>
  <c r="B11" i="20"/>
  <c r="B10" i="20"/>
  <c r="B8" i="20"/>
  <c r="B7" i="20"/>
  <c r="E40" i="14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A50" i="14"/>
  <c r="A49" i="14"/>
  <c r="A48" i="14"/>
  <c r="A47" i="14"/>
  <c r="A46" i="14"/>
  <c r="A45" i="14"/>
  <c r="A44" i="14"/>
  <c r="A43" i="14"/>
  <c r="A42" i="14"/>
  <c r="A41" i="14"/>
  <c r="A40" i="14"/>
  <c r="A39" i="14"/>
  <c r="E3" i="20" l="1"/>
  <c r="E5" i="20" s="1"/>
  <c r="G3" i="20"/>
  <c r="G4" i="20" s="1"/>
  <c r="F3" i="20"/>
  <c r="F5" i="20" s="1"/>
  <c r="C3" i="20"/>
  <c r="C5" i="20" s="1"/>
  <c r="D3" i="20"/>
  <c r="D4" i="20" s="1"/>
  <c r="D292" i="18"/>
  <c r="E4" i="20" l="1"/>
  <c r="E36" i="20" s="1"/>
  <c r="G5" i="20"/>
  <c r="G24" i="20" s="1"/>
  <c r="C4" i="20"/>
  <c r="C19" i="20" s="1"/>
  <c r="D5" i="20"/>
  <c r="D54" i="20" s="1"/>
  <c r="F4" i="20"/>
  <c r="F26" i="20" s="1"/>
  <c r="D51" i="20"/>
  <c r="D32" i="20"/>
  <c r="D50" i="20"/>
  <c r="D42" i="20"/>
  <c r="D34" i="20"/>
  <c r="D17" i="20"/>
  <c r="D9" i="20"/>
  <c r="D55" i="20"/>
  <c r="D15" i="20"/>
  <c r="D7" i="20"/>
  <c r="D13" i="20"/>
  <c r="C7" i="20"/>
  <c r="C54" i="20"/>
  <c r="C34" i="20"/>
  <c r="C29" i="20"/>
  <c r="C24" i="20"/>
  <c r="C15" i="20"/>
  <c r="C51" i="20"/>
  <c r="C39" i="20"/>
  <c r="C26" i="20"/>
  <c r="C22" i="20"/>
  <c r="C16" i="20"/>
  <c r="C14" i="20"/>
  <c r="C46" i="20"/>
  <c r="C37" i="20"/>
  <c r="C56" i="20"/>
  <c r="C50" i="20"/>
  <c r="C21" i="20"/>
  <c r="C13" i="20"/>
  <c r="C9" i="20"/>
  <c r="C10" i="20"/>
  <c r="C30" i="20"/>
  <c r="C53" i="20"/>
  <c r="C49" i="20"/>
  <c r="C44" i="20"/>
  <c r="C41" i="20"/>
  <c r="C18" i="20"/>
  <c r="C11" i="20"/>
  <c r="C31" i="20"/>
  <c r="C12" i="20"/>
  <c r="C48" i="20"/>
  <c r="C38" i="20"/>
  <c r="C36" i="20"/>
  <c r="C33" i="20"/>
  <c r="C8" i="20"/>
  <c r="C52" i="20"/>
  <c r="C27" i="20"/>
  <c r="C25" i="20"/>
  <c r="C55" i="20"/>
  <c r="C47" i="20"/>
  <c r="C43" i="20"/>
  <c r="C35" i="20"/>
  <c r="C32" i="20"/>
  <c r="C28" i="20"/>
  <c r="C20" i="20"/>
  <c r="C40" i="20"/>
  <c r="C17" i="20"/>
  <c r="C45" i="20"/>
  <c r="U251" i="14"/>
  <c r="U250" i="14"/>
  <c r="U249" i="14"/>
  <c r="U248" i="14"/>
  <c r="U247" i="14"/>
  <c r="U246" i="14"/>
  <c r="U245" i="14"/>
  <c r="U244" i="14"/>
  <c r="U243" i="14"/>
  <c r="U242" i="14"/>
  <c r="U241" i="14"/>
  <c r="U240" i="14"/>
  <c r="U239" i="14"/>
  <c r="U238" i="14"/>
  <c r="U237" i="14"/>
  <c r="U236" i="14"/>
  <c r="U235" i="14"/>
  <c r="U234" i="14"/>
  <c r="U233" i="14"/>
  <c r="U232" i="14"/>
  <c r="U231" i="14"/>
  <c r="U230" i="14"/>
  <c r="U229" i="14"/>
  <c r="U228" i="14"/>
  <c r="U227" i="14"/>
  <c r="U226" i="14"/>
  <c r="U225" i="14"/>
  <c r="U224" i="14"/>
  <c r="U223" i="14"/>
  <c r="U222" i="14"/>
  <c r="U221" i="14"/>
  <c r="U220" i="14"/>
  <c r="U219" i="14"/>
  <c r="U218" i="14"/>
  <c r="U217" i="14"/>
  <c r="U216" i="14"/>
  <c r="U215" i="14"/>
  <c r="U214" i="14"/>
  <c r="U213" i="14"/>
  <c r="U212" i="14"/>
  <c r="U211" i="14"/>
  <c r="U210" i="14"/>
  <c r="U209" i="14"/>
  <c r="U208" i="14"/>
  <c r="U207" i="14"/>
  <c r="U206" i="14"/>
  <c r="U205" i="14"/>
  <c r="U204" i="14"/>
  <c r="U203" i="14"/>
  <c r="U202" i="14"/>
  <c r="U201" i="14"/>
  <c r="U200" i="14"/>
  <c r="U199" i="14"/>
  <c r="U198" i="14"/>
  <c r="U197" i="14"/>
  <c r="U196" i="14"/>
  <c r="U195" i="14"/>
  <c r="U194" i="14"/>
  <c r="U193" i="14"/>
  <c r="U192" i="14"/>
  <c r="U191" i="14"/>
  <c r="U190" i="14"/>
  <c r="U189" i="14"/>
  <c r="U188" i="14"/>
  <c r="U187" i="14"/>
  <c r="U186" i="14"/>
  <c r="U185" i="14"/>
  <c r="U184" i="14"/>
  <c r="U183" i="14"/>
  <c r="U182" i="14"/>
  <c r="U181" i="14"/>
  <c r="U180" i="14"/>
  <c r="U179" i="14"/>
  <c r="U178" i="14"/>
  <c r="U177" i="14"/>
  <c r="U176" i="14"/>
  <c r="U175" i="14"/>
  <c r="U174" i="14"/>
  <c r="U173" i="14"/>
  <c r="U172" i="14"/>
  <c r="U171" i="14"/>
  <c r="U170" i="14"/>
  <c r="U169" i="14"/>
  <c r="U168" i="14"/>
  <c r="U167" i="14"/>
  <c r="U166" i="14"/>
  <c r="U165" i="14"/>
  <c r="U164" i="14"/>
  <c r="U163" i="14"/>
  <c r="U162" i="14"/>
  <c r="U161" i="14"/>
  <c r="U160" i="14"/>
  <c r="U159" i="14"/>
  <c r="U158" i="14"/>
  <c r="U157" i="14"/>
  <c r="U156" i="14"/>
  <c r="U155" i="14"/>
  <c r="U154" i="14"/>
  <c r="U153" i="14"/>
  <c r="U152" i="14"/>
  <c r="U151" i="14"/>
  <c r="U150" i="14"/>
  <c r="U149" i="14"/>
  <c r="U148" i="14"/>
  <c r="U147" i="14"/>
  <c r="U146" i="14"/>
  <c r="U145" i="14"/>
  <c r="U144" i="14"/>
  <c r="U143" i="14"/>
  <c r="U142" i="14"/>
  <c r="U141" i="14"/>
  <c r="U140" i="14"/>
  <c r="U139" i="14"/>
  <c r="U138" i="14"/>
  <c r="U137" i="14"/>
  <c r="U136" i="14"/>
  <c r="U135" i="14"/>
  <c r="U134" i="14"/>
  <c r="U133" i="14"/>
  <c r="U132" i="14"/>
  <c r="U131" i="14"/>
  <c r="U130" i="14"/>
  <c r="U129" i="14"/>
  <c r="U128" i="14"/>
  <c r="U127" i="14"/>
  <c r="U126" i="14"/>
  <c r="U125" i="14"/>
  <c r="U124" i="14"/>
  <c r="U123" i="14"/>
  <c r="U122" i="14"/>
  <c r="U121" i="14"/>
  <c r="U120" i="14"/>
  <c r="U119" i="14"/>
  <c r="U118" i="14"/>
  <c r="U117" i="14"/>
  <c r="U116" i="14"/>
  <c r="U115" i="14"/>
  <c r="U114" i="14"/>
  <c r="U113" i="14"/>
  <c r="U112" i="14"/>
  <c r="U111" i="14"/>
  <c r="U110" i="14"/>
  <c r="U109" i="14"/>
  <c r="U108" i="14"/>
  <c r="U107" i="14"/>
  <c r="U106" i="14"/>
  <c r="U105" i="14"/>
  <c r="U104" i="14"/>
  <c r="U103" i="14"/>
  <c r="U102" i="14"/>
  <c r="U101" i="14"/>
  <c r="U100" i="14"/>
  <c r="U99" i="14"/>
  <c r="U98" i="14"/>
  <c r="U97" i="14"/>
  <c r="U96" i="14"/>
  <c r="U95" i="14"/>
  <c r="U94" i="14"/>
  <c r="U93" i="14"/>
  <c r="U92" i="14"/>
  <c r="U91" i="14"/>
  <c r="U90" i="14"/>
  <c r="U89" i="14"/>
  <c r="U88" i="14"/>
  <c r="U87" i="14"/>
  <c r="U86" i="14"/>
  <c r="U85" i="14"/>
  <c r="U84" i="14"/>
  <c r="U83" i="14"/>
  <c r="U82" i="14"/>
  <c r="U81" i="14"/>
  <c r="U80" i="14"/>
  <c r="U79" i="14"/>
  <c r="U78" i="14"/>
  <c r="U77" i="14"/>
  <c r="U76" i="14"/>
  <c r="U75" i="14"/>
  <c r="U74" i="14"/>
  <c r="U73" i="14"/>
  <c r="U72" i="14"/>
  <c r="U71" i="14"/>
  <c r="U70" i="14"/>
  <c r="U69" i="14"/>
  <c r="U68" i="14"/>
  <c r="U67" i="14"/>
  <c r="U66" i="14"/>
  <c r="U65" i="14"/>
  <c r="U64" i="14"/>
  <c r="U63" i="14"/>
  <c r="U62" i="14"/>
  <c r="U61" i="14"/>
  <c r="U60" i="14"/>
  <c r="U59" i="14"/>
  <c r="U58" i="14"/>
  <c r="U57" i="14"/>
  <c r="U56" i="14"/>
  <c r="U55" i="14"/>
  <c r="U54" i="14"/>
  <c r="U53" i="14"/>
  <c r="U52" i="14"/>
  <c r="U51" i="14"/>
  <c r="U50" i="14"/>
  <c r="U49" i="14"/>
  <c r="U48" i="14"/>
  <c r="U47" i="14"/>
  <c r="U46" i="14"/>
  <c r="U45" i="14"/>
  <c r="U44" i="14"/>
  <c r="U43" i="14"/>
  <c r="U42" i="14"/>
  <c r="U41" i="14"/>
  <c r="U40" i="14"/>
  <c r="U39" i="14"/>
  <c r="U38" i="14"/>
  <c r="U37" i="14"/>
  <c r="U36" i="14"/>
  <c r="U35" i="14"/>
  <c r="U34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U18" i="14"/>
  <c r="U17" i="14"/>
  <c r="U16" i="14"/>
  <c r="U15" i="14"/>
  <c r="U14" i="14"/>
  <c r="U13" i="14"/>
  <c r="U12" i="14"/>
  <c r="U11" i="14"/>
  <c r="U10" i="14"/>
  <c r="U9" i="14"/>
  <c r="U8" i="14"/>
  <c r="U7" i="14"/>
  <c r="U6" i="14"/>
  <c r="U5" i="14"/>
  <c r="U4" i="14"/>
  <c r="U3" i="14"/>
  <c r="B5" i="17"/>
  <c r="E6" i="17"/>
  <c r="B6" i="17"/>
  <c r="H2" i="17"/>
  <c r="B2" i="17"/>
  <c r="Q28" i="14"/>
  <c r="Q27" i="14"/>
  <c r="Q26" i="14"/>
  <c r="O28" i="14"/>
  <c r="O27" i="14"/>
  <c r="O26" i="14"/>
  <c r="M32" i="14"/>
  <c r="M31" i="14"/>
  <c r="M30" i="14"/>
  <c r="M29" i="14"/>
  <c r="M28" i="14"/>
  <c r="M27" i="14"/>
  <c r="K28" i="14"/>
  <c r="K27" i="14"/>
  <c r="I29" i="14"/>
  <c r="G29" i="14"/>
  <c r="G28" i="14"/>
  <c r="G27" i="14"/>
  <c r="E28" i="14"/>
  <c r="E27" i="14"/>
  <c r="M26" i="14"/>
  <c r="K26" i="14"/>
  <c r="G26" i="14"/>
  <c r="E26" i="14"/>
  <c r="C27" i="14"/>
  <c r="C26" i="14"/>
  <c r="A29" i="14"/>
  <c r="A27" i="14"/>
  <c r="Q16" i="14"/>
  <c r="O16" i="14"/>
  <c r="O15" i="14"/>
  <c r="O14" i="14"/>
  <c r="M17" i="14"/>
  <c r="M16" i="14"/>
  <c r="M14" i="14"/>
  <c r="Q15" i="14"/>
  <c r="Q14" i="14"/>
  <c r="A28" i="14"/>
  <c r="K17" i="14"/>
  <c r="K16" i="14"/>
  <c r="K14" i="14"/>
  <c r="I16" i="14"/>
  <c r="I15" i="14"/>
  <c r="I14" i="14"/>
  <c r="G15" i="14"/>
  <c r="G14" i="14"/>
  <c r="E19" i="14"/>
  <c r="E18" i="14"/>
  <c r="E17" i="14"/>
  <c r="E16" i="14"/>
  <c r="E15" i="14"/>
  <c r="C19" i="14"/>
  <c r="I28" i="14"/>
  <c r="C16" i="14"/>
  <c r="I27" i="14"/>
  <c r="K15" i="14"/>
  <c r="I26" i="14"/>
  <c r="A26" i="14"/>
  <c r="M15" i="14"/>
  <c r="C18" i="14"/>
  <c r="C17" i="14"/>
  <c r="C15" i="14"/>
  <c r="C14" i="14"/>
  <c r="A15" i="14"/>
  <c r="A14" i="14"/>
  <c r="Q4" i="14"/>
  <c r="Q3" i="14"/>
  <c r="Q2" i="14"/>
  <c r="O4" i="14"/>
  <c r="O3" i="14"/>
  <c r="O2" i="14"/>
  <c r="M4" i="14"/>
  <c r="M3" i="14"/>
  <c r="M2" i="14"/>
  <c r="K3" i="14"/>
  <c r="K2" i="14"/>
  <c r="K5" i="14"/>
  <c r="I3" i="14"/>
  <c r="K4" i="14"/>
  <c r="I2" i="14"/>
  <c r="E20" i="14"/>
  <c r="G4" i="14"/>
  <c r="E4" i="14"/>
  <c r="O29" i="14"/>
  <c r="M33" i="14"/>
  <c r="K29" i="14"/>
  <c r="I30" i="14"/>
  <c r="G30" i="14"/>
  <c r="E29" i="14"/>
  <c r="C29" i="14"/>
  <c r="A30" i="14"/>
  <c r="Q17" i="14"/>
  <c r="O17" i="14"/>
  <c r="M18" i="14"/>
  <c r="K18" i="14"/>
  <c r="I17" i="14"/>
  <c r="G16" i="14"/>
  <c r="C20" i="14"/>
  <c r="A16" i="14"/>
  <c r="Q5" i="14"/>
  <c r="O5" i="14"/>
  <c r="K6" i="14"/>
  <c r="I4" i="14"/>
  <c r="G5" i="14"/>
  <c r="C4" i="14"/>
  <c r="C28" i="14"/>
  <c r="G3" i="14"/>
  <c r="E3" i="14"/>
  <c r="C3" i="14"/>
  <c r="A3" i="14"/>
  <c r="E14" i="14"/>
  <c r="G2" i="14"/>
  <c r="E2" i="14"/>
  <c r="C2" i="14"/>
  <c r="A2" i="14"/>
  <c r="D19" i="20" l="1"/>
  <c r="D25" i="20"/>
  <c r="D45" i="20"/>
  <c r="D8" i="20"/>
  <c r="D33" i="20"/>
  <c r="D43" i="20"/>
  <c r="D20" i="20"/>
  <c r="D36" i="20"/>
  <c r="D24" i="20"/>
  <c r="D52" i="20"/>
  <c r="D56" i="20"/>
  <c r="D29" i="20"/>
  <c r="D30" i="20"/>
  <c r="E16" i="20"/>
  <c r="E29" i="20"/>
  <c r="E14" i="20"/>
  <c r="E30" i="20"/>
  <c r="E24" i="20"/>
  <c r="E33" i="20"/>
  <c r="D37" i="20"/>
  <c r="D41" i="20"/>
  <c r="D12" i="20"/>
  <c r="D22" i="20"/>
  <c r="E9" i="20"/>
  <c r="D38" i="20"/>
  <c r="E37" i="20"/>
  <c r="E10" i="20"/>
  <c r="E53" i="20"/>
  <c r="E18" i="20"/>
  <c r="E7" i="20"/>
  <c r="E11" i="20"/>
  <c r="E23" i="20"/>
  <c r="E35" i="20"/>
  <c r="E47" i="20"/>
  <c r="E27" i="20"/>
  <c r="E38" i="20"/>
  <c r="E25" i="20"/>
  <c r="E51" i="20"/>
  <c r="E31" i="20"/>
  <c r="E17" i="20"/>
  <c r="E12" i="20"/>
  <c r="E43" i="20"/>
  <c r="C23" i="20"/>
  <c r="C42" i="20"/>
  <c r="D23" i="20"/>
  <c r="D18" i="20"/>
  <c r="D27" i="20"/>
  <c r="D53" i="20"/>
  <c r="D46" i="20"/>
  <c r="E54" i="20"/>
  <c r="E32" i="20"/>
  <c r="E26" i="20"/>
  <c r="E44" i="20"/>
  <c r="D39" i="20"/>
  <c r="D26" i="20"/>
  <c r="D35" i="20"/>
  <c r="D16" i="20"/>
  <c r="E13" i="20"/>
  <c r="E15" i="20"/>
  <c r="E48" i="20"/>
  <c r="E42" i="20"/>
  <c r="E52" i="20"/>
  <c r="D31" i="20"/>
  <c r="D49" i="20"/>
  <c r="D11" i="20"/>
  <c r="D44" i="20"/>
  <c r="D14" i="20"/>
  <c r="E45" i="20"/>
  <c r="E39" i="20"/>
  <c r="E56" i="20"/>
  <c r="E34" i="20"/>
  <c r="E20" i="20"/>
  <c r="E21" i="20"/>
  <c r="E46" i="20"/>
  <c r="E8" i="20"/>
  <c r="E49" i="20"/>
  <c r="E50" i="20"/>
  <c r="E28" i="20"/>
  <c r="D48" i="20"/>
  <c r="D47" i="20"/>
  <c r="D10" i="20"/>
  <c r="D40" i="20"/>
  <c r="D28" i="20"/>
  <c r="D21" i="20"/>
  <c r="E22" i="20"/>
  <c r="E55" i="20"/>
  <c r="E40" i="20"/>
  <c r="E41" i="20"/>
  <c r="E19" i="20"/>
  <c r="F28" i="20"/>
  <c r="F22" i="20"/>
  <c r="F36" i="20"/>
  <c r="F37" i="20"/>
  <c r="F52" i="20"/>
  <c r="F23" i="20"/>
  <c r="F27" i="20"/>
  <c r="F8" i="20"/>
  <c r="F21" i="20"/>
  <c r="F32" i="20"/>
  <c r="F12" i="20"/>
  <c r="F20" i="20"/>
  <c r="F42" i="20"/>
  <c r="F18" i="20"/>
  <c r="F30" i="20"/>
  <c r="F33" i="20"/>
  <c r="F35" i="20"/>
  <c r="F31" i="20"/>
  <c r="F50" i="20"/>
  <c r="F41" i="20"/>
  <c r="G11" i="20"/>
  <c r="F9" i="20"/>
  <c r="G34" i="20"/>
  <c r="G37" i="20"/>
  <c r="G7" i="20"/>
  <c r="F43" i="20"/>
  <c r="F38" i="20"/>
  <c r="F24" i="20"/>
  <c r="F10" i="20"/>
  <c r="G36" i="20"/>
  <c r="F29" i="20"/>
  <c r="F7" i="20"/>
  <c r="F40" i="20"/>
  <c r="F34" i="20"/>
  <c r="G45" i="20"/>
  <c r="F11" i="20"/>
  <c r="F13" i="20"/>
  <c r="F39" i="20"/>
  <c r="F25" i="20"/>
  <c r="G41" i="20"/>
  <c r="G42" i="20"/>
  <c r="G55" i="20"/>
  <c r="G43" i="20"/>
  <c r="G32" i="20"/>
  <c r="G51" i="20"/>
  <c r="G40" i="20"/>
  <c r="G28" i="20"/>
  <c r="F19" i="20"/>
  <c r="F45" i="20"/>
  <c r="F46" i="20"/>
  <c r="F47" i="20"/>
  <c r="F48" i="20"/>
  <c r="F49" i="20"/>
  <c r="G23" i="20"/>
  <c r="G50" i="20"/>
  <c r="G15" i="20"/>
  <c r="G44" i="20"/>
  <c r="G14" i="20"/>
  <c r="G31" i="20"/>
  <c r="G48" i="20"/>
  <c r="F53" i="20"/>
  <c r="F54" i="20"/>
  <c r="F55" i="20"/>
  <c r="F56" i="20"/>
  <c r="F44" i="20"/>
  <c r="G17" i="20"/>
  <c r="G49" i="20"/>
  <c r="G9" i="20"/>
  <c r="G52" i="20"/>
  <c r="G22" i="20"/>
  <c r="G39" i="20"/>
  <c r="G56" i="20"/>
  <c r="G25" i="20"/>
  <c r="G21" i="20"/>
  <c r="G30" i="20"/>
  <c r="G47" i="20"/>
  <c r="G10" i="20"/>
  <c r="G19" i="20"/>
  <c r="G33" i="20"/>
  <c r="G53" i="20"/>
  <c r="G38" i="20"/>
  <c r="G8" i="20"/>
  <c r="F51" i="20"/>
  <c r="F14" i="20"/>
  <c r="F15" i="20"/>
  <c r="F16" i="20"/>
  <c r="F17" i="20"/>
  <c r="G18" i="20"/>
  <c r="G27" i="20"/>
  <c r="G12" i="20"/>
  <c r="G13" i="20"/>
  <c r="G46" i="20"/>
  <c r="G16" i="20"/>
  <c r="G26" i="20"/>
  <c r="G35" i="20"/>
  <c r="G20" i="20"/>
  <c r="G29" i="20"/>
  <c r="G54" i="20"/>
  <c r="J2" i="17"/>
</calcChain>
</file>

<file path=xl/sharedStrings.xml><?xml version="1.0" encoding="utf-8"?>
<sst xmlns="http://schemas.openxmlformats.org/spreadsheetml/2006/main" count="4205" uniqueCount="2667">
  <si>
    <t>Estado Vital</t>
  </si>
  <si>
    <t>CPAP</t>
  </si>
  <si>
    <t>Sí</t>
  </si>
  <si>
    <t>No</t>
  </si>
  <si>
    <t>lista1</t>
  </si>
  <si>
    <t>lista2</t>
  </si>
  <si>
    <t>Nombre de la institución:</t>
  </si>
  <si>
    <t>Número de la institución:</t>
  </si>
  <si>
    <t>Nivel de la institución:</t>
  </si>
  <si>
    <t>Nombre de la institución de nacimiento:</t>
  </si>
  <si>
    <t>¿Nació en la institución?:</t>
  </si>
  <si>
    <t>¿Ingresa a la institución en posición canguro?:</t>
  </si>
  <si>
    <t>Número asignado a la institución de nacimiento:</t>
  </si>
  <si>
    <t>Nivel de la institución de nacimiento:</t>
  </si>
  <si>
    <t>Distancia (Km) desde el lugar de remisión hasta la institución:</t>
  </si>
  <si>
    <t>Sexo:</t>
  </si>
  <si>
    <t>Fecha de nacimiento:</t>
  </si>
  <si>
    <t>Peso al nacer (gramos):</t>
  </si>
  <si>
    <t>Talla al nacer (cm):</t>
  </si>
  <si>
    <t>Edad gestacional al nacer (semanas):</t>
  </si>
  <si>
    <t>Perímetro cefálico (cm):</t>
  </si>
  <si>
    <t>Presenta RCIU al nacer:</t>
  </si>
  <si>
    <t>lista3</t>
  </si>
  <si>
    <t>Parto en comunidad (casa)</t>
  </si>
  <si>
    <t>Primer nivel (centro de salud)</t>
  </si>
  <si>
    <t>Edad materna en años:</t>
  </si>
  <si>
    <t>¿Fue un embarazo deseado?:</t>
  </si>
  <si>
    <t>Número de controles prenatales:</t>
  </si>
  <si>
    <t>Madre con toxemia:</t>
  </si>
  <si>
    <t>lista4</t>
  </si>
  <si>
    <t>Masculino</t>
  </si>
  <si>
    <t>Femenino</t>
  </si>
  <si>
    <t>Tipo de educación de la madre:</t>
  </si>
  <si>
    <t>lista5</t>
  </si>
  <si>
    <t>Primaria</t>
  </si>
  <si>
    <t>Secundaria</t>
  </si>
  <si>
    <t>Más de secundaria</t>
  </si>
  <si>
    <t>Estado civil y red de apoyo:</t>
  </si>
  <si>
    <t>lista6</t>
  </si>
  <si>
    <t>Soltera sola</t>
  </si>
  <si>
    <t>Soltera con apoyo</t>
  </si>
  <si>
    <t>En pareja</t>
  </si>
  <si>
    <t>Sin información</t>
  </si>
  <si>
    <t>Madre consumidora de sustancias psicoactivas:</t>
  </si>
  <si>
    <t>Nombre de la institución a donde será remitido:</t>
  </si>
  <si>
    <t>¿Será remitido a otra institución?:</t>
  </si>
  <si>
    <t>Número asignado a la institución remitido:</t>
  </si>
  <si>
    <t>Estado vital:</t>
  </si>
  <si>
    <t>lista7</t>
  </si>
  <si>
    <t>Vivo</t>
  </si>
  <si>
    <t>Fallecido</t>
  </si>
  <si>
    <t>Fecha de muerte:</t>
  </si>
  <si>
    <t>Lugar de la muerte:</t>
  </si>
  <si>
    <t>Durante el parto en casa</t>
  </si>
  <si>
    <t>Sala de partos</t>
  </si>
  <si>
    <t>Unidad neonatal</t>
  </si>
  <si>
    <t>Ambulatorio en casa</t>
  </si>
  <si>
    <t>Rehospitalización</t>
  </si>
  <si>
    <t>lista8</t>
  </si>
  <si>
    <t>No - deserción 40 semanas</t>
  </si>
  <si>
    <t>No - deserción 3 meses EC</t>
  </si>
  <si>
    <t>No - deserción 6 meses EC</t>
  </si>
  <si>
    <t>No - deserción 9 meses EC</t>
  </si>
  <si>
    <t>No - deserción 12 meses EC</t>
  </si>
  <si>
    <t>No aplica</t>
  </si>
  <si>
    <t>lista10</t>
  </si>
  <si>
    <t>MSG_NUMERIC</t>
  </si>
  <si>
    <t>MSG_REQUIRED</t>
  </si>
  <si>
    <t>MSG_INTEGER</t>
  </si>
  <si>
    <t>Ingrese solo números enteros (sin decimales).</t>
  </si>
  <si>
    <t>Ingrese un número válido usando el separador decimal de su configuración regional, sin separadores de miles.</t>
  </si>
  <si>
    <t>Requerimiento de oxígeno durante la adaptación:</t>
  </si>
  <si>
    <t>lista11</t>
  </si>
  <si>
    <t>¿Requirió instalación de CPAP inmediato?:</t>
  </si>
  <si>
    <t>¿Uso de oxígeno puro o cuenta con blender?:</t>
  </si>
  <si>
    <t>Vía del parto:</t>
  </si>
  <si>
    <t>lista12</t>
  </si>
  <si>
    <t>Vaginal</t>
  </si>
  <si>
    <t>Cesárea</t>
  </si>
  <si>
    <t>Tipo de adaptación neonatal:</t>
  </si>
  <si>
    <t>Apgar 1 minuto:</t>
  </si>
  <si>
    <t>lista13</t>
  </si>
  <si>
    <t>Espontánea</t>
  </si>
  <si>
    <t>Conducida</t>
  </si>
  <si>
    <t>Inducida</t>
  </si>
  <si>
    <t>Apgar 5 minutos:</t>
  </si>
  <si>
    <t>¿Puesta en posición canguro inmediata?:</t>
  </si>
  <si>
    <t>¿Duración de la posición canguro en el primer día de vida (horas)?:</t>
  </si>
  <si>
    <t>¿Recibió lactancia materna en la primera hora de vida?:</t>
  </si>
  <si>
    <t>¿Se realiza transporte en posición canguro a URN/alojamiento?:</t>
  </si>
  <si>
    <t>¿Se realiza transporte en posición canguro para las remisiones a otra institución?:</t>
  </si>
  <si>
    <t>Remitido</t>
  </si>
  <si>
    <t>URN</t>
  </si>
  <si>
    <t>Casa</t>
  </si>
  <si>
    <t>Alojamiento canguro</t>
  </si>
  <si>
    <t>lista14</t>
  </si>
  <si>
    <t>Destino del paciente posterior a sala de partos:</t>
  </si>
  <si>
    <t>Fecha de salida desde la sala de partos:</t>
  </si>
  <si>
    <t>Fecha de entrada al alojamiento conjunto:</t>
  </si>
  <si>
    <t>De dónde viene el niño canguro:</t>
  </si>
  <si>
    <t>lista15</t>
  </si>
  <si>
    <t>Unidad de recién nacidos</t>
  </si>
  <si>
    <t>Remitidos</t>
  </si>
  <si>
    <t>Readmitidos</t>
  </si>
  <si>
    <t>Edad cronológica en la que el niño canguro recupera su peso de nacimiento (días):</t>
  </si>
  <si>
    <t>Edad cronológica en la que el niño abandona la posición canguro (días):</t>
  </si>
  <si>
    <t>¿La madre abandona el alojamiento canguro solicitando la salida voluntaria?:</t>
  </si>
  <si>
    <t>Tipo de alimentación directa a la salida del alojamiento conjunto:</t>
  </si>
  <si>
    <t>lista16</t>
  </si>
  <si>
    <t>LME</t>
  </si>
  <si>
    <t>LA</t>
  </si>
  <si>
    <t>Mixta</t>
  </si>
  <si>
    <t>¿El niño canguro egresa a casa en posición canguro?:</t>
  </si>
  <si>
    <t>¿Se entrenó otro cuidador en MMC?:</t>
  </si>
  <si>
    <t>Destino del paciente posterior a alojamiento canguro:</t>
  </si>
  <si>
    <t>lista17</t>
  </si>
  <si>
    <t>Casa - PMC</t>
  </si>
  <si>
    <t>Fecha de entrada en la URN:</t>
  </si>
  <si>
    <t>Lugar de procedencia:</t>
  </si>
  <si>
    <t>lista18</t>
  </si>
  <si>
    <t>Alojamiento conjunto</t>
  </si>
  <si>
    <t>Readmisión</t>
  </si>
  <si>
    <t>¿El niño canguro necesitó antibiótico?:</t>
  </si>
  <si>
    <t>¿Recibió nutrición parenteral?:</t>
  </si>
  <si>
    <t>¿Recibió ciclo de antibiótico de última generación?:</t>
  </si>
  <si>
    <t>Diagnóstico sepsis neonatal temprana ( más de 72 horas)</t>
  </si>
  <si>
    <t>Diagnóstico sepsis neonatal tardía (&gt;72 horas)</t>
  </si>
  <si>
    <t>Diagnóstico hipotermia</t>
  </si>
  <si>
    <t>Diagnóstico síndrome de dificultad respiratoria</t>
  </si>
  <si>
    <t>Diagnóstico asfixia neonatal</t>
  </si>
  <si>
    <t>Diagnóstico ictericia</t>
  </si>
  <si>
    <t>Diagnóstico anemia</t>
  </si>
  <si>
    <t>Diagnóstico enterocolitis necrosante</t>
  </si>
  <si>
    <t>Diagnóstico hemorragia intraventricular</t>
  </si>
  <si>
    <t>Diagnóstico de DBP</t>
  </si>
  <si>
    <t>Diagnóstico otro</t>
  </si>
  <si>
    <t>Total de soporte ventilatorio (días):</t>
  </si>
  <si>
    <t>Total de soporte ventilatorio no invasivo (CPAP/alto flujo):</t>
  </si>
  <si>
    <t>Total de días de oxígeno por cánula nasal convencional:</t>
  </si>
  <si>
    <t>Total de soporte ventilatorio invasivo (días):</t>
  </si>
  <si>
    <t>¿Egresa con oxígeno ambulatorio?:</t>
  </si>
  <si>
    <t>lista19</t>
  </si>
  <si>
    <t>Tiempo máximo de horas por día en posición canguro:</t>
  </si>
  <si>
    <t>Número de días en posición canguro en la URN:</t>
  </si>
  <si>
    <t>Número de horas de apertura de la Unidad de Recién Nacidos/24 horas:</t>
  </si>
  <si>
    <t>¿Se realizó tamizaje oftalmológico?:</t>
  </si>
  <si>
    <t>Resultado oftalmológico ceguera:</t>
  </si>
  <si>
    <t>Bilateral</t>
  </si>
  <si>
    <t>lista20</t>
  </si>
  <si>
    <t>Resultado audiológico:</t>
  </si>
  <si>
    <t>lista21</t>
  </si>
  <si>
    <t>Normal</t>
  </si>
  <si>
    <t>Anormal unilateral</t>
  </si>
  <si>
    <t>Anormal bilateral</t>
  </si>
  <si>
    <t>Resultado oftalmológico:</t>
  </si>
  <si>
    <t>¿Se realizó tamizaje audiológico?:</t>
  </si>
  <si>
    <t>lista22</t>
  </si>
  <si>
    <t>ROP regresiva</t>
  </si>
  <si>
    <t>Otra alteración ocular</t>
  </si>
  <si>
    <t>Fecha de salida de la URN:</t>
  </si>
  <si>
    <t>Tipo de alimentación a la salida de la URN:</t>
  </si>
  <si>
    <t>¿Egresa en posición canguro?:</t>
  </si>
  <si>
    <t>Destino del paciente posterior a la URN:</t>
  </si>
  <si>
    <t>Peso a la admisión al PMC ambulatorio (gramos):</t>
  </si>
  <si>
    <t>Fecha de admisión al PMC ambulatorio:</t>
  </si>
  <si>
    <t>Fecha de salida del hospital:</t>
  </si>
  <si>
    <t>Procedencia del niño canguro registrada en su primera consulta ambulatoria:</t>
  </si>
  <si>
    <t>lista23</t>
  </si>
  <si>
    <t>Referidos hospitalizados de otra institución</t>
  </si>
  <si>
    <t>Tipo de alimentación a las 40 semanas EG:</t>
  </si>
  <si>
    <t>lista24</t>
  </si>
  <si>
    <t>Transitoria</t>
  </si>
  <si>
    <t>Anormal</t>
  </si>
  <si>
    <t>Número de re-hospitalizaciones entre la salida y la semana 40:</t>
  </si>
  <si>
    <t>Calendario de vacunación completo a las 40 semanas EG:</t>
  </si>
  <si>
    <t>Edad cronológica cuando el niño canguro abandona la posición canguro (días):</t>
  </si>
  <si>
    <t>Inicio de alimentación complementaria a los 3 meses EC:</t>
  </si>
  <si>
    <t>Resultado de la prueba de desarrollo neuromotor a los 3 meses EC:</t>
  </si>
  <si>
    <t>Calendario de vacunación completo a los 3 meses EC:</t>
  </si>
  <si>
    <t>Tipo de alimentación a los 3 meses EC:</t>
  </si>
  <si>
    <t>Tipo de alimentación a los 6 meses EC:</t>
  </si>
  <si>
    <t>Alimentación complementaria a los 6 meses EC:</t>
  </si>
  <si>
    <t>Alimentación complementaria adecuada a los 6 meses EC:</t>
  </si>
  <si>
    <t>Resultado de la prueba de desarrollo neuromotor a los 6 meses EC:</t>
  </si>
  <si>
    <t>Calendario de vacunación completo a los 6 meses EC:</t>
  </si>
  <si>
    <t>Duración total de la hospitalización (días):</t>
  </si>
  <si>
    <t>Duración de la hospitalización en UCIN (días):</t>
  </si>
  <si>
    <t>Resultado de la prueba neuromotora a las 40 semanas EG:</t>
  </si>
  <si>
    <t>Resultado de la prueba de desarrollo psicomotor a los 6 meses EC:</t>
  </si>
  <si>
    <t>Tipo de alimentación a la admisión al PMC ambulatorio:</t>
  </si>
  <si>
    <t>Cual:</t>
  </si>
  <si>
    <t>lista25</t>
  </si>
  <si>
    <t>Miope</t>
  </si>
  <si>
    <t>Astigmatismo miópico</t>
  </si>
  <si>
    <t>Hipermetropía</t>
  </si>
  <si>
    <t>Otro</t>
  </si>
  <si>
    <t>No se realiza</t>
  </si>
  <si>
    <t>Astigmatismo hipermetrópico</t>
  </si>
  <si>
    <t>¿Se realizó tamizaje oftalmológico a las 40 semanas?:</t>
  </si>
  <si>
    <t>¿Se realizó tamizaje audiológico a las 40 semanas?:</t>
  </si>
  <si>
    <t>¿Se realizó tamizaje oftalmológico entre 40 semanas y 3 meses?:</t>
  </si>
  <si>
    <t>¿Se realizó tamizaje audiológico entre 40 semanas y 3 meses?:</t>
  </si>
  <si>
    <t>Resultado optometría a los 3 meses:</t>
  </si>
  <si>
    <t>Resultado optometría a los 6 meses:</t>
  </si>
  <si>
    <t>Tipo de alimentación a los 9 meses EC:</t>
  </si>
  <si>
    <t>Resultado de la prueba de desarrollo neuromotor a los 9 meses EC:</t>
  </si>
  <si>
    <t>Calendario de vacunación completo a los 9 meses EC:</t>
  </si>
  <si>
    <t>Alimentación complementaria adecuada a los 9 meses:</t>
  </si>
  <si>
    <t>Resultado optometría a los 9 meses:</t>
  </si>
  <si>
    <t>Tipo de alimentación a los 12 meses EC:</t>
  </si>
  <si>
    <t>Resultado de la prueba de desarrollo neuromotor a los 12 meses EC:</t>
  </si>
  <si>
    <t>Número de re-hospitalizaciones entre las 40 semanas y 12 meses:</t>
  </si>
  <si>
    <t>Alimentación complementaria adecuada a los 12 meses:</t>
  </si>
  <si>
    <t>Esquema de vacunación completo a los 12 meses EC:</t>
  </si>
  <si>
    <t>Resultado de la prueba psicológica a los 12 meses EC:</t>
  </si>
  <si>
    <t>¿Se realizó tamizaje oftalmológico a los 12 meses?:</t>
  </si>
  <si>
    <t>¿Se realizó tamizaje audiológico a los 12 meses?:</t>
  </si>
  <si>
    <t>Resultado optometría a los 12 meses:</t>
  </si>
  <si>
    <t>lista26</t>
  </si>
  <si>
    <t>LME + complementaria</t>
  </si>
  <si>
    <t>LA + complementaria</t>
  </si>
  <si>
    <t>Mixta + complementaria</t>
  </si>
  <si>
    <t>Recupera el peso al nacer:</t>
  </si>
  <si>
    <t>lista0</t>
  </si>
  <si>
    <t>lista9</t>
  </si>
  <si>
    <t>KEY</t>
  </si>
  <si>
    <t>Diccionario de Listas</t>
  </si>
  <si>
    <t>Lista</t>
  </si>
  <si>
    <t>Explicación</t>
  </si>
  <si>
    <t>sí o no</t>
  </si>
  <si>
    <t>sí o no + sin info</t>
  </si>
  <si>
    <t>sí o no + no aplica</t>
  </si>
  <si>
    <t>sí o no + sin info + no aplica</t>
  </si>
  <si>
    <t>Opciones de respuestas de las listas</t>
  </si>
  <si>
    <t>Unilateral</t>
  </si>
  <si>
    <t>Segundo nivel</t>
  </si>
  <si>
    <t>Tercer nivel</t>
  </si>
  <si>
    <t>Nombre Herramienta</t>
  </si>
  <si>
    <t>Herramienta de Seguimiento y Monitoreo de Pacientes Canguro</t>
  </si>
  <si>
    <t>SEGUIMIENTO</t>
  </si>
  <si>
    <t>INDICADORES</t>
  </si>
  <si>
    <t>ADMINISTRAR</t>
  </si>
  <si>
    <t>BORRAR PACIENTE</t>
  </si>
  <si>
    <t>CAMBIAR IDIOMA</t>
  </si>
  <si>
    <t>TABLA INSTITUCIONES</t>
  </si>
  <si>
    <t>EXPORTAR BASE</t>
  </si>
  <si>
    <t>IMPORTAR BASE</t>
  </si>
  <si>
    <t>Buscar Paciente</t>
  </si>
  <si>
    <t>Registrar</t>
  </si>
  <si>
    <t>Sala de Partos</t>
  </si>
  <si>
    <t>Alojamiento Conjunto</t>
  </si>
  <si>
    <t>Ambulatorio</t>
  </si>
  <si>
    <t>Mensajes de alerta</t>
  </si>
  <si>
    <t>INFORMACIÓN CLÍNICA</t>
  </si>
  <si>
    <t>ROP operada</t>
  </si>
  <si>
    <t>Institución Actual del Paciente</t>
  </si>
  <si>
    <t>Institución de Nacimiento del Paciente</t>
  </si>
  <si>
    <t>Información del Nacimiento</t>
  </si>
  <si>
    <t>Información de la Madre</t>
  </si>
  <si>
    <t>Seguimiento</t>
  </si>
  <si>
    <t>Oxigenoterapia</t>
  </si>
  <si>
    <t>MMC Inmediato y Transporte</t>
  </si>
  <si>
    <t>Destino del Paciente</t>
  </si>
  <si>
    <t>Admisión</t>
  </si>
  <si>
    <t>Recuperación de Peso al Nacer</t>
  </si>
  <si>
    <t>Finalización de Posición Canguro</t>
  </si>
  <si>
    <t>Salida</t>
  </si>
  <si>
    <t>Manejo Neonatal</t>
  </si>
  <si>
    <t>Manejo Neonatal - Oxígeno</t>
  </si>
  <si>
    <t>Posición Canguro</t>
  </si>
  <si>
    <t>Tamizaje</t>
  </si>
  <si>
    <t>40 Semanas</t>
  </si>
  <si>
    <t>3 meses</t>
  </si>
  <si>
    <t>6 meses</t>
  </si>
  <si>
    <t>9 meses</t>
  </si>
  <si>
    <t>12 meses</t>
  </si>
  <si>
    <t>Seguimiento en el PMC:</t>
  </si>
  <si>
    <t>Mortalidad materna:</t>
  </si>
  <si>
    <t>MSG_SUCCESS</t>
  </si>
  <si>
    <t>Duración de la estadía en el alojamiento conjunto (días):</t>
  </si>
  <si>
    <t>Peso a la admisión de alojamiento conjunto (gramos):</t>
  </si>
  <si>
    <t>Talla a la admisión de alojamiento conjunto (cm):</t>
  </si>
  <si>
    <t>Perímetro cefálico a la admisión de alojamiento conjunto (cm):</t>
  </si>
  <si>
    <t>Peso cuando el niño abandona la posición canguro (gramos):</t>
  </si>
  <si>
    <t>Talla cuando el niño abandona la posición canguro (cm):</t>
  </si>
  <si>
    <t>Perímetro cefálico cuando el niño abandona la posición canguro (cm):</t>
  </si>
  <si>
    <t>Peso a la salida del alojamiento conjunto (gramos):</t>
  </si>
  <si>
    <t>Talla a la salida del alojamiento conjunto (cm):</t>
  </si>
  <si>
    <t>Perímetro cefálico a la salida del alojamiento conjunto (cm):</t>
  </si>
  <si>
    <t>Peso de entrada a la URN (gramos):</t>
  </si>
  <si>
    <t>Talla de entrada a la URN (cm):</t>
  </si>
  <si>
    <t>Perímetro cefálico de entrada a la URN (cm):</t>
  </si>
  <si>
    <t>Edad de inicio de la posición canguro (días):</t>
  </si>
  <si>
    <t>Peso a la salida del servicio de neonatología o del hospital (gramos):</t>
  </si>
  <si>
    <t>Talla a la salida del servicio de neonatología o del hospital (cm):</t>
  </si>
  <si>
    <t>Perímetro cefálico a la salida del servicio de neonatología o del hospital (cm):</t>
  </si>
  <si>
    <t>Talla a la admisión al PMC ambulatorio (cm):</t>
  </si>
  <si>
    <t>Perimetro cefálico a la admisión al PMC ambulatorio (cm):</t>
  </si>
  <si>
    <t>Peso a las 40 semanas EG (gramos):</t>
  </si>
  <si>
    <t>Talla a las 40 semanas EG (cm):</t>
  </si>
  <si>
    <t>Perimetro cefálico a las 40 semanas EG (cm):</t>
  </si>
  <si>
    <t>Peso cuando el niño canguro abandona la posición canguro (gramos):</t>
  </si>
  <si>
    <t>Talla cuando el niño canguro abandona la posición canguro (cm):</t>
  </si>
  <si>
    <t>Perímetro cefálico cuando el niño canguro abandona la posición canguro (cm):</t>
  </si>
  <si>
    <t>Edad cronológica cuando el niño canguro recupera su peso de nacer (días):</t>
  </si>
  <si>
    <t>Peso a los 3 meses EC (gramos):</t>
  </si>
  <si>
    <t>Talla a los 3 meses EC (cm):</t>
  </si>
  <si>
    <t>Perimetro cefálico a los 3 meses EC (cm):</t>
  </si>
  <si>
    <t>Peso a los 6 meses EC (gramos):</t>
  </si>
  <si>
    <t>Talla a los 6 meses EC (cm):</t>
  </si>
  <si>
    <t>Perimetro cefálico a los 6 meses EC (cm):</t>
  </si>
  <si>
    <t>Peso a los 9 meses EC (gramos):</t>
  </si>
  <si>
    <t>Talla a los 9 meses EC (cm):</t>
  </si>
  <si>
    <t>Perimetro cefálico a los 9 meses EC (cm):</t>
  </si>
  <si>
    <t>Peso a los 12 meses EC (gramos):</t>
  </si>
  <si>
    <t>Talla a los 12 meses EC (cm):</t>
  </si>
  <si>
    <t>Perimetro cefálico a los 12 meses EC (cm):</t>
  </si>
  <si>
    <t>COD_PAIS</t>
  </si>
  <si>
    <t>ID_CANGURO</t>
  </si>
  <si>
    <t>ID_NACIONAL</t>
  </si>
  <si>
    <t>NOMBRE_INSTITUCION_NACIMIENTO</t>
  </si>
  <si>
    <t>INGRESA_INSTITUCION_POSICION_CANGURO</t>
  </si>
  <si>
    <t>NUMERO_INSTITUCION_NACIMIENTO</t>
  </si>
  <si>
    <t>NIVEL_INSTITUCION_NACIMIENTO</t>
  </si>
  <si>
    <t>DISTANCIA_INSTITUCION</t>
  </si>
  <si>
    <t>FECHA_NACIMIENTO</t>
  </si>
  <si>
    <t>EDAD_GESTACIONAL</t>
  </si>
  <si>
    <t>SEXO</t>
  </si>
  <si>
    <t>PESO_NACER</t>
  </si>
  <si>
    <t>TALLA_NACER</t>
  </si>
  <si>
    <t>PERIMETRO_CEFALICO_NACER</t>
  </si>
  <si>
    <t>RCIU_NACER</t>
  </si>
  <si>
    <t>EDAD_MATERNA</t>
  </si>
  <si>
    <t>CONTROLES_PARENTALES</t>
  </si>
  <si>
    <t>EDUCACION_MADRE</t>
  </si>
  <si>
    <t>ESTADO_CIVIL</t>
  </si>
  <si>
    <t>EMBARAZO_DESEADO</t>
  </si>
  <si>
    <t>TOXEMIA</t>
  </si>
  <si>
    <t>CONSUMO_SUSTANCIAS</t>
  </si>
  <si>
    <t>MORTALIDAD_MATERNA</t>
  </si>
  <si>
    <t>REMITIDO_OTRO_LUGAR</t>
  </si>
  <si>
    <t>NOMBRE_INSTITUCION_REFERIDA</t>
  </si>
  <si>
    <t>NUMERO_INSTITUCION_REFERIDA</t>
  </si>
  <si>
    <t>ESTADO_VITAL</t>
  </si>
  <si>
    <t>FECHA_MUERTE</t>
  </si>
  <si>
    <t>LUGAR_MUERTE</t>
  </si>
  <si>
    <t>SEGUIMIENTO_PMC</t>
  </si>
  <si>
    <t>DIAS_VIDA_FALLECIMIENTO</t>
  </si>
  <si>
    <t>MES_NACIMIENTO</t>
  </si>
  <si>
    <t>AÑO_NACIMIENTO</t>
  </si>
  <si>
    <t>EDAD_GESTACIONAL_FALLECIMIENTO</t>
  </si>
  <si>
    <t>C6</t>
  </si>
  <si>
    <t>J6</t>
  </si>
  <si>
    <t>LLAVE</t>
  </si>
  <si>
    <t>ADAPTACION_OXIGENO</t>
  </si>
  <si>
    <t>OXIGENO_BLENDER</t>
  </si>
  <si>
    <t>ADAPTACION_NEONATAL</t>
  </si>
  <si>
    <t>VIA_PARTO</t>
  </si>
  <si>
    <t>APGAR1</t>
  </si>
  <si>
    <t>APGAR5</t>
  </si>
  <si>
    <t>LACTANCIA_MATERNA_HORA1</t>
  </si>
  <si>
    <t>FECHA_SALIDA_SALA_PARTOS</t>
  </si>
  <si>
    <t>DURACION_ESTADIA_ALOJAMIENTO_CONJUNTO</t>
  </si>
  <si>
    <t>FRM_CLINICO</t>
  </si>
  <si>
    <t>FECHA_ENTRADA_ALOJAMIENTO_CONJUNTO</t>
  </si>
  <si>
    <t>NOMBRE_INSTITUCION_ACTUAL</t>
  </si>
  <si>
    <t>NUMERO_INSTITUCION_ACTUAL</t>
  </si>
  <si>
    <t>NIVEL_INSTITUCION_ACTUAL</t>
  </si>
  <si>
    <t>NACIO_INSTITUCIÓN_ACTUAL</t>
  </si>
  <si>
    <t>¿Será remitido a otro lugar?</t>
  </si>
  <si>
    <t>DURACION_POSICION_CANGURO_DIA1</t>
  </si>
  <si>
    <t>POSICION_CANGURO_INMEDIATA</t>
  </si>
  <si>
    <t>TRANSPORTE_POSICION_CANGURO_URN_ALOJAMIENTO</t>
  </si>
  <si>
    <t>TRANSPORTE_POSICION_CANGURO_REMISIONES_OTRA_INSTITUCION</t>
  </si>
  <si>
    <t>DESTINO_PACIENTE_DESDE_SALA_PARTOS</t>
  </si>
  <si>
    <t>TALLA_INGRESO_ALOJAMIENTO_CONJUNTO</t>
  </si>
  <si>
    <t>PESO_INGRESO_ALOJAMIENTO_CONJUNTO</t>
  </si>
  <si>
    <t>PERIMETRO_CEFALICO_INGRESO_ALOJAMIENTO_CONJUNTO</t>
  </si>
  <si>
    <t>EDAD_CRONOLOGIA_DEJA_POSICION_CANGURO_ALOJAMIENTO_CONJUNTO</t>
  </si>
  <si>
    <t>PESO_DEJA_POSICION_CANGURO_ALOJAMIENTO_CONJUNTO</t>
  </si>
  <si>
    <t>TALLA_DEJA_POSICION_CANGURO_ALOJAMIENTO_CONJUNTO</t>
  </si>
  <si>
    <t>PERIMETRO_CEFALICO_DEJA_POSICION_CANGURO_ALOJAMIENTO_CONJUNTO</t>
  </si>
  <si>
    <t>PESO_ALTA_ALOJAMIENTO_CONJUNTO</t>
  </si>
  <si>
    <t>TALLA_ALTA_ALOJAMIENTO_CONJUNTO</t>
  </si>
  <si>
    <t>PERIMETRO_CEFALICO_ALTA_ALOJAMIENTO_CONJUNTO</t>
  </si>
  <si>
    <t>ENTRENAMIENTO_OTRO_CUIDADOR_MMC_ALOJAMIENTO_CONJUNTO</t>
  </si>
  <si>
    <t>MADRE_ABANDONA_VOLUNTARIAMENTE_ALOJAMIENTO_CONJUNTO</t>
  </si>
  <si>
    <t>ALTA_CASA_POSICION_CANGURO_ALOJAMIENTO_CONJUNTO</t>
  </si>
  <si>
    <t>DESTINO_PACIENTE_DESDE_ALOJAMIENTO_CONJUNTO</t>
  </si>
  <si>
    <t>FECHA_ENTRADA_URN</t>
  </si>
  <si>
    <t>LUGAR_ORIGEN_ALOJAMIENTO_CONJUNTO</t>
  </si>
  <si>
    <t>LUGAR_ORIGEN_URN</t>
  </si>
  <si>
    <t>PESO_INGRESO_URN</t>
  </si>
  <si>
    <t>TALLA_INGRESO_URN</t>
  </si>
  <si>
    <t>PERIMETRO_CEFALICO_URN</t>
  </si>
  <si>
    <t>NECESITO_ANTIBIOTICO_URN</t>
  </si>
  <si>
    <t>CICLO_ANTIBIOTICO_ULTIMA_GENERACION_URN</t>
  </si>
  <si>
    <t>NUTRICION_PARENTAL_URN</t>
  </si>
  <si>
    <t>SEPSIS_NEONATAL_TEMPRANA</t>
  </si>
  <si>
    <t>SEPSIS_NEONATAL_TARDIA</t>
  </si>
  <si>
    <t>HIPOTERMIA</t>
  </si>
  <si>
    <t>L50</t>
  </si>
  <si>
    <t>SINDROME_DIFICULTAD_RESPIRATORIA</t>
  </si>
  <si>
    <t>ASFIXIA_NONATAL</t>
  </si>
  <si>
    <t>L56</t>
  </si>
  <si>
    <t>ICTERICIA</t>
  </si>
  <si>
    <t>ANEMIA</t>
  </si>
  <si>
    <t>Diagnóstico hipoglucemia</t>
  </si>
  <si>
    <t>HIPOGLUCEMIA</t>
  </si>
  <si>
    <t>ENTEROCOLITIS_NECROSANTE</t>
  </si>
  <si>
    <t>HEMORRAGIA_INTRAVENTRICULAR</t>
  </si>
  <si>
    <t>DISPLASIA_BRONCOPULMONAR</t>
  </si>
  <si>
    <t>OTRO_DIAGNOSTICO</t>
  </si>
  <si>
    <t>TOTAL_SOPORTE_VENTILADOR_URN</t>
  </si>
  <si>
    <t>TOTAL_SOPORTE_VENTILADOR_INVASIVO_URN</t>
  </si>
  <si>
    <t>TOTAL_SOPORTE_VENTILADOR_NO_INVASIVO_URN</t>
  </si>
  <si>
    <t>EGRESA_OXIGENO_AMBULATORIO_URN</t>
  </si>
  <si>
    <t>TOTAL_DIAS_OXIGENO_CANULA_NASAL_URN</t>
  </si>
  <si>
    <t>EDAD_CRONOLOGIA_RECUPERACION_PESO_URN</t>
  </si>
  <si>
    <t>EDAD_CRONOLOGIA_RECUPERACION_PESO_ALOJAMIENTO_CONJUNTO</t>
  </si>
  <si>
    <t>EDAD_INICIO_POSICION_CANGURO_URN</t>
  </si>
  <si>
    <t>NUMERO_DIAS_POSICION_CANGURO_URN</t>
  </si>
  <si>
    <t>TIEMPO_MAXIMO_HORAS_DIA_POSICION_CANGURO_URN</t>
  </si>
  <si>
    <t>NUMERO_HORAS_APERTURA_24H_URN</t>
  </si>
  <si>
    <t>TAMIZAJE_OFTALMOLOGICO_URN</t>
  </si>
  <si>
    <t>RESULTADO_OFTALMOLOGICO_URN</t>
  </si>
  <si>
    <t>RESULTADO_OFTALMOLOGICO_CEGUERA_URN</t>
  </si>
  <si>
    <t>TAMIZAJE_AUDIOLOGICO_URN</t>
  </si>
  <si>
    <t>RESULTADO_AUDIOLOGICO_URN</t>
  </si>
  <si>
    <t>FECHA_ALTA_URN</t>
  </si>
  <si>
    <t>PESO_ALTA_URN</t>
  </si>
  <si>
    <t>TALLA_ALTA_URN</t>
  </si>
  <si>
    <t>PERIMETRO_CEFALICO_ALTA_URN</t>
  </si>
  <si>
    <t>TIEMPO_TOTAL_HOSPITALIZACION_URN</t>
  </si>
  <si>
    <t>TIEMPO_TOTAL_HOSPITALIZACION_UCIN_URN</t>
  </si>
  <si>
    <t>ENTRENAMIENTO_OTRO_CUIDADOR_MMC_URN</t>
  </si>
  <si>
    <t>ALTA_POSICION_CANGURO_URN</t>
  </si>
  <si>
    <t>DESTINO_PACIENTE_DESDE_URN</t>
  </si>
  <si>
    <t>TIPO_ALIMENTACION_ALTA_URN</t>
  </si>
  <si>
    <t>TIPO_ALIMENTACION_ALTA_ALOJAMIENTO_CONJUNTO</t>
  </si>
  <si>
    <t>FECHA_ADMISION_PMC_AMBULATORIO</t>
  </si>
  <si>
    <t>FECHA_SALIDA_HOSPITAL_AMBULATORIO</t>
  </si>
  <si>
    <t>PROCEDENCIA_NIÑO_CANGURO_PRIMERA_CONSULTA_AMBULATORIO</t>
  </si>
  <si>
    <t>PESO_ADMISION_PMC_AMBULATORIO</t>
  </si>
  <si>
    <t>TALLA_ADMISION_PMC_AMBULATORIO</t>
  </si>
  <si>
    <t>TIPO_ALIMENTACION_ADMISION_PMC_AMBULATORIO</t>
  </si>
  <si>
    <t>PESO_40_SEMANAS_AMBULATORIO</t>
  </si>
  <si>
    <t>TALLA_40_SEMANAS_AMBULATORIO</t>
  </si>
  <si>
    <t>PERIMETRO_CEFALICO_40_SEMANAS_AMBULATORIO</t>
  </si>
  <si>
    <t>PERIMETRO_CEFALICO_ADMISION_PMC_AMBULATORIO</t>
  </si>
  <si>
    <t>RESULTADO_NEUROMOTORA_40_SEMANAS_AMBULATORIO</t>
  </si>
  <si>
    <t>REHOSPITALIZACIONES_40_SEMANAS_AMBULATORIO</t>
  </si>
  <si>
    <t>CALENDARIO_VACUNACION_COMPLETO_40_SEMANAS_AMBULATORIO</t>
  </si>
  <si>
    <t>TAMIZAJE_OFTALMOLOGICO_40_SEMANAS_AMBULATORIO</t>
  </si>
  <si>
    <t>RESULTADO_OFTALMOLOGICO_40_SEMANAS_AMBULATORIO</t>
  </si>
  <si>
    <t>RESULTADO_OFTALMOLOGICO_CEGUERA_40_SEMANAS_AMBULATORIO</t>
  </si>
  <si>
    <t>TAMIZAJE_AUDIOLOGICO_40_SEMANAS_AMBULATORIO</t>
  </si>
  <si>
    <t>RESULTADO_AUDIOLOGICO_40_SEMANAS_AMBULATORIO</t>
  </si>
  <si>
    <t>EDAD_CRONOLOGIA_DEJA_POSICION_CANGURO_AMBULATORIO</t>
  </si>
  <si>
    <t>PESO_DEJA_POSICION_CANGURO_AMBULATORIO</t>
  </si>
  <si>
    <t>TALLA_DEJA_POSICION_CANGURO_AMBULATORIO</t>
  </si>
  <si>
    <t>PERIMETRO_CEFALICO_DEJA_POSICION_CANGURO_AMBULATORIO</t>
  </si>
  <si>
    <t>EDAD_CRONOLOGIA_RECUPERACION_PESO_AMBULATORIO</t>
  </si>
  <si>
    <t>RECUPERA_PESO_AMBULATORIO</t>
  </si>
  <si>
    <t>PESO_3_MESES_AMBULATORIO</t>
  </si>
  <si>
    <t>TALLA_3_MESES_AMBULATORIO</t>
  </si>
  <si>
    <t>PERIMETRO_CEFALICO_3_MESES_AMBULATORIO</t>
  </si>
  <si>
    <t>TIPO_ALIMENTACION_40_SEMANAS_AMBULATORIO</t>
  </si>
  <si>
    <t>INICIO_ALIMENTACION_COMPLEMENTARIA_3_MESES_AMBULATORIO</t>
  </si>
  <si>
    <t>TIPO_ALIMENTACION_3_MESES_AMBULATORIO</t>
  </si>
  <si>
    <t>CALENDARIO_VACUNACION_COMPLETO_3_MESES_AMBULATORIO</t>
  </si>
  <si>
    <t>RESULTADO_NEUROMOTOR_3_MESES_AMBULATORIO</t>
  </si>
  <si>
    <t>TAMIZAJE_OFTALMOLOGICO_3_MESES_AMBULATORIO</t>
  </si>
  <si>
    <t>RESULTADO_OFTALMOLOGICO_3_MESES_AMBULATORIO</t>
  </si>
  <si>
    <t>RESULTADO_OFTALMOLOGICO_CEGUERA_3_MESES_AMBULATORIO</t>
  </si>
  <si>
    <t>TAMIZAJE_AUDIOLOGICO_3_MESES_AMBULATORIO</t>
  </si>
  <si>
    <t>RESULTADO_AUDIOLOGICO_3_MESES_AMBULATORIO</t>
  </si>
  <si>
    <t>RESULTADO_OPTOMETRIA_3_MESES_AMBULATORIO</t>
  </si>
  <si>
    <t>CUAL_OTRO_DIAGNOSTICO</t>
  </si>
  <si>
    <t>CUAL_OTRO_OPTOMETRIA_3_MESES_AMBULATORIO</t>
  </si>
  <si>
    <t>PESO_6_MESES_AMBULATORIO</t>
  </si>
  <si>
    <t>TALLA_6_MESES_AMBULATORIO</t>
  </si>
  <si>
    <t>PERIMETRO_CEFALICO_6_MESES_AMBULATORIO</t>
  </si>
  <si>
    <t>TIPO_ALIMENTACION_6_MESES_AMBULATORIO</t>
  </si>
  <si>
    <t>ALIMENTACION_COMPLEMENTARIA_6_MESES_AMBULATORIO</t>
  </si>
  <si>
    <t>ALIMENTACION_COMPLEMENTARIA_ADECUADA_6_MESES_AMBULATORIO</t>
  </si>
  <si>
    <t>CALENDARIO_VACUNACION_COMPLETO_6_MESES_AMBULATORIO</t>
  </si>
  <si>
    <t>RESULTADO_NEUROMOTOR_6_MESES_AMBULATORIO</t>
  </si>
  <si>
    <t>RESULTADO_PSICOMOTOR_6_MESES_AMBULATORIO</t>
  </si>
  <si>
    <t>RESULTADO_OPTOMETRIA_6_MESES_AMBULATORIO</t>
  </si>
  <si>
    <t>CUAL_OTRO_OPTOMETRIA_6_MESES_AMBULATORIO</t>
  </si>
  <si>
    <t>EA</t>
  </si>
  <si>
    <t>PESO_9_MESES_AMBULATORIO</t>
  </si>
  <si>
    <t>TALLA_9_MESES_AMBULATORIO</t>
  </si>
  <si>
    <t>PERIMETRO_CEFALICO_9_MESES_AMBULATORIO</t>
  </si>
  <si>
    <t>TIPO_ALIMENTACION_9_MESES_AMBULATORIO</t>
  </si>
  <si>
    <t>ALIMENTACION_COMPLEMENTARIA_ADECUADA_9_MESES_AMBULATORIO</t>
  </si>
  <si>
    <t>CALENDARIO_VACUNACION_COMPLETO_9_MESES_AMBULATORIO</t>
  </si>
  <si>
    <t>RESULTADO_NEUROMOTOR_9_MESES_AMBULATORIO</t>
  </si>
  <si>
    <t>RESULTADO_OPTOMETRIA_9_MESES_AMBULATORIO</t>
  </si>
  <si>
    <t>CUAL_OTRO_OPTOMETRIA_9_MESES_AMBULATORIO</t>
  </si>
  <si>
    <t>REHOSPITALIZACIONES_12_MESES_AMBULATORIO</t>
  </si>
  <si>
    <t>PESO_12_MESES_AMBULATORIO</t>
  </si>
  <si>
    <t>TALLA_12_MESES_AMBULATORIO</t>
  </si>
  <si>
    <t>PERIMETRO_CEFALICO_12_MESES_AMBULATORIO</t>
  </si>
  <si>
    <t>TIPO_ALIMENTACION_12_MESES_AMBULATORIO</t>
  </si>
  <si>
    <t>ALIMENTACION_COMPLEMENTARIA_ADECUADA_12_MESES_AMBULATORIO</t>
  </si>
  <si>
    <t>ESQUEMA_VACUNACION_COMPLETO_12_MESES_AMBULATORIO</t>
  </si>
  <si>
    <t>RESULTADO_NEUROMOTOR_12_MESES_AMBULATORIO</t>
  </si>
  <si>
    <t>RESULTADO_PSICOLOGICO_12_MESES_AMBULATORIO</t>
  </si>
  <si>
    <t>TAMIZAJE_OFTALMOLOGICO_12_MESES_AMBULATORIO</t>
  </si>
  <si>
    <t>RESULTADO_OFTALMOLOGICO_12_MESES_AMBULATORIO</t>
  </si>
  <si>
    <t>RESULTADO_OFTALMOLOGICO_CEGUERA_12_MESES_AMBULATORIO</t>
  </si>
  <si>
    <t>TAMIZAJE_AUDIOLOGICO_12_MESES_AMBULATORIO</t>
  </si>
  <si>
    <t>RESULTADO_AUDIOLOGICO_12_MESES_AMBULATORIO</t>
  </si>
  <si>
    <t>RESULTADO_OPTOMETRIA_12_MESES_AMBULATORIO</t>
  </si>
  <si>
    <t>CUAL_OTRO_OPTOMETRIA_12_MESES_AMBULATORIO</t>
  </si>
  <si>
    <t>nivel institución actual</t>
  </si>
  <si>
    <t>nivel institución nacimiento</t>
  </si>
  <si>
    <t>sexo</t>
  </si>
  <si>
    <t>nivel educación madre</t>
  </si>
  <si>
    <t>estado civil madre</t>
  </si>
  <si>
    <t>estado vital paciente canguro</t>
  </si>
  <si>
    <t>lugar de muerte</t>
  </si>
  <si>
    <t>seguimiento PMC</t>
  </si>
  <si>
    <t>vía del parto</t>
  </si>
  <si>
    <t>adaptación neonatal</t>
  </si>
  <si>
    <t>tipo de alimentación</t>
  </si>
  <si>
    <t>tipo de alimentación complementaria</t>
  </si>
  <si>
    <t>destino después de alojamiento conjunto</t>
  </si>
  <si>
    <t>de dónde viene el niño canguro a URN</t>
  </si>
  <si>
    <t>de dónde viene el niño canguro a alojamiento conjunto</t>
  </si>
  <si>
    <t>resultado oftalmológico ceguera</t>
  </si>
  <si>
    <t>resultado audiológico</t>
  </si>
  <si>
    <t>resultado oftalmológico</t>
  </si>
  <si>
    <t>destino después de sala de partos y URN</t>
  </si>
  <si>
    <t>de dónde viene el niño canguro a ambulatorio</t>
  </si>
  <si>
    <t>resultado prueba neuromotor</t>
  </si>
  <si>
    <t>resultado optometría</t>
  </si>
  <si>
    <t>resultado prueba de desarrollo psicomotor</t>
  </si>
  <si>
    <t>Ids</t>
  </si>
  <si>
    <t>CELDA_ORIGEN</t>
  </si>
  <si>
    <t>DB_DESTINO</t>
  </si>
  <si>
    <t>COLUMNA_DESTINO</t>
  </si>
  <si>
    <t>NOMBRE_CAMPO</t>
  </si>
  <si>
    <t>TIPO_DATO</t>
  </si>
  <si>
    <t>OBLIGATORIEDAD</t>
  </si>
  <si>
    <t>DB_PACIENTES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</si>
  <si>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</si>
  <si>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</si>
  <si>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</si>
  <si>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</si>
  <si>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</si>
  <si>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</si>
  <si>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</si>
  <si>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</si>
  <si>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</si>
  <si>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</si>
  <si>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</si>
  <si>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</si>
  <si>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</si>
  <si>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</si>
  <si>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</si>
  <si>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</si>
  <si>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</si>
  <si>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</si>
  <si>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</si>
  <si>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</si>
  <si>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</si>
  <si>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</si>
  <si>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</si>
  <si>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</si>
  <si>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</si>
  <si>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</si>
  <si>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</si>
  <si>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</si>
  <si>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</si>
  <si>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</si>
  <si>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</si>
  <si>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</si>
  <si>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</si>
  <si>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</si>
  <si>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</si>
  <si>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</si>
  <si>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</si>
  <si>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</si>
  <si>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</si>
  <si>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ENTERO</t>
  </si>
  <si>
    <t>FECHA</t>
  </si>
  <si>
    <t>NACIO_INSTITUCION_ACTUAL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</si>
  <si>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</si>
  <si>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</si>
  <si>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</si>
  <si>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</si>
  <si>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</si>
  <si>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</si>
  <si>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</si>
  <si>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</si>
  <si>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</si>
  <si>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</si>
  <si>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</si>
  <si>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</si>
  <si>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</si>
  <si>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</si>
  <si>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</si>
  <si>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</si>
  <si>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</si>
  <si>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</si>
  <si>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</si>
  <si>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</si>
  <si>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</si>
  <si>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</si>
  <si>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</si>
  <si>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</si>
  <si>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</si>
  <si>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</si>
  <si>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</si>
  <si>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</si>
  <si>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</si>
  <si>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</si>
  <si>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</si>
  <si>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</si>
  <si>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</si>
  <si>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</si>
  <si>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</si>
  <si>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</si>
  <si>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</si>
  <si>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</si>
  <si>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</si>
  <si>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</si>
  <si>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</si>
  <si>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</si>
  <si>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</si>
  <si>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</si>
  <si>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</si>
  <si>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</si>
  <si>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</si>
  <si>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</si>
  <si>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</si>
  <si>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</si>
  <si>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</si>
  <si>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</si>
  <si>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</si>
  <si>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</si>
  <si>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</si>
  <si>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</si>
  <si>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</si>
  <si>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</si>
  <si>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</si>
  <si>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</si>
  <si>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</si>
  <si>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</si>
  <si>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</si>
  <si>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</si>
  <si>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</si>
  <si>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</si>
  <si>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</si>
  <si>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</si>
  <si>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</si>
  <si>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</si>
  <si>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</si>
  <si>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</si>
  <si>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</si>
  <si>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</si>
  <si>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</si>
  <si>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</si>
  <si>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</si>
  <si>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</si>
  <si>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</si>
  <si>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</si>
  <si>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</si>
  <si>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</si>
  <si>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</si>
  <si>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</si>
  <si>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</si>
  <si>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</si>
  <si>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</si>
  <si>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</si>
  <si>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</si>
  <si>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</si>
  <si>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</si>
  <si>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</si>
  <si>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</si>
  <si>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</si>
  <si>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</si>
  <si>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</si>
  <si>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</si>
  <si>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</si>
  <si>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</si>
  <si>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</si>
  <si>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</si>
  <si>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</si>
  <si>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</si>
  <si>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</si>
  <si>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</si>
  <si>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</si>
  <si>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</si>
  <si>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</si>
  <si>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</si>
  <si>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</si>
  <si>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</si>
  <si>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</si>
  <si>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</si>
  <si>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</si>
  <si>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</si>
  <si>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</si>
  <si>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</si>
  <si>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</si>
  <si>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DB_SEGUIMIENTO</t>
  </si>
  <si>
    <t>ANIO_NACIMIENTO</t>
  </si>
  <si>
    <t>PROCEDENCIA_CANGURO_PRIMERA_CONSULTA_AMBULATORIO</t>
  </si>
  <si>
    <t>MAPEO_DICCIONARIO_CAMPOS</t>
  </si>
  <si>
    <t>BLOQUE</t>
  </si>
  <si>
    <t>Tabla Instituciones</t>
  </si>
  <si>
    <t>Nombre de la Institución</t>
  </si>
  <si>
    <t>País</t>
  </si>
  <si>
    <t>Código País</t>
  </si>
  <si>
    <t>Código de la Institución</t>
  </si>
  <si>
    <t>Afganistán</t>
  </si>
  <si>
    <t>Albania</t>
  </si>
  <si>
    <t>Alemania</t>
  </si>
  <si>
    <t>Andorra</t>
  </si>
  <si>
    <t>Angola</t>
  </si>
  <si>
    <t>Anguila</t>
  </si>
  <si>
    <t>Antártida</t>
  </si>
  <si>
    <t>Antigua y Barbuda</t>
  </si>
  <si>
    <t>Arabia Saudita</t>
  </si>
  <si>
    <t>Argelia</t>
  </si>
  <si>
    <t>Argentina</t>
  </si>
  <si>
    <t>Armenia</t>
  </si>
  <si>
    <t>Aruba</t>
  </si>
  <si>
    <t>Australia</t>
  </si>
  <si>
    <t>Austria</t>
  </si>
  <si>
    <t>Azerbaiyán</t>
  </si>
  <si>
    <t>Bahamas</t>
  </si>
  <si>
    <t>Bangladés</t>
  </si>
  <si>
    <t>Barbados</t>
  </si>
  <si>
    <t>Baréin</t>
  </si>
  <si>
    <t>Bélgica</t>
  </si>
  <si>
    <t>Belice</t>
  </si>
  <si>
    <t>Benín</t>
  </si>
  <si>
    <t>Bermudas</t>
  </si>
  <si>
    <t>Bielorrusia</t>
  </si>
  <si>
    <t>Bolivia</t>
  </si>
  <si>
    <t>Bosnia-Herzegovina</t>
  </si>
  <si>
    <t>Botsuana</t>
  </si>
  <si>
    <t>Brasil</t>
  </si>
  <si>
    <t>Brunéi</t>
  </si>
  <si>
    <t>Bulgaria</t>
  </si>
  <si>
    <t>Burkina Faso</t>
  </si>
  <si>
    <t>Burundi</t>
  </si>
  <si>
    <t>Bután</t>
  </si>
  <si>
    <t>Cabo Verde</t>
  </si>
  <si>
    <t>Camboya</t>
  </si>
  <si>
    <t>Camerún</t>
  </si>
  <si>
    <t>Canadá</t>
  </si>
  <si>
    <t>Caribe neerlandés</t>
  </si>
  <si>
    <t>Catar</t>
  </si>
  <si>
    <t>Chad</t>
  </si>
  <si>
    <t>Chequia</t>
  </si>
  <si>
    <t>Chile</t>
  </si>
  <si>
    <t>China</t>
  </si>
  <si>
    <t>Chipre</t>
  </si>
  <si>
    <t>Ciudad del Vaticano</t>
  </si>
  <si>
    <t>Colombia</t>
  </si>
  <si>
    <t>Comoras</t>
  </si>
  <si>
    <t>Corea del Norte</t>
  </si>
  <si>
    <t>Corea del Sur</t>
  </si>
  <si>
    <t>Costa de Marfil</t>
  </si>
  <si>
    <t>Costa Rica</t>
  </si>
  <si>
    <t>Croacia</t>
  </si>
  <si>
    <t>Cuba</t>
  </si>
  <si>
    <t>Curazao</t>
  </si>
  <si>
    <t>Dinamarca</t>
  </si>
  <si>
    <t>Dominica</t>
  </si>
  <si>
    <t>Ecuador</t>
  </si>
  <si>
    <t>Egipto</t>
  </si>
  <si>
    <t>El Salvador</t>
  </si>
  <si>
    <t>Emiratos Árabes Unidos</t>
  </si>
  <si>
    <t>Eritrea</t>
  </si>
  <si>
    <t>Eslovaquia</t>
  </si>
  <si>
    <t>Eslovenia</t>
  </si>
  <si>
    <t>España</t>
  </si>
  <si>
    <t>Estados Unidos</t>
  </si>
  <si>
    <t>Estonia</t>
  </si>
  <si>
    <t>Esuatini</t>
  </si>
  <si>
    <t>Etiopía</t>
  </si>
  <si>
    <t>Filipinas</t>
  </si>
  <si>
    <t>Finlandia</t>
  </si>
  <si>
    <t>Fiyi</t>
  </si>
  <si>
    <t>Francia</t>
  </si>
  <si>
    <t>Gabón</t>
  </si>
  <si>
    <t>Gambia</t>
  </si>
  <si>
    <t>Georgia</t>
  </si>
  <si>
    <t>Ghana</t>
  </si>
  <si>
    <t>Gibraltar</t>
  </si>
  <si>
    <t>Granada</t>
  </si>
  <si>
    <t>Grecia</t>
  </si>
  <si>
    <t>Groenlandia</t>
  </si>
  <si>
    <t>Guadalupe</t>
  </si>
  <si>
    <t>Guam</t>
  </si>
  <si>
    <t>Guatemala</t>
  </si>
  <si>
    <t>Guayana Francesa</t>
  </si>
  <si>
    <t>Guernesey</t>
  </si>
  <si>
    <t>Guinea</t>
  </si>
  <si>
    <t>Guinea Ecuatorial</t>
  </si>
  <si>
    <t>Guinea-Bisáu</t>
  </si>
  <si>
    <t>Guyana</t>
  </si>
  <si>
    <t>Haití</t>
  </si>
  <si>
    <t>Honduras</t>
  </si>
  <si>
    <t>Hungría</t>
  </si>
  <si>
    <t>India</t>
  </si>
  <si>
    <t>Indonesia</t>
  </si>
  <si>
    <t>Irak</t>
  </si>
  <si>
    <t>Irán</t>
  </si>
  <si>
    <t>Irlanda</t>
  </si>
  <si>
    <t>Isla Bouvet</t>
  </si>
  <si>
    <t>Isla de Man</t>
  </si>
  <si>
    <t>Isla de Navidad</t>
  </si>
  <si>
    <t>Isla Norfolk</t>
  </si>
  <si>
    <t>Islandia</t>
  </si>
  <si>
    <t>Islas Åland</t>
  </si>
  <si>
    <t>Islas Caimán</t>
  </si>
  <si>
    <t>Islas Cocos</t>
  </si>
  <si>
    <t>Islas Cook</t>
  </si>
  <si>
    <t>Islas Feroe</t>
  </si>
  <si>
    <t>Islas Georgia del Sur y Sándwich del Sur</t>
  </si>
  <si>
    <t>Islas Heard y McDonald</t>
  </si>
  <si>
    <t>Islas Malvinas</t>
  </si>
  <si>
    <t>Islas Marianas del Norte</t>
  </si>
  <si>
    <t>Islas Marshall</t>
  </si>
  <si>
    <t>Islas Pitcairn</t>
  </si>
  <si>
    <t>Islas Salomón</t>
  </si>
  <si>
    <t>Islas Turcas y Caicos</t>
  </si>
  <si>
    <t>Islas Ultramarinas de EE.UU.</t>
  </si>
  <si>
    <t>Islas Vírgenes Británicas</t>
  </si>
  <si>
    <t>Islas Vírgenes de EE. UU.</t>
  </si>
  <si>
    <t>Israel</t>
  </si>
  <si>
    <t>Italia</t>
  </si>
  <si>
    <t>Jamaica</t>
  </si>
  <si>
    <t>Japón</t>
  </si>
  <si>
    <t>Jersey</t>
  </si>
  <si>
    <t>Jordania</t>
  </si>
  <si>
    <t>Kazajistán</t>
  </si>
  <si>
    <t>Kenia</t>
  </si>
  <si>
    <t>Kirguistán</t>
  </si>
  <si>
    <t>Kiribati</t>
  </si>
  <si>
    <t>Kuwait</t>
  </si>
  <si>
    <t>Laos</t>
  </si>
  <si>
    <t>Lesoto</t>
  </si>
  <si>
    <t>Letonia</t>
  </si>
  <si>
    <t>Líbano</t>
  </si>
  <si>
    <t>Liberia</t>
  </si>
  <si>
    <t>Libia</t>
  </si>
  <si>
    <t>Liechtenstein</t>
  </si>
  <si>
    <t>Lituania</t>
  </si>
  <si>
    <t>Luxemburgo</t>
  </si>
  <si>
    <t>Macedonia del Norte</t>
  </si>
  <si>
    <t>Madagascar</t>
  </si>
  <si>
    <t>Malasia</t>
  </si>
  <si>
    <t>Malaui</t>
  </si>
  <si>
    <t>Maldivas</t>
  </si>
  <si>
    <t>Mali</t>
  </si>
  <si>
    <t>Malta</t>
  </si>
  <si>
    <t>Marruecos</t>
  </si>
  <si>
    <t>Martinica</t>
  </si>
  <si>
    <t>Mauricio</t>
  </si>
  <si>
    <t>Mauritania</t>
  </si>
  <si>
    <t>Mayotte</t>
  </si>
  <si>
    <t>México</t>
  </si>
  <si>
    <t>Micronesia</t>
  </si>
  <si>
    <t>Moldavia</t>
  </si>
  <si>
    <t>Mónaco</t>
  </si>
  <si>
    <t>Mongolia</t>
  </si>
  <si>
    <t>Montenegro</t>
  </si>
  <si>
    <t>Montserrat</t>
  </si>
  <si>
    <t>Mozambique</t>
  </si>
  <si>
    <t>Myanmar (Birmania)</t>
  </si>
  <si>
    <t>Namibia</t>
  </si>
  <si>
    <t>Nauru</t>
  </si>
  <si>
    <t>Nepal</t>
  </si>
  <si>
    <t>Nicaragua</t>
  </si>
  <si>
    <t>Níger</t>
  </si>
  <si>
    <t>Nigeria</t>
  </si>
  <si>
    <t>Niue</t>
  </si>
  <si>
    <t>Noruega</t>
  </si>
  <si>
    <t>Nueva Caledonia</t>
  </si>
  <si>
    <t>Nueva Zelanda</t>
  </si>
  <si>
    <t>Omán</t>
  </si>
  <si>
    <t>Países Bajos</t>
  </si>
  <si>
    <t>Pakistán</t>
  </si>
  <si>
    <t>Palaos</t>
  </si>
  <si>
    <t>Panamá</t>
  </si>
  <si>
    <t>Papúa Nueva Guinea</t>
  </si>
  <si>
    <t>Paraguay</t>
  </si>
  <si>
    <t>Perú</t>
  </si>
  <si>
    <t>Polinesia Francesa</t>
  </si>
  <si>
    <t>Polonia</t>
  </si>
  <si>
    <t>Portugal</t>
  </si>
  <si>
    <t>Puerto Rico</t>
  </si>
  <si>
    <t>RAE de Hong Kong (China)</t>
  </si>
  <si>
    <t>RAE de Macao (China)</t>
  </si>
  <si>
    <t>Reino Unido</t>
  </si>
  <si>
    <t>República Centroafricana</t>
  </si>
  <si>
    <t>República del Congo</t>
  </si>
  <si>
    <t>República Democrática del Congo</t>
  </si>
  <si>
    <t>República Dominicana</t>
  </si>
  <si>
    <t>Reunión</t>
  </si>
  <si>
    <t>Ruanda</t>
  </si>
  <si>
    <t>Rumania</t>
  </si>
  <si>
    <t>Rusia</t>
  </si>
  <si>
    <t>Sáhara Occidental</t>
  </si>
  <si>
    <t>Samoa</t>
  </si>
  <si>
    <t>Samoa Americana</t>
  </si>
  <si>
    <t>San Bartolomé</t>
  </si>
  <si>
    <t>San Cristóbal y Nieves</t>
  </si>
  <si>
    <t>San Marino</t>
  </si>
  <si>
    <t>San Martín</t>
  </si>
  <si>
    <t>San Pedro y Miquelón</t>
  </si>
  <si>
    <t>San Vicente y las Granadinas</t>
  </si>
  <si>
    <t>Santa Elena</t>
  </si>
  <si>
    <t>Santa Lucía</t>
  </si>
  <si>
    <t>Santo Tomé y Príncipe</t>
  </si>
  <si>
    <t>Senegal</t>
  </si>
  <si>
    <t>Serbia</t>
  </si>
  <si>
    <t>Seychelles</t>
  </si>
  <si>
    <t>Sierra Leona</t>
  </si>
  <si>
    <t>Singapur</t>
  </si>
  <si>
    <t>Sint Maarten</t>
  </si>
  <si>
    <t>Siria</t>
  </si>
  <si>
    <t>Somalia</t>
  </si>
  <si>
    <t>Sri Lanka</t>
  </si>
  <si>
    <t>Sudáfrica</t>
  </si>
  <si>
    <t>Sudán</t>
  </si>
  <si>
    <t>Sudán del Sur</t>
  </si>
  <si>
    <t>Suecia</t>
  </si>
  <si>
    <t>Suiza</t>
  </si>
  <si>
    <t>Surinam</t>
  </si>
  <si>
    <t>Svalbard y Jan Mayen</t>
  </si>
  <si>
    <t>Tailandia</t>
  </si>
  <si>
    <t>Taiwán</t>
  </si>
  <si>
    <t>Tanzania</t>
  </si>
  <si>
    <t>Tayikistán</t>
  </si>
  <si>
    <t>Territorio Británico del Océano Índico</t>
  </si>
  <si>
    <t>Territorios Australes Franceses</t>
  </si>
  <si>
    <t>Territorios Palestinos</t>
  </si>
  <si>
    <t>Timor Oriental</t>
  </si>
  <si>
    <t>Togo</t>
  </si>
  <si>
    <t>Tokelau</t>
  </si>
  <si>
    <t>Tonga</t>
  </si>
  <si>
    <t>Trinidad y Tobago</t>
  </si>
  <si>
    <t>Túnez</t>
  </si>
  <si>
    <t>Turkmenistán</t>
  </si>
  <si>
    <t>Turquía</t>
  </si>
  <si>
    <t>Tuvalu</t>
  </si>
  <si>
    <t>Ucrania</t>
  </si>
  <si>
    <t>Uganda</t>
  </si>
  <si>
    <t>Uruguay</t>
  </si>
  <si>
    <t>Uzbekistán</t>
  </si>
  <si>
    <t>Vanuatu</t>
  </si>
  <si>
    <t>Venezuela</t>
  </si>
  <si>
    <t>Vietnam</t>
  </si>
  <si>
    <t>Wallis y Futuna</t>
  </si>
  <si>
    <t>Yemen</t>
  </si>
  <si>
    <t>Yibuti</t>
  </si>
  <si>
    <t>Zambia</t>
  </si>
  <si>
    <t>Zimbabue</t>
  </si>
  <si>
    <t>PAISES</t>
  </si>
  <si>
    <t>PAIS</t>
  </si>
  <si>
    <t>CODIGO</t>
  </si>
  <si>
    <t>004</t>
  </si>
  <si>
    <t>008</t>
  </si>
  <si>
    <t>276</t>
  </si>
  <si>
    <t>020</t>
  </si>
  <si>
    <t>024</t>
  </si>
  <si>
    <t>660</t>
  </si>
  <si>
    <t>010</t>
  </si>
  <si>
    <t>028</t>
  </si>
  <si>
    <t>682</t>
  </si>
  <si>
    <t>012</t>
  </si>
  <si>
    <t>032</t>
  </si>
  <si>
    <t>051</t>
  </si>
  <si>
    <t>533</t>
  </si>
  <si>
    <t>036</t>
  </si>
  <si>
    <t>040</t>
  </si>
  <si>
    <t>031</t>
  </si>
  <si>
    <t>044</t>
  </si>
  <si>
    <t>050</t>
  </si>
  <si>
    <t>052</t>
  </si>
  <si>
    <t>048</t>
  </si>
  <si>
    <t>056</t>
  </si>
  <si>
    <t>084</t>
  </si>
  <si>
    <t>204</t>
  </si>
  <si>
    <t>060</t>
  </si>
  <si>
    <t>112</t>
  </si>
  <si>
    <t>068</t>
  </si>
  <si>
    <t>070</t>
  </si>
  <si>
    <t>072</t>
  </si>
  <si>
    <t>076</t>
  </si>
  <si>
    <t>096</t>
  </si>
  <si>
    <t>100</t>
  </si>
  <si>
    <t>854</t>
  </si>
  <si>
    <t>108</t>
  </si>
  <si>
    <t>064</t>
  </si>
  <si>
    <t>132</t>
  </si>
  <si>
    <t>116</t>
  </si>
  <si>
    <t>120</t>
  </si>
  <si>
    <t>124</t>
  </si>
  <si>
    <t>535</t>
  </si>
  <si>
    <t>634</t>
  </si>
  <si>
    <t>148</t>
  </si>
  <si>
    <t>203</t>
  </si>
  <si>
    <t>152</t>
  </si>
  <si>
    <t>156</t>
  </si>
  <si>
    <t>196</t>
  </si>
  <si>
    <t>336</t>
  </si>
  <si>
    <t>170</t>
  </si>
  <si>
    <t>174</t>
  </si>
  <si>
    <t>408</t>
  </si>
  <si>
    <t>410</t>
  </si>
  <si>
    <t>384</t>
  </si>
  <si>
    <t>188</t>
  </si>
  <si>
    <t>191</t>
  </si>
  <si>
    <t>192</t>
  </si>
  <si>
    <t>531</t>
  </si>
  <si>
    <t>208</t>
  </si>
  <si>
    <t>212</t>
  </si>
  <si>
    <t>218</t>
  </si>
  <si>
    <t>818</t>
  </si>
  <si>
    <t>222</t>
  </si>
  <si>
    <t>784</t>
  </si>
  <si>
    <t>232</t>
  </si>
  <si>
    <t>703</t>
  </si>
  <si>
    <t>705</t>
  </si>
  <si>
    <t>724</t>
  </si>
  <si>
    <t>840</t>
  </si>
  <si>
    <t>233</t>
  </si>
  <si>
    <t>748</t>
  </si>
  <si>
    <t>231</t>
  </si>
  <si>
    <t>608</t>
  </si>
  <si>
    <t>246</t>
  </si>
  <si>
    <t>242</t>
  </si>
  <si>
    <t>250</t>
  </si>
  <si>
    <t>266</t>
  </si>
  <si>
    <t>270</t>
  </si>
  <si>
    <t>268</t>
  </si>
  <si>
    <t>288</t>
  </si>
  <si>
    <t>292</t>
  </si>
  <si>
    <t>308</t>
  </si>
  <si>
    <t>300</t>
  </si>
  <si>
    <t>304</t>
  </si>
  <si>
    <t>312</t>
  </si>
  <si>
    <t>316</t>
  </si>
  <si>
    <t>320</t>
  </si>
  <si>
    <t>254</t>
  </si>
  <si>
    <t>831</t>
  </si>
  <si>
    <t>324</t>
  </si>
  <si>
    <t>226</t>
  </si>
  <si>
    <t>624</t>
  </si>
  <si>
    <t>328</t>
  </si>
  <si>
    <t>332</t>
  </si>
  <si>
    <t>340</t>
  </si>
  <si>
    <t>348</t>
  </si>
  <si>
    <t>356</t>
  </si>
  <si>
    <t>360</t>
  </si>
  <si>
    <t>368</t>
  </si>
  <si>
    <t>364</t>
  </si>
  <si>
    <t>372</t>
  </si>
  <si>
    <t>074</t>
  </si>
  <si>
    <t>833</t>
  </si>
  <si>
    <t>162</t>
  </si>
  <si>
    <t>574</t>
  </si>
  <si>
    <t>352</t>
  </si>
  <si>
    <t>248</t>
  </si>
  <si>
    <t>136</t>
  </si>
  <si>
    <t>166</t>
  </si>
  <si>
    <t>184</t>
  </si>
  <si>
    <t>234</t>
  </si>
  <si>
    <t>239</t>
  </si>
  <si>
    <t>334</t>
  </si>
  <si>
    <t>238</t>
  </si>
  <si>
    <t>580</t>
  </si>
  <si>
    <t>584</t>
  </si>
  <si>
    <t>612</t>
  </si>
  <si>
    <t>090</t>
  </si>
  <si>
    <t>796</t>
  </si>
  <si>
    <t>581</t>
  </si>
  <si>
    <t>092</t>
  </si>
  <si>
    <t>850</t>
  </si>
  <si>
    <t>376</t>
  </si>
  <si>
    <t>380</t>
  </si>
  <si>
    <t>388</t>
  </si>
  <si>
    <t>392</t>
  </si>
  <si>
    <t>832</t>
  </si>
  <si>
    <t>400</t>
  </si>
  <si>
    <t>398</t>
  </si>
  <si>
    <t>404</t>
  </si>
  <si>
    <t>417</t>
  </si>
  <si>
    <t>296</t>
  </si>
  <si>
    <t>414</t>
  </si>
  <si>
    <t>418</t>
  </si>
  <si>
    <t>426</t>
  </si>
  <si>
    <t>428</t>
  </si>
  <si>
    <t>422</t>
  </si>
  <si>
    <t>430</t>
  </si>
  <si>
    <t>434</t>
  </si>
  <si>
    <t>438</t>
  </si>
  <si>
    <t>440</t>
  </si>
  <si>
    <t>442</t>
  </si>
  <si>
    <t>807</t>
  </si>
  <si>
    <t>450</t>
  </si>
  <si>
    <t>458</t>
  </si>
  <si>
    <t>454</t>
  </si>
  <si>
    <t>462</t>
  </si>
  <si>
    <t>466</t>
  </si>
  <si>
    <t>470</t>
  </si>
  <si>
    <t>504</t>
  </si>
  <si>
    <t>474</t>
  </si>
  <si>
    <t>480</t>
  </si>
  <si>
    <t>478</t>
  </si>
  <si>
    <t>175</t>
  </si>
  <si>
    <t>484</t>
  </si>
  <si>
    <t>583</t>
  </si>
  <si>
    <t>498</t>
  </si>
  <si>
    <t>492</t>
  </si>
  <si>
    <t>496</t>
  </si>
  <si>
    <t>499</t>
  </si>
  <si>
    <t>500</t>
  </si>
  <si>
    <t>508</t>
  </si>
  <si>
    <t>104</t>
  </si>
  <si>
    <t>516</t>
  </si>
  <si>
    <t>520</t>
  </si>
  <si>
    <t>524</t>
  </si>
  <si>
    <t>558</t>
  </si>
  <si>
    <t>562</t>
  </si>
  <si>
    <t>566</t>
  </si>
  <si>
    <t>570</t>
  </si>
  <si>
    <t>578</t>
  </si>
  <si>
    <t>540</t>
  </si>
  <si>
    <t>554</t>
  </si>
  <si>
    <t>512</t>
  </si>
  <si>
    <t>528</t>
  </si>
  <si>
    <t>586</t>
  </si>
  <si>
    <t>585</t>
  </si>
  <si>
    <t>591</t>
  </si>
  <si>
    <t>598</t>
  </si>
  <si>
    <t>600</t>
  </si>
  <si>
    <t>604</t>
  </si>
  <si>
    <t>258</t>
  </si>
  <si>
    <t>616</t>
  </si>
  <si>
    <t>620</t>
  </si>
  <si>
    <t>630</t>
  </si>
  <si>
    <t>344</t>
  </si>
  <si>
    <t>446</t>
  </si>
  <si>
    <t>826</t>
  </si>
  <si>
    <t>140</t>
  </si>
  <si>
    <t>178</t>
  </si>
  <si>
    <t>180</t>
  </si>
  <si>
    <t>214</t>
  </si>
  <si>
    <t>638</t>
  </si>
  <si>
    <t>646</t>
  </si>
  <si>
    <t>642</t>
  </si>
  <si>
    <t>643</t>
  </si>
  <si>
    <t>732</t>
  </si>
  <si>
    <t>882</t>
  </si>
  <si>
    <t>016</t>
  </si>
  <si>
    <t>652</t>
  </si>
  <si>
    <t>659</t>
  </si>
  <si>
    <t>674</t>
  </si>
  <si>
    <t>663</t>
  </si>
  <si>
    <t>666</t>
  </si>
  <si>
    <t>670</t>
  </si>
  <si>
    <t>654</t>
  </si>
  <si>
    <t>662</t>
  </si>
  <si>
    <t>678</t>
  </si>
  <si>
    <t>686</t>
  </si>
  <si>
    <t>688</t>
  </si>
  <si>
    <t>690</t>
  </si>
  <si>
    <t>694</t>
  </si>
  <si>
    <t>702</t>
  </si>
  <si>
    <t>534</t>
  </si>
  <si>
    <t>760</t>
  </si>
  <si>
    <t>706</t>
  </si>
  <si>
    <t>144</t>
  </si>
  <si>
    <t>710</t>
  </si>
  <si>
    <t>729</t>
  </si>
  <si>
    <t>728</t>
  </si>
  <si>
    <t>752</t>
  </si>
  <si>
    <t>756</t>
  </si>
  <si>
    <t>740</t>
  </si>
  <si>
    <t>744</t>
  </si>
  <si>
    <t>764</t>
  </si>
  <si>
    <t>158</t>
  </si>
  <si>
    <t>834</t>
  </si>
  <si>
    <t>762</t>
  </si>
  <si>
    <t>086</t>
  </si>
  <si>
    <t>260</t>
  </si>
  <si>
    <t>275</t>
  </si>
  <si>
    <t>626</t>
  </si>
  <si>
    <t>768</t>
  </si>
  <si>
    <t>772</t>
  </si>
  <si>
    <t>776</t>
  </si>
  <si>
    <t>780</t>
  </si>
  <si>
    <t>788</t>
  </si>
  <si>
    <t>795</t>
  </si>
  <si>
    <t>792</t>
  </si>
  <si>
    <t>798</t>
  </si>
  <si>
    <t>804</t>
  </si>
  <si>
    <t>800</t>
  </si>
  <si>
    <t>858</t>
  </si>
  <si>
    <t>860</t>
  </si>
  <si>
    <t>548</t>
  </si>
  <si>
    <t>862</t>
  </si>
  <si>
    <t>704</t>
  </si>
  <si>
    <t>876</t>
  </si>
  <si>
    <t>887</t>
  </si>
  <si>
    <t>262</t>
  </si>
  <si>
    <t>894</t>
  </si>
  <si>
    <t>716</t>
  </si>
  <si>
    <t>Listado Instituciones del País Relacionado</t>
  </si>
  <si>
    <t>DB_INSTITUCIONES</t>
  </si>
  <si>
    <t>DIAS DESDE FECHA NACIMIENTO HASTA FECHA DE MUERTE</t>
  </si>
  <si>
    <t>SEMANAS GESTACIONAL AL NACER + SEMANAS GESTACIONAL ENTRE FECHA NACIMIENTO HASTA FECHA DE MUERTE</t>
  </si>
  <si>
    <t>MES DE NACIMIENTO EN NÚMERO</t>
  </si>
  <si>
    <t>AÑO DE NACIMIENTO EN NÚMERO</t>
  </si>
  <si>
    <t>Volver</t>
  </si>
  <si>
    <t>Ambiguo</t>
  </si>
  <si>
    <t>BTN_CLINICAL_INFO</t>
  </si>
  <si>
    <t>BTN_FOLLOW_UP</t>
  </si>
  <si>
    <t>BTN_INDICATORS</t>
  </si>
  <si>
    <t>BTN_ADMIN</t>
  </si>
  <si>
    <t>BTN_DELETE_PATIENT</t>
  </si>
  <si>
    <t>BTN_CHANGE_LANGUAGE</t>
  </si>
  <si>
    <t>BTN_INSTITUTIONS_TABLE</t>
  </si>
  <si>
    <t>BTN_EXPORT_DB</t>
  </si>
  <si>
    <t>BTN_IMPORT_DB</t>
  </si>
  <si>
    <t>BTN_SEARCH_PATIENT</t>
  </si>
  <si>
    <t>BTN_REGISTER</t>
  </si>
  <si>
    <t>BTN_DELIVERY_ROOM</t>
  </si>
  <si>
    <t>BTN_ROOMING_IN</t>
  </si>
  <si>
    <t>BTN_NICU_URN</t>
  </si>
  <si>
    <t>BTN_OUTPATIENT</t>
  </si>
  <si>
    <t>BTN_RETURN</t>
  </si>
  <si>
    <t>LIST_YES</t>
  </si>
  <si>
    <t>LIST_NO</t>
  </si>
  <si>
    <t>LIST_NO_INFORMATION</t>
  </si>
  <si>
    <t>LIST_NOT_APPLICABLE</t>
  </si>
  <si>
    <t>LIST_SECOND_LEVEL</t>
  </si>
  <si>
    <t>LIST_THIRD_LEVEL</t>
  </si>
  <si>
    <t>LIST_COMMUNITY_BIRTH_HOME</t>
  </si>
  <si>
    <t>LIST_PRIMARY_LEVEL_HEALTH_CENTER</t>
  </si>
  <si>
    <t>LIST_MALE</t>
  </si>
  <si>
    <t>LIST_FEMALE</t>
  </si>
  <si>
    <t>LIST_AMBIGUOUS</t>
  </si>
  <si>
    <t>LIST_PRIMARY_EDUCATION</t>
  </si>
  <si>
    <t>LIST_SECONDARY_EDUCATION</t>
  </si>
  <si>
    <t>LIST_HIGHER_THAN_SECONDARY</t>
  </si>
  <si>
    <t>LIST_SINGLE_ALONE</t>
  </si>
  <si>
    <t>LIST_SINGLE_WITH_SUPPORT</t>
  </si>
  <si>
    <t>LIST_IN_RELATIONSHIP</t>
  </si>
  <si>
    <t>LIST_ALIVE</t>
  </si>
  <si>
    <t>LIST_DECEASED</t>
  </si>
  <si>
    <t>LIST_DURING_HOME_BIRTH</t>
  </si>
  <si>
    <t>LIST_DELIVERY_ROOM</t>
  </si>
  <si>
    <t>LIST_NEONATAL_UNIT</t>
  </si>
  <si>
    <t>LIST_KANGAROO_CARE</t>
  </si>
  <si>
    <t>LIST_HOME_AMBULATORY</t>
  </si>
  <si>
    <t>LIST_REHOSPITALIZATION</t>
  </si>
  <si>
    <t>LIST_NO_DESERTION_40_WEEKS</t>
  </si>
  <si>
    <t>LIST_NO_DESERTION_3_MONTHS_EC</t>
  </si>
  <si>
    <t>LIST_NO_DESERTION_6_MONTHS_EC</t>
  </si>
  <si>
    <t>LIST_NO_DESERTION_9_MONTHS_EC</t>
  </si>
  <si>
    <t>LIST_NO_DESERTION_12_MONTHS_EC</t>
  </si>
  <si>
    <t>LIST_VAGINAL</t>
  </si>
  <si>
    <t>LIST_CESAREAN</t>
  </si>
  <si>
    <t>LIST_SPONTANEOUS</t>
  </si>
  <si>
    <t>LIST_ASSISTED</t>
  </si>
  <si>
    <t>LIST_INDUCED</t>
  </si>
  <si>
    <t>LIST_REFERRED</t>
  </si>
  <si>
    <t>LIST_URN</t>
  </si>
  <si>
    <t>LIST_HOME</t>
  </si>
  <si>
    <t>LIST_NEWBORN_UNIT</t>
  </si>
  <si>
    <t>LIST_REFERRED_PLURAL</t>
  </si>
  <si>
    <t>LIST_READMITTED</t>
  </si>
  <si>
    <t>LIST_LME</t>
  </si>
  <si>
    <t>LIST_LA</t>
  </si>
  <si>
    <t>LIST_MIXED</t>
  </si>
  <si>
    <t>LIST_HOME_PMC</t>
  </si>
  <si>
    <t>LIST_ROOMING_IN</t>
  </si>
  <si>
    <t>LIST_READMISSION</t>
  </si>
  <si>
    <t>LIST_UNILATERAL</t>
  </si>
  <si>
    <t>LIST_BILATERAL</t>
  </si>
  <si>
    <t>LIST_NORMAL</t>
  </si>
  <si>
    <t>LIST_ABNORMAL_UNILATERAL</t>
  </si>
  <si>
    <t>LIST_ABNORMAL_BILATERAL</t>
  </si>
  <si>
    <t>LIST_ROP_REGRESSIVE</t>
  </si>
  <si>
    <t>LIST_ROP_OPERATED</t>
  </si>
  <si>
    <t>LIST_OTHER_OCULAR_ALTERATION</t>
  </si>
  <si>
    <t>LIST_REFERRED_HOSPITALIZED_OTHER_INSTITUTION</t>
  </si>
  <si>
    <t>LIST_TRANSITORY</t>
  </si>
  <si>
    <t>LIST_ABNORMAL</t>
  </si>
  <si>
    <t>LIST_MYOPIC</t>
  </si>
  <si>
    <t>LIST_MYOPIC_ASTIGMATISM</t>
  </si>
  <si>
    <t>LIST_HYPERMETROPIA</t>
  </si>
  <si>
    <t>LIST_HYPERMETROPIC_ASTIGMATISM</t>
  </si>
  <si>
    <t>LIST_OTHER</t>
  </si>
  <si>
    <t>LIST_NOT_PERFORMED</t>
  </si>
  <si>
    <t>LIST_LME_COMPLEMENTARY</t>
  </si>
  <si>
    <t>LIST_LA_COMPLEMENTARY</t>
  </si>
  <si>
    <t>LIST_MIXED_COMPLEMENTARY</t>
  </si>
  <si>
    <t>LIST_COUNTRY_AFGHANISTAN</t>
  </si>
  <si>
    <t>LIST_COUNTRY_ALBANIA</t>
  </si>
  <si>
    <t>LIST_COUNTRY_ALEMANIA</t>
  </si>
  <si>
    <t>LIST_COUNTRY_ANDORRA</t>
  </si>
  <si>
    <t>LIST_COUNTRY_ANGOLA</t>
  </si>
  <si>
    <t>LIST_COUNTRY_ANGUILA</t>
  </si>
  <si>
    <t>LIST_COUNTRY_ANTARTIDA</t>
  </si>
  <si>
    <t>LIST_COUNTRY_ANTIGUA_Y_BARBUDA</t>
  </si>
  <si>
    <t>LIST_COUNTRY_SAUDI_ARABIA</t>
  </si>
  <si>
    <t>LIST_COUNTRY_ALGERIA</t>
  </si>
  <si>
    <t>LIST_COUNTRY_ARGENTINA</t>
  </si>
  <si>
    <t>LIST_COUNTRY_ARMENIA</t>
  </si>
  <si>
    <t>LIST_COUNTRY_ARUBA</t>
  </si>
  <si>
    <t>LIST_COUNTRY_AUSTRALIA</t>
  </si>
  <si>
    <t>LIST_COUNTRY_AUSTRIA</t>
  </si>
  <si>
    <t>LIST_COUNTRY_AZERBAIYAN</t>
  </si>
  <si>
    <t>LIST_COUNTRY_BAHAMAS</t>
  </si>
  <si>
    <t>LIST_COUNTRY_BANGLADESH</t>
  </si>
  <si>
    <t>LIST_COUNTRY_BARBADOS</t>
  </si>
  <si>
    <t>LIST_COUNTRY_BAHRAIN</t>
  </si>
  <si>
    <t>LIST_COUNTRY_BELGIUM</t>
  </si>
  <si>
    <t>LIST_COUNTRY_BELICE</t>
  </si>
  <si>
    <t>LIST_COUNTRY_BENIN</t>
  </si>
  <si>
    <t>LIST_COUNTRY_BERMUDAS</t>
  </si>
  <si>
    <t>LIST_COUNTRY_BELARUS</t>
  </si>
  <si>
    <t>LIST_COUNTRY_BOLIVIA</t>
  </si>
  <si>
    <t>LIST_COUNTRY_BOSNIA_HERZEGOVINA</t>
  </si>
  <si>
    <t>LIST_COUNTRY_BOTSWANA</t>
  </si>
  <si>
    <t>LIST_COUNTRY_BRASIL</t>
  </si>
  <si>
    <t>LIST_COUNTRY_BRUNEI</t>
  </si>
  <si>
    <t>LIST_COUNTRY_BULGARIA</t>
  </si>
  <si>
    <t>LIST_COUNTRY_BURKINA_FASO</t>
  </si>
  <si>
    <t>LIST_COUNTRY_BURUNDI</t>
  </si>
  <si>
    <t>LIST_COUNTRY_BHUTAN</t>
  </si>
  <si>
    <t>LIST_COUNTRY_CAPE_VERDE</t>
  </si>
  <si>
    <t>LIST_COUNTRY_CAMBODIA</t>
  </si>
  <si>
    <t>LIST_COUNTRY_CAMERUN</t>
  </si>
  <si>
    <t>LIST_COUNTRY_CANADA</t>
  </si>
  <si>
    <t>LIST_COUNTRY_CARIBBEAN_NETHERLANDS</t>
  </si>
  <si>
    <t>LIST_COUNTRY_QATAR</t>
  </si>
  <si>
    <t>LIST_COUNTRY_CHAD</t>
  </si>
  <si>
    <t>LIST_COUNTRY_CZECHIA</t>
  </si>
  <si>
    <t>LIST_COUNTRY_CHILE</t>
  </si>
  <si>
    <t>LIST_COUNTRY_CHINA</t>
  </si>
  <si>
    <t>LIST_COUNTRY_CYPRUS</t>
  </si>
  <si>
    <t>LIST_COUNTRY_VATICAN_CITY</t>
  </si>
  <si>
    <t>LIST_COUNTRY_COLOMBIA</t>
  </si>
  <si>
    <t>LIST_COUNTRY_COMORAS</t>
  </si>
  <si>
    <t>LIST_COUNTRY_NORTH_KOREA</t>
  </si>
  <si>
    <t>LIST_COUNTRY_SOUTH_KOREA</t>
  </si>
  <si>
    <t>LIST_COUNTRY_COTE_DIVOIRE</t>
  </si>
  <si>
    <t>LIST_COUNTRY_COSTA_RICA</t>
  </si>
  <si>
    <t>LIST_COUNTRY_CROACIA</t>
  </si>
  <si>
    <t>LIST_COUNTRY_CUBA</t>
  </si>
  <si>
    <t>LIST_COUNTRY_CURACAO</t>
  </si>
  <si>
    <t>LIST_COUNTRY_DINAMARCA</t>
  </si>
  <si>
    <t>LIST_COUNTRY_DOMINICA</t>
  </si>
  <si>
    <t>LIST_COUNTRY_ECUADOR</t>
  </si>
  <si>
    <t>LIST_COUNTRY_EGIPTO</t>
  </si>
  <si>
    <t>LIST_COUNTRY_EL_SALVADOR</t>
  </si>
  <si>
    <t>LIST_COUNTRY_UNITED_ARAB_EMIRATES</t>
  </si>
  <si>
    <t>LIST_COUNTRY_ERITREA</t>
  </si>
  <si>
    <t>LIST_COUNTRY_ESLOVAQUIA</t>
  </si>
  <si>
    <t>LIST_COUNTRY_ESLOVENIA</t>
  </si>
  <si>
    <t>LIST_COUNTRY_ESPANA</t>
  </si>
  <si>
    <t>LIST_COUNTRY_UNITED_STATES</t>
  </si>
  <si>
    <t>LIST_COUNTRY_ESTONIA</t>
  </si>
  <si>
    <t>LIST_COUNTRY_ESWATINI</t>
  </si>
  <si>
    <t>LIST_COUNTRY_ETIOPIA</t>
  </si>
  <si>
    <t>LIST_COUNTRY_FILIPINAS</t>
  </si>
  <si>
    <t>LIST_COUNTRY_FINLANDIA</t>
  </si>
  <si>
    <t>LIST_COUNTRY_FIJI</t>
  </si>
  <si>
    <t>LIST_COUNTRY_FRANCIA</t>
  </si>
  <si>
    <t>LIST_COUNTRY_GABON</t>
  </si>
  <si>
    <t>LIST_COUNTRY_GAMBIA</t>
  </si>
  <si>
    <t>LIST_COUNTRY_GEORGIA</t>
  </si>
  <si>
    <t>LIST_COUNTRY_GHANA</t>
  </si>
  <si>
    <t>LIST_COUNTRY_GIBRALTAR</t>
  </si>
  <si>
    <t>LIST_COUNTRY_GRANADA</t>
  </si>
  <si>
    <t>LIST_COUNTRY_GRECIA</t>
  </si>
  <si>
    <t>LIST_COUNTRY_GROENLANDIA</t>
  </si>
  <si>
    <t>LIST_COUNTRY_GUADALUPE</t>
  </si>
  <si>
    <t>LIST_COUNTRY_GUAM</t>
  </si>
  <si>
    <t>LIST_COUNTRY_GUATEMALA</t>
  </si>
  <si>
    <t>LIST_COUNTRY_FRENCH_GUIANA</t>
  </si>
  <si>
    <t>LIST_COUNTRY_GUERNSEY</t>
  </si>
  <si>
    <t>LIST_COUNTRY_GUINEA</t>
  </si>
  <si>
    <t>LIST_COUNTRY_GUINEA_ECUATORIAL</t>
  </si>
  <si>
    <t>LIST_COUNTRY_GUINEA_BISSAU</t>
  </si>
  <si>
    <t>LIST_COUNTRY_GUYANA</t>
  </si>
  <si>
    <t>LIST_COUNTRY_HAITI</t>
  </si>
  <si>
    <t>LIST_COUNTRY_HONDURAS</t>
  </si>
  <si>
    <t>LIST_COUNTRY_HUNGRIA</t>
  </si>
  <si>
    <t>LIST_COUNTRY_INDIA</t>
  </si>
  <si>
    <t>LIST_COUNTRY_INDONESIA</t>
  </si>
  <si>
    <t>LIST_COUNTRY_IRAQ</t>
  </si>
  <si>
    <t>LIST_COUNTRY_IRAN</t>
  </si>
  <si>
    <t>LIST_COUNTRY_IRLANDA</t>
  </si>
  <si>
    <t>LIST_COUNTRY_BOUVET_ISLAND</t>
  </si>
  <si>
    <t>LIST_COUNTRY_ISLE_OF_MAN</t>
  </si>
  <si>
    <t>LIST_COUNTRY_CHRISTMAS_ISLAND</t>
  </si>
  <si>
    <t>LIST_COUNTRY_NORFOLK_ISLAND</t>
  </si>
  <si>
    <t>LIST_COUNTRY_ISLANDIA</t>
  </si>
  <si>
    <t>LIST_COUNTRY_ALAND_ISLANDS</t>
  </si>
  <si>
    <t>LIST_COUNTRY_CAYMAN_ISLANDS</t>
  </si>
  <si>
    <t>LIST_COUNTRY_COCOS_KEELING_ISLANDS</t>
  </si>
  <si>
    <t>LIST_COUNTRY_COOK_ISLANDS</t>
  </si>
  <si>
    <t>LIST_COUNTRY_FAROE_ISLANDS</t>
  </si>
  <si>
    <t>LIST_COUNTRY_SOUTH_GEORGIA_SOUTH_SANDWICH_ISLANDS</t>
  </si>
  <si>
    <t>LIST_COUNTRY_HEARD_MCDONALD_ISLANDS</t>
  </si>
  <si>
    <t>LIST_COUNTRY_FALKLAND_ISLANDS</t>
  </si>
  <si>
    <t>LIST_COUNTRY_NORTHERN_MARIANA_ISLANDS</t>
  </si>
  <si>
    <t>LIST_COUNTRY_MARSHALL_ISLANDS</t>
  </si>
  <si>
    <t>LIST_COUNTRY_PITCAIRN_ISLANDS</t>
  </si>
  <si>
    <t>LIST_COUNTRY_SOLOMON_ISLANDS</t>
  </si>
  <si>
    <t>LIST_COUNTRY_TURKS_CAICOS_ISLANDS</t>
  </si>
  <si>
    <t>LIST_COUNTRY_UNITED_STATES_OUTLYING_ISLANDS</t>
  </si>
  <si>
    <t>LIST_COUNTRY_BRITISH_VIRGIN_ISLANDS</t>
  </si>
  <si>
    <t>LIST_COUNTRY_US_VIRGIN_ISLANDS</t>
  </si>
  <si>
    <t>LIST_COUNTRY_ISRAEL</t>
  </si>
  <si>
    <t>LIST_COUNTRY_ITALIA</t>
  </si>
  <si>
    <t>LIST_COUNTRY_JAMAICA</t>
  </si>
  <si>
    <t>LIST_COUNTRY_JAPAN</t>
  </si>
  <si>
    <t>LIST_COUNTRY_JERSEY</t>
  </si>
  <si>
    <t>LIST_COUNTRY_JORDANIA</t>
  </si>
  <si>
    <t>LIST_COUNTRY_KAZAJISTAN</t>
  </si>
  <si>
    <t>LIST_COUNTRY_KENIA</t>
  </si>
  <si>
    <t>LIST_COUNTRY_KIRGUISTAN</t>
  </si>
  <si>
    <t>LIST_COUNTRY_KIRIBATI</t>
  </si>
  <si>
    <t>LIST_COUNTRY_KUWAIT</t>
  </si>
  <si>
    <t>LIST_COUNTRY_LAOS</t>
  </si>
  <si>
    <t>LIST_COUNTRY_LESOTO</t>
  </si>
  <si>
    <t>LIST_COUNTRY_LETONIA</t>
  </si>
  <si>
    <t>LIST_COUNTRY_LIBANO</t>
  </si>
  <si>
    <t>LIST_COUNTRY_LIBERIA</t>
  </si>
  <si>
    <t>LIST_COUNTRY_LIBIA</t>
  </si>
  <si>
    <t>LIST_COUNTRY_LIECHTENSTEIN</t>
  </si>
  <si>
    <t>LIST_COUNTRY_LITUANIA</t>
  </si>
  <si>
    <t>LIST_COUNTRY_LUXEMBURGO</t>
  </si>
  <si>
    <t>LIST_COUNTRY_NORTH_MACEDONIA</t>
  </si>
  <si>
    <t>LIST_COUNTRY_MADAGASCAR</t>
  </si>
  <si>
    <t>LIST_COUNTRY_MALASIA</t>
  </si>
  <si>
    <t>LIST_COUNTRY_MALAUI</t>
  </si>
  <si>
    <t>LIST_COUNTRY_MALDIVAS</t>
  </si>
  <si>
    <t>LIST_COUNTRY_MALI</t>
  </si>
  <si>
    <t>LIST_COUNTRY_MALTA</t>
  </si>
  <si>
    <t>LIST_COUNTRY_MARRUECOS</t>
  </si>
  <si>
    <t>LIST_COUNTRY_MARTINICA</t>
  </si>
  <si>
    <t>LIST_COUNTRY_MAURICIO</t>
  </si>
  <si>
    <t>LIST_COUNTRY_MAURITANIA</t>
  </si>
  <si>
    <t>LIST_COUNTRY_MAYOTTE</t>
  </si>
  <si>
    <t>LIST_COUNTRY_MEXICO</t>
  </si>
  <si>
    <t>LIST_COUNTRY_MICRONESIA</t>
  </si>
  <si>
    <t>LIST_COUNTRY_MOLDOVA</t>
  </si>
  <si>
    <t>LIST_COUNTRY_MONACO</t>
  </si>
  <si>
    <t>LIST_COUNTRY_MONGOLIA</t>
  </si>
  <si>
    <t>LIST_COUNTRY_MONTENEGRO</t>
  </si>
  <si>
    <t>LIST_COUNTRY_MONTSERRAT</t>
  </si>
  <si>
    <t>LIST_COUNTRY_MOZAMBIQUE</t>
  </si>
  <si>
    <t>LIST_COUNTRY_MYANMAR</t>
  </si>
  <si>
    <t>LIST_COUNTRY_NAMIBIA</t>
  </si>
  <si>
    <t>LIST_COUNTRY_NAURU</t>
  </si>
  <si>
    <t>LIST_COUNTRY_NEPAL</t>
  </si>
  <si>
    <t>LIST_COUNTRY_NICARAGUA</t>
  </si>
  <si>
    <t>LIST_COUNTRY_NIGER</t>
  </si>
  <si>
    <t>LIST_COUNTRY_NIGERIA</t>
  </si>
  <si>
    <t>LIST_COUNTRY_NIUE</t>
  </si>
  <si>
    <t>LIST_COUNTRY_NORUEGA</t>
  </si>
  <si>
    <t>LIST_COUNTRY_NEW_CALEDONIA</t>
  </si>
  <si>
    <t>LIST_COUNTRY_NEW_ZEALAND</t>
  </si>
  <si>
    <t>LIST_COUNTRY_OMAN</t>
  </si>
  <si>
    <t>LIST_COUNTRY_NETHERLANDS</t>
  </si>
  <si>
    <t>LIST_COUNTRY_PAKISTAN</t>
  </si>
  <si>
    <t>LIST_COUNTRY_PALAOS</t>
  </si>
  <si>
    <t>LIST_COUNTRY_PANAMA</t>
  </si>
  <si>
    <t>LIST_COUNTRY_PAPUA_NEW_GUINEA</t>
  </si>
  <si>
    <t>LIST_COUNTRY_PARAGUAY</t>
  </si>
  <si>
    <t>LIST_COUNTRY_PERU</t>
  </si>
  <si>
    <t>LIST_COUNTRY_FRENCH_POLYNESIA</t>
  </si>
  <si>
    <t>LIST_COUNTRY_POLONIA</t>
  </si>
  <si>
    <t>LIST_COUNTRY_PORTUGAL</t>
  </si>
  <si>
    <t>LIST_COUNTRY_PUERTO_RICO</t>
  </si>
  <si>
    <t>LIST_COUNTRY_HONG_KONG_SAR_CHINA</t>
  </si>
  <si>
    <t>LIST_COUNTRY_MACAO_SAR_CHINA</t>
  </si>
  <si>
    <t>LIST_COUNTRY_UNITED_KINGDOM</t>
  </si>
  <si>
    <t>LIST_COUNTRY_CENTRAL_AFRICAN_REPUBLIC</t>
  </si>
  <si>
    <t>LIST_COUNTRY_CONGO</t>
  </si>
  <si>
    <t>LIST_COUNTRY_DR_CONGO</t>
  </si>
  <si>
    <t>LIST_COUNTRY_DOMINICAN_REPUBLIC</t>
  </si>
  <si>
    <t>LIST_COUNTRY_REUNION</t>
  </si>
  <si>
    <t>LIST_COUNTRY_RUANDA</t>
  </si>
  <si>
    <t>LIST_COUNTRY_RUMANIA</t>
  </si>
  <si>
    <t>LIST_COUNTRY_RUSSIA</t>
  </si>
  <si>
    <t>LIST_COUNTRY_WESTERN_SAHARA</t>
  </si>
  <si>
    <t>LIST_COUNTRY_SAMOA</t>
  </si>
  <si>
    <t>LIST_COUNTRY_AMERICAN_SAMOA</t>
  </si>
  <si>
    <t>LIST_COUNTRY_SAINT_BARTHELEMY</t>
  </si>
  <si>
    <t>LIST_COUNTRY_SAINT_KITTS_NEVIS</t>
  </si>
  <si>
    <t>LIST_COUNTRY_SAN_MARINO</t>
  </si>
  <si>
    <t>LIST_COUNTRY_SAINT_MARTIN</t>
  </si>
  <si>
    <t>LIST_COUNTRY_SAINT_PIERRE_MIQUELON</t>
  </si>
  <si>
    <t>LIST_COUNTRY_SAINT_VINCENT_GRENADINES</t>
  </si>
  <si>
    <t>LIST_COUNTRY_SAINT_HELENA</t>
  </si>
  <si>
    <t>LIST_COUNTRY_SAINT_LUCIA</t>
  </si>
  <si>
    <t>LIST_COUNTRY_SAO_TOME_PRINCIPE</t>
  </si>
  <si>
    <t>LIST_COUNTRY_SENEGAL</t>
  </si>
  <si>
    <t>LIST_COUNTRY_SERBIA</t>
  </si>
  <si>
    <t>LIST_COUNTRY_SEYCHELLES</t>
  </si>
  <si>
    <t>LIST_COUNTRY_SIERRA_LEONA</t>
  </si>
  <si>
    <t>LIST_COUNTRY_SINGAPUR</t>
  </si>
  <si>
    <t>LIST_COUNTRY_SINT_MAARTEN</t>
  </si>
  <si>
    <t>LIST_COUNTRY_SYRIA</t>
  </si>
  <si>
    <t>LIST_COUNTRY_SOMALIA</t>
  </si>
  <si>
    <t>LIST_COUNTRY_SRI_LANKA</t>
  </si>
  <si>
    <t>LIST_COUNTRY_SOUTH_AFRICA</t>
  </si>
  <si>
    <t>LIST_COUNTRY_SUDAN</t>
  </si>
  <si>
    <t>LIST_COUNTRY_SOUTH_SUDAN</t>
  </si>
  <si>
    <t>LIST_COUNTRY_SUECIA</t>
  </si>
  <si>
    <t>LIST_COUNTRY_SUIZA</t>
  </si>
  <si>
    <t>LIST_COUNTRY_SURINAM</t>
  </si>
  <si>
    <t>LIST_COUNTRY_SVALBARD_JAN_MAYEN</t>
  </si>
  <si>
    <t>LIST_COUNTRY_TAILANDIA</t>
  </si>
  <si>
    <t>LIST_COUNTRY_TAIWAN</t>
  </si>
  <si>
    <t>LIST_COUNTRY_TANZANIA</t>
  </si>
  <si>
    <t>LIST_COUNTRY_TAJIKISTAN</t>
  </si>
  <si>
    <t>LIST_COUNTRY_BRITISH_INDIAN_OCEAN_TERRITORY</t>
  </si>
  <si>
    <t>LIST_COUNTRY_FRENCH_SOUTHERN_TERRITORIES</t>
  </si>
  <si>
    <t>LIST_COUNTRY_PALESTINIAN_TERRITORIES</t>
  </si>
  <si>
    <t>LIST_COUNTRY_TIMOR_LESTE</t>
  </si>
  <si>
    <t>LIST_COUNTRY_TOGO</t>
  </si>
  <si>
    <t>LIST_COUNTRY_TOKELAU</t>
  </si>
  <si>
    <t>LIST_COUNTRY_TONGA</t>
  </si>
  <si>
    <t>LIST_COUNTRY_TRINIDAD_TOBAGO</t>
  </si>
  <si>
    <t>LIST_COUNTRY_TUNISIA</t>
  </si>
  <si>
    <t>LIST_COUNTRY_TURKMENISTAN</t>
  </si>
  <si>
    <t>LIST_COUNTRY_TURKEY</t>
  </si>
  <si>
    <t>LIST_COUNTRY_TUVALU</t>
  </si>
  <si>
    <t>LIST_COUNTRY_UCRANIA</t>
  </si>
  <si>
    <t>LIST_COUNTRY_UGANDA</t>
  </si>
  <si>
    <t>LIST_COUNTRY_URUGUAY</t>
  </si>
  <si>
    <t>LIST_COUNTRY_UZBEKISTAN</t>
  </si>
  <si>
    <t>LIST_COUNTRY_VANUATU</t>
  </si>
  <si>
    <t>LIST_COUNTRY_VENEZUELA</t>
  </si>
  <si>
    <t>LIST_COUNTRY_VIETNAM</t>
  </si>
  <si>
    <t>LIST_COUNTRY_WALLIS_FUTUNA</t>
  </si>
  <si>
    <t>LIST_COUNTRY_YEMEN</t>
  </si>
  <si>
    <t>LIST_COUNTRY_DJIBOUTI</t>
  </si>
  <si>
    <t>LIST_COUNTRY_ZAMBIA</t>
  </si>
  <si>
    <t>LIST_COUNTRY_ZIMBABUE</t>
  </si>
  <si>
    <t>LABEL_COUNTRY</t>
  </si>
  <si>
    <t>LABEL_COUNTRY_CODE</t>
  </si>
  <si>
    <t>LABEL_COUNTRY_RELATED_INSTITUTIONS_LIST</t>
  </si>
  <si>
    <t>LABEL_INSTITUTION_CODE</t>
  </si>
  <si>
    <t>LABEL_INSTITUTION_NAME</t>
  </si>
  <si>
    <t>LABEL_ID_CANGURO</t>
  </si>
  <si>
    <t>LABEL_ID_NACIONAL</t>
  </si>
  <si>
    <t>SI</t>
  </si>
  <si>
    <t>NO</t>
  </si>
  <si>
    <t>Etiqueta de Nombres por Rango</t>
  </si>
  <si>
    <t>Ámbito</t>
  </si>
  <si>
    <t>Nombre</t>
  </si>
  <si>
    <t>Rango</t>
  </si>
  <si>
    <t>Descripción</t>
  </si>
  <si>
    <t>DATE_CELLS</t>
  </si>
  <si>
    <t>DEC_CELLS</t>
  </si>
  <si>
    <t>INT_CELLS</t>
  </si>
  <si>
    <t>Formulario de Seguimiento</t>
  </si>
  <si>
    <t>Formulario Información Clínica</t>
  </si>
  <si>
    <t>CALCULADO</t>
  </si>
  <si>
    <t>OBSERVACION</t>
  </si>
  <si>
    <t>J2</t>
  </si>
  <si>
    <t>HOJA_ORIGEN</t>
  </si>
  <si>
    <t>dependiente de REMITIDO_OTRO_LUGAR</t>
  </si>
  <si>
    <t>dependiente de ESTADO_VITAL</t>
  </si>
  <si>
    <t>DIAS(F_NAC;F_MUR)</t>
  </si>
  <si>
    <t>EDAD_GESTACIONAL + (DIAS(F_NAC;F_MUR)/7)</t>
  </si>
  <si>
    <t>mes nacimiento en número</t>
  </si>
  <si>
    <t>año nacimiento en número</t>
  </si>
  <si>
    <t>dependiente de ADAPTACION_OXIGENO</t>
  </si>
  <si>
    <t>dependiente de OTRO_DIAGNOSTICO</t>
  </si>
  <si>
    <t>dependiente de TAMIZAJE_OFTALMOLOGICO_URN</t>
  </si>
  <si>
    <t>dependiente de TAMIZAJE_AUDIOLOGICO_URN</t>
  </si>
  <si>
    <t>DIAS(FECHA_ENTRADA_URN;FECHA_ALTA_URN)</t>
  </si>
  <si>
    <t>dependiente de TAMIZAJE_OFTALMOLOGICO_40_SEMANAS_AMBULATORIO</t>
  </si>
  <si>
    <t>dependiente de TAMIZAJE_AUDIOLOGICO_40_SEMANAS_AMBULATORIO</t>
  </si>
  <si>
    <t>dependiente de TAMIZAJE_OFTALMOLOGICO_3_MESES_AMBULATORIO</t>
  </si>
  <si>
    <t>dependiente de TAMIZAJE_AUDIOLOGICO_3_MESES_AMBULATORIO</t>
  </si>
  <si>
    <t>dependiente de RESULTADO_OPTOMETRIA_3_MESES_AMBULATORIO</t>
  </si>
  <si>
    <t>dependiente de RESULTADO_OPTOMETRIA_6_MESES_AMBULATORIO</t>
  </si>
  <si>
    <t>dependiente de RESULTADO_OPTOMETRIA_9_MESES_AMBULATORIO</t>
  </si>
  <si>
    <t>dependiente de TAMIZAJE_OFTALMOLOGICO_12_MESES_AMBULATORIO</t>
  </si>
  <si>
    <t>dependiente de TAMIZAJE_AUDIOLOGICO_12_MESES_AMBULATORIO</t>
  </si>
  <si>
    <t>dependiente de RESULTADO_OPTOMETRIA_12_MESES_AMBULATORIO</t>
  </si>
  <si>
    <t>BLK_CLINICO</t>
  </si>
  <si>
    <t>BLK_SALA_PARTOS</t>
  </si>
  <si>
    <t>BLK_ALOJAMIENTO</t>
  </si>
  <si>
    <t>BLK_URN</t>
  </si>
  <si>
    <t>BLK_0</t>
  </si>
  <si>
    <t>FRM_SEGUIMIENTO</t>
  </si>
  <si>
    <t>CATEGÓRICO</t>
  </si>
  <si>
    <t>ALFANUMÉRICO</t>
  </si>
  <si>
    <t>NÚMERO</t>
  </si>
  <si>
    <t>D16</t>
  </si>
  <si>
    <t>D21</t>
  </si>
  <si>
    <t>D26</t>
  </si>
  <si>
    <t>L16</t>
  </si>
  <si>
    <t>D36</t>
  </si>
  <si>
    <t>D41</t>
  </si>
  <si>
    <t>L41</t>
  </si>
  <si>
    <t>L36</t>
  </si>
  <si>
    <t>D46</t>
  </si>
  <si>
    <t>D56</t>
  </si>
  <si>
    <t>D61</t>
  </si>
  <si>
    <t>D66</t>
  </si>
  <si>
    <t>L61</t>
  </si>
  <si>
    <t>L66</t>
  </si>
  <si>
    <t>L71</t>
  </si>
  <si>
    <t>D81</t>
  </si>
  <si>
    <t>D86</t>
  </si>
  <si>
    <t>D91</t>
  </si>
  <si>
    <t>D96</t>
  </si>
  <si>
    <t>L81</t>
  </si>
  <si>
    <t>L86</t>
  </si>
  <si>
    <t>L91</t>
  </si>
  <si>
    <t>L96</t>
  </si>
  <si>
    <t>D106</t>
  </si>
  <si>
    <t>D111</t>
  </si>
  <si>
    <t>L111</t>
  </si>
  <si>
    <t>D121</t>
  </si>
  <si>
    <t>D126</t>
  </si>
  <si>
    <t>D131</t>
  </si>
  <si>
    <t>D141</t>
  </si>
  <si>
    <t>6 Meses</t>
  </si>
  <si>
    <t>9 Meses</t>
  </si>
  <si>
    <t>3 Meses</t>
  </si>
  <si>
    <t>12 Meses</t>
  </si>
  <si>
    <t>BTN_40W</t>
  </si>
  <si>
    <t>BTN_6M</t>
  </si>
  <si>
    <t>BTN_3M</t>
  </si>
  <si>
    <t>BTN_9M</t>
  </si>
  <si>
    <t>BTN_12M</t>
  </si>
  <si>
    <t>D20</t>
  </si>
  <si>
    <t>L20</t>
  </si>
  <si>
    <t>D25</t>
  </si>
  <si>
    <t>D30</t>
  </si>
  <si>
    <t>L25</t>
  </si>
  <si>
    <t>L30</t>
  </si>
  <si>
    <t>D35</t>
  </si>
  <si>
    <t>D45</t>
  </si>
  <si>
    <t>L45</t>
  </si>
  <si>
    <t>D50</t>
  </si>
  <si>
    <t>D55</t>
  </si>
  <si>
    <t>D65</t>
  </si>
  <si>
    <t>L65</t>
  </si>
  <si>
    <t>D116</t>
  </si>
  <si>
    <t>L116</t>
  </si>
  <si>
    <t>L121</t>
  </si>
  <si>
    <t>L131</t>
  </si>
  <si>
    <t>D136</t>
  </si>
  <si>
    <t>D146</t>
  </si>
  <si>
    <t>L136</t>
  </si>
  <si>
    <t>L141</t>
  </si>
  <si>
    <t>L146</t>
  </si>
  <si>
    <t>D167</t>
  </si>
  <si>
    <t>L167</t>
  </si>
  <si>
    <t>D172</t>
  </si>
  <si>
    <t>L172</t>
  </si>
  <si>
    <t>D177</t>
  </si>
  <si>
    <t>D187</t>
  </si>
  <si>
    <t>L187</t>
  </si>
  <si>
    <t>D192</t>
  </si>
  <si>
    <t>K192</t>
  </si>
  <si>
    <t>K195</t>
  </si>
  <si>
    <t>K198</t>
  </si>
  <si>
    <t>K201</t>
  </si>
  <si>
    <t>K204</t>
  </si>
  <si>
    <t>K207</t>
  </si>
  <si>
    <t>O192</t>
  </si>
  <si>
    <t>O195</t>
  </si>
  <si>
    <t>O198</t>
  </si>
  <si>
    <t>O201</t>
  </si>
  <si>
    <t>O204</t>
  </si>
  <si>
    <t>O207</t>
  </si>
  <si>
    <t>D207</t>
  </si>
  <si>
    <t>D217</t>
  </si>
  <si>
    <t>L217</t>
  </si>
  <si>
    <t>D222</t>
  </si>
  <si>
    <t>D227</t>
  </si>
  <si>
    <t>L222</t>
  </si>
  <si>
    <t>D237</t>
  </si>
  <si>
    <t>D247</t>
  </si>
  <si>
    <t>D252</t>
  </si>
  <si>
    <t>L247</t>
  </si>
  <si>
    <t>L252</t>
  </si>
  <si>
    <t>D262</t>
  </si>
  <si>
    <t>L262</t>
  </si>
  <si>
    <t>D267</t>
  </si>
  <si>
    <t>D272</t>
  </si>
  <si>
    <t>L272</t>
  </si>
  <si>
    <t>D282</t>
  </si>
  <si>
    <t>L282</t>
  </si>
  <si>
    <t>D287</t>
  </si>
  <si>
    <t>L287</t>
  </si>
  <si>
    <t>D292</t>
  </si>
  <si>
    <t>L292</t>
  </si>
  <si>
    <t>D297</t>
  </si>
  <si>
    <t>L297</t>
  </si>
  <si>
    <t>D302</t>
  </si>
  <si>
    <t>L302</t>
  </si>
  <si>
    <t>D323</t>
  </si>
  <si>
    <t>L323</t>
  </si>
  <si>
    <t>D328</t>
  </si>
  <si>
    <t>L328</t>
  </si>
  <si>
    <t>D333</t>
  </si>
  <si>
    <t>L333</t>
  </si>
  <si>
    <t>D338</t>
  </si>
  <si>
    <t>D351</t>
  </si>
  <si>
    <t>L351</t>
  </si>
  <si>
    <t>L356</t>
  </si>
  <si>
    <t>D356</t>
  </si>
  <si>
    <t>D361</t>
  </si>
  <si>
    <t>L361</t>
  </si>
  <si>
    <t>D366</t>
  </si>
  <si>
    <t>L366</t>
  </si>
  <si>
    <t>D371</t>
  </si>
  <si>
    <t>L371</t>
  </si>
  <si>
    <t>D376</t>
  </si>
  <si>
    <t>L376</t>
  </si>
  <si>
    <t>D386</t>
  </si>
  <si>
    <t>L386</t>
  </si>
  <si>
    <t>D391</t>
  </si>
  <si>
    <t>L391</t>
  </si>
  <si>
    <t>D401</t>
  </si>
  <si>
    <t>L401</t>
  </si>
  <si>
    <t>D419</t>
  </si>
  <si>
    <t>L419</t>
  </si>
  <si>
    <t>D424</t>
  </si>
  <si>
    <t>L424</t>
  </si>
  <si>
    <t>D429</t>
  </si>
  <si>
    <t>L429</t>
  </si>
  <si>
    <t>D434</t>
  </si>
  <si>
    <t>L434</t>
  </si>
  <si>
    <t>D439</t>
  </si>
  <si>
    <t>L439</t>
  </si>
  <si>
    <t>D444</t>
  </si>
  <si>
    <t>L444</t>
  </si>
  <si>
    <t>D449</t>
  </si>
  <si>
    <t>L449</t>
  </si>
  <si>
    <t>D467</t>
  </si>
  <si>
    <t>L467</t>
  </si>
  <si>
    <t>D472</t>
  </si>
  <si>
    <t>L472</t>
  </si>
  <si>
    <t>D477</t>
  </si>
  <si>
    <t>L477</t>
  </si>
  <si>
    <t>D482</t>
  </si>
  <si>
    <t>L482</t>
  </si>
  <si>
    <t>D487</t>
  </si>
  <si>
    <t>L487</t>
  </si>
  <si>
    <t>D492</t>
  </si>
  <si>
    <t>D510</t>
  </si>
  <si>
    <t>L510</t>
  </si>
  <si>
    <t>D515</t>
  </si>
  <si>
    <t>L515</t>
  </si>
  <si>
    <t>D520</t>
  </si>
  <si>
    <t>L520</t>
  </si>
  <si>
    <t>D525</t>
  </si>
  <si>
    <t>L525</t>
  </si>
  <si>
    <t>D530</t>
  </si>
  <si>
    <t>D548</t>
  </si>
  <si>
    <t>L548</t>
  </si>
  <si>
    <t>D553</t>
  </si>
  <si>
    <t>L553</t>
  </si>
  <si>
    <t>D558</t>
  </si>
  <si>
    <t>L558</t>
  </si>
  <si>
    <t>D563</t>
  </si>
  <si>
    <t>L563</t>
  </si>
  <si>
    <t>D568</t>
  </si>
  <si>
    <t>L568</t>
  </si>
  <si>
    <t>D573</t>
  </si>
  <si>
    <t>L573</t>
  </si>
  <si>
    <t>D578</t>
  </si>
  <si>
    <t>L578</t>
  </si>
  <si>
    <t>D583</t>
  </si>
  <si>
    <t>L583</t>
  </si>
  <si>
    <t>REG_SEC_CLIN</t>
  </si>
  <si>
    <t>REG_SEC_SALA</t>
  </si>
  <si>
    <t>REG_SEC_ALOJ</t>
  </si>
  <si>
    <t>REG_SEC_URN</t>
  </si>
  <si>
    <t>REG_SEC_AMBU_40S</t>
  </si>
  <si>
    <t>REG_SEC_AMBU_6M</t>
  </si>
  <si>
    <t>REG_SEC_AMBU_9M</t>
  </si>
  <si>
    <t>REG_SEC_AMBU_12M</t>
  </si>
  <si>
    <t>Salir</t>
  </si>
  <si>
    <t>BTN_EXIT</t>
  </si>
  <si>
    <t>REG_SEC_AMBU_BASE</t>
  </si>
  <si>
    <t>rango de celdas de formato fecha</t>
  </si>
  <si>
    <t>rango de celdas de formato decimal</t>
  </si>
  <si>
    <t>rango de celdas de formato entero</t>
  </si>
  <si>
    <t>REQ_CELLS_CLIN</t>
  </si>
  <si>
    <t>rango de celdas obligatorias</t>
  </si>
  <si>
    <t>SEC_CLIN_INPUTS</t>
  </si>
  <si>
    <t>rango de celdas a registrar en la DB_PACIENTES</t>
  </si>
  <si>
    <t>CHK_DIAG</t>
  </si>
  <si>
    <t>rango de celdas de check de diagnostico</t>
  </si>
  <si>
    <t>REQ_CELLS_SALA</t>
  </si>
  <si>
    <t>rango de celdas obligatorias del bloque de sala de partos</t>
  </si>
  <si>
    <t>REQ_CELLS_ALOJ</t>
  </si>
  <si>
    <t>rango de celdas obligatorias del bloque alojamiento conjunto</t>
  </si>
  <si>
    <t>REQ_CELLS_URN</t>
  </si>
  <si>
    <t>rango de celdas obligatorias del bloque URN</t>
  </si>
  <si>
    <t>REQ_CELLS_AMBU_BASE</t>
  </si>
  <si>
    <t>rango de celdas obligatorias del bloque de la primera parte de ambulatorio</t>
  </si>
  <si>
    <t>REQ_CELLS_AMBU_40S</t>
  </si>
  <si>
    <t>rango de celdas obligatorias del bloque de 40 semanas de ambulatorio</t>
  </si>
  <si>
    <t>REQ_CELLS_AMBU_3M</t>
  </si>
  <si>
    <t>rango de celdas obligatorias del bloque de 3 meses de ambulatorio</t>
  </si>
  <si>
    <t>REQ_CELLS_AMBU_6M</t>
  </si>
  <si>
    <t>rango de celdas obligatorias del bloque de 6 meses de ambulatorio</t>
  </si>
  <si>
    <t>REQ_CELLS_AMBU_9M</t>
  </si>
  <si>
    <t>rango de celdas obligatorias del bloque de 9 meses de ambulatorio</t>
  </si>
  <si>
    <t>REQ_CELLS_AMBU_12M</t>
  </si>
  <si>
    <t>rango de celdas obligatorias del bloque de 12 meses de ambulatorio</t>
  </si>
  <si>
    <t>rango del bloque de sala de partos</t>
  </si>
  <si>
    <t>rango del bloque de alojamiento conjunto</t>
  </si>
  <si>
    <t>rango del bloque de URN</t>
  </si>
  <si>
    <t>rango del bloque de la primera parte de ambulatorio</t>
  </si>
  <si>
    <t>BLK_AMBU_40S</t>
  </si>
  <si>
    <t>rango del bloque de 40 semanas de ambulatorio</t>
  </si>
  <si>
    <t>BLK_AMBU_3M</t>
  </si>
  <si>
    <t>rango del bloque de 3 meses de ambulatorio</t>
  </si>
  <si>
    <t>BLK_AMBU_6M</t>
  </si>
  <si>
    <t>rango del bloque de 6 meses de ambulatorio</t>
  </si>
  <si>
    <t>BLK_AMBU_9M</t>
  </si>
  <si>
    <t>rango del bloque de 9 meses de ambulatorio</t>
  </si>
  <si>
    <t>BLK_AMBU_12M</t>
  </si>
  <si>
    <t>rango del bloque de 12 meses de ambulatorio</t>
  </si>
  <si>
    <t>SEC_SALA_INPUTS</t>
  </si>
  <si>
    <t>rango de celdas a registrar de sala de partos en la DB_SEGUIMIENTO</t>
  </si>
  <si>
    <t>SEC_ALOJ_INPUTS</t>
  </si>
  <si>
    <t>rango de celdas a registrar de alojamiento conjunto en la DB_SEGUIMIENTO</t>
  </si>
  <si>
    <t>SEC_URN_INPUTS</t>
  </si>
  <si>
    <t>rango de celdas a registrar de URN en la DB_SEGUIMIENTO</t>
  </si>
  <si>
    <t>SEC_AMBU_BASE_INPUTS</t>
  </si>
  <si>
    <t>rango de celdas a registrar de la primera parte de ambulatorio en la DB_SEGUIMIENTO</t>
  </si>
  <si>
    <t>SEC_AMBU_40S_INPUTS</t>
  </si>
  <si>
    <t>rango de celdas a registrar del bloque de 40 semanas de ambulatorio en la DB_SEGUIMIENTO</t>
  </si>
  <si>
    <t>SEC_AMBU_3M_INPUTS</t>
  </si>
  <si>
    <t>rango de celdas a registrar del bloque de 3 meses de ambulatorio en la DB_SEGUIMIENTO</t>
  </si>
  <si>
    <t>SEC_AMBU_6M_INPUTS</t>
  </si>
  <si>
    <t>rango de celdas a registrar del bloque de 6 meses de ambulatorio en la DB_SEGUIMIENTO</t>
  </si>
  <si>
    <t>SEC_AMBU_9M_INPUTS</t>
  </si>
  <si>
    <t>rango de celdas a registrar del bloque de 9 meses de ambulatorio en la DB_SEGUIMIENTO</t>
  </si>
  <si>
    <t>SEC_AMBU_12M_INPUTS</t>
  </si>
  <si>
    <t>rango de celdas a registrar del bloque de 12 meses de ambulatorio en la DB_SEGUIMIENTO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</si>
  <si>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</si>
  <si>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</si>
  <si>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</si>
  <si>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</si>
  <si>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</si>
  <si>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</si>
  <si>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</si>
  <si>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</si>
  <si>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</si>
  <si>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</si>
  <si>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</si>
  <si>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</si>
  <si>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Indicadores</t>
  </si>
  <si>
    <t>Año</t>
  </si>
  <si>
    <t>Mes</t>
  </si>
  <si>
    <t>LIST_MONTH_JAN</t>
  </si>
  <si>
    <t>LIST_MONTH_FEB</t>
  </si>
  <si>
    <t>LIST_MONTH_MAR</t>
  </si>
  <si>
    <t>LIST_MONTH_APR</t>
  </si>
  <si>
    <t>LIST_MONTH_MAY</t>
  </si>
  <si>
    <t>LIST_MONTH_JUN</t>
  </si>
  <si>
    <t>LIST_MONTH_JUL</t>
  </si>
  <si>
    <t>LIST_MONTH_AUG</t>
  </si>
  <si>
    <t>LIST_MONTH_SEP</t>
  </si>
  <si>
    <t>LIST_MONTH_OCT</t>
  </si>
  <si>
    <t>LIST_MONTH_NOV</t>
  </si>
  <si>
    <t>LIST_MONTH_DEC</t>
  </si>
  <si>
    <t>Mes #</t>
  </si>
  <si>
    <t>F min.</t>
  </si>
  <si>
    <t>F max.</t>
  </si>
  <si>
    <t>MESES</t>
  </si>
  <si>
    <t>ANIOS</t>
  </si>
  <si>
    <t>listado de meses</t>
  </si>
  <si>
    <t>lista de años</t>
  </si>
  <si>
    <t>listado de países</t>
  </si>
  <si>
    <t>MES</t>
  </si>
  <si>
    <t>#</t>
  </si>
  <si>
    <t>AÑO</t>
  </si>
  <si>
    <t>Indicadores clínicos</t>
  </si>
  <si>
    <t>% de instituciones responsables de segundo nivel</t>
  </si>
  <si>
    <t>% de instituciones responsables de tercer nivel</t>
  </si>
  <si>
    <t xml:space="preserve">Número total de niños canguro nacidos en la institucion responsable </t>
  </si>
  <si>
    <t xml:space="preserve">Número total de niños canguro referidos </t>
  </si>
  <si>
    <t>% de niños canguro nacidos en la institución</t>
  </si>
  <si>
    <t>% de niños canguro nacidos referidos</t>
  </si>
  <si>
    <t>Promedio de distancia (km) desde el lugar de remisión hasta la institución</t>
  </si>
  <si>
    <t>% de niños canguro referidos que ingresan a la institución en posición canguro</t>
  </si>
  <si>
    <t>% de nacimientos en la comunidad (Casa)</t>
  </si>
  <si>
    <t>% de nacimientos en el primer nivel (Centro de Salud)</t>
  </si>
  <si>
    <t>% de nacimientos en el segundo nivel</t>
  </si>
  <si>
    <t xml:space="preserve">% de nacimientos en el tercer nivel </t>
  </si>
  <si>
    <t>% de niños canguro referidos a otra institución</t>
  </si>
  <si>
    <t>% de niños canguro de sexo femenino</t>
  </si>
  <si>
    <t>% de niños canguro de sexo masculino</t>
  </si>
  <si>
    <t>% de niños canguro de sexo ambiguos</t>
  </si>
  <si>
    <t>Promedio de edad gestacional al nacer</t>
  </si>
  <si>
    <t>% de niños canguro prematuros (&lt;37 semanas)</t>
  </si>
  <si>
    <t>% de niños canguro con edad gestacional menor de 34 semanas</t>
  </si>
  <si>
    <t>Promedio de peso al nacer</t>
  </si>
  <si>
    <t>% de niños canguro a término con bajo peso al nacer (&lt;2500 gramos)</t>
  </si>
  <si>
    <t>% de niños canguro &lt; 1500 gramos</t>
  </si>
  <si>
    <t>Promedio de talla al nacer</t>
  </si>
  <si>
    <t>Promedio de perimetro cefálico al nacer</t>
  </si>
  <si>
    <t>% de niños canguro con RCIU al nacer</t>
  </si>
  <si>
    <t>Número total de muertes de niños canguro durante el año de seguimiento</t>
  </si>
  <si>
    <t>No niños canguro fallecidos durante el parto en casa / No niños canguro fallecidos durante el año de seguimiento</t>
  </si>
  <si>
    <t>% de mortalidad en Sala de Partos</t>
  </si>
  <si>
    <t>% de mortalidad en la Unidad Neonatal</t>
  </si>
  <si>
    <t>% de mortalidad en Alojamiento Canguro</t>
  </si>
  <si>
    <t>% de mortalidad Ambulatorio en casa</t>
  </si>
  <si>
    <t>% de mortalidad en Rehospitalización</t>
  </si>
  <si>
    <t>% niños canguro incluidos en el seguimiento de alto riesgo en un PMC</t>
  </si>
  <si>
    <t>% de niños canguro con deserción a las 40 semanas</t>
  </si>
  <si>
    <t>% de niños canguro con deserción a los 3 meses EC</t>
  </si>
  <si>
    <t>% de niños canguro con deserción a los 6 meses EC</t>
  </si>
  <si>
    <t>% de niños canguro con deserción a los 9 meses EC</t>
  </si>
  <si>
    <t>% de niños canguro con deserción a los 12 meses EC</t>
  </si>
  <si>
    <t>% de madres adolescentes</t>
  </si>
  <si>
    <t>Promedio de controles prenatales</t>
  </si>
  <si>
    <t>% de mamás con educación menor o igual a primaria completa</t>
  </si>
  <si>
    <t>% de madres sin red de apoyo (soltera sin apoyo)</t>
  </si>
  <si>
    <t xml:space="preserve">% de embarazo no deseado </t>
  </si>
  <si>
    <t xml:space="preserve">% de madres canguro con toxemia </t>
  </si>
  <si>
    <t>% de madres canguro consumidoras de sustancia psicoactivas</t>
  </si>
  <si>
    <t xml:space="preserve">% de madres que fallecen durante el seguimiento </t>
  </si>
  <si>
    <t>Indicadores sala de partos</t>
  </si>
  <si>
    <t>% de niños canguro nacidos vía cesárea</t>
  </si>
  <si>
    <t>% de niños canguro con adaptación neonatal espontánea</t>
  </si>
  <si>
    <t>% de niños canguro que requieren oxígeno durante la adaptación</t>
  </si>
  <si>
    <t>% de niños canguro con APGAR inferior o igual a 7 a 1 minuto</t>
  </si>
  <si>
    <t>% de niños canguro con APGAR inferior o igual a 7 a 5 minutos</t>
  </si>
  <si>
    <t>% de niños canguro que se ponen en posición canguro inmediata</t>
  </si>
  <si>
    <t>% de niños canguro que reciben lactancia materna en la primera hora de vida</t>
  </si>
  <si>
    <t>% de niños canguro que requieren CPAP inmediato al nacer</t>
  </si>
  <si>
    <t>% de niños canguro transportados en posición canguro a URN/alojamiento</t>
  </si>
  <si>
    <t>% de niños canguro transportados en posición canguro para las remisiones a otra institución</t>
  </si>
  <si>
    <t>% de niños canguro que van remitidos a otra institución después de sala de partos</t>
  </si>
  <si>
    <t>% de niños canguro que van alojamiento conjunto después de sala de partos</t>
  </si>
  <si>
    <t>% de niños canguro que van a URN después de sala de partos</t>
  </si>
  <si>
    <t>% de niños canguro que van a casa después de sala de partos</t>
  </si>
  <si>
    <t>% de niños canguro sin información de destino después de sala de partos</t>
  </si>
  <si>
    <t>Indicadores alojamiento conjunto</t>
  </si>
  <si>
    <t>% de traslado de niños canguro desde la URN al alojamiento conjunto</t>
  </si>
  <si>
    <t xml:space="preserve">% de traslado de niños canguro desde sala de partos al alojamiento conjunto </t>
  </si>
  <si>
    <t xml:space="preserve">% de traslado de niños canguro desde otro hospital (remitidos) al alojamiento conjunto </t>
  </si>
  <si>
    <t xml:space="preserve">% de traslado de niños canguro desde urgencias (readmitidos) al alojamiento conjunto </t>
  </si>
  <si>
    <t>Promedio de la duración de la estadía en el alojamiento conjunto (días)</t>
  </si>
  <si>
    <t>Promedio de peso a la admisión de alojamiento conjunto</t>
  </si>
  <si>
    <t>Promedio de talla a la admisión de alojamiento conjunto</t>
  </si>
  <si>
    <t>Promedio de perimetro cefálico a la admisión de alojamiento conjunto</t>
  </si>
  <si>
    <t>Promedio de peso a la salida del alojamiento conjunto</t>
  </si>
  <si>
    <t>Promedio de talla a la salida del alojamiento conjunto</t>
  </si>
  <si>
    <t>Promedio de perimetro cefálico a la salida del alojamiento conjunto</t>
  </si>
  <si>
    <t>Promedio de edad cronológica en la que el recién nacido recupera su peso de nacimiento</t>
  </si>
  <si>
    <t>Promedio de peso cuando el niño canguro abandona la posición canguro</t>
  </si>
  <si>
    <t>Promedio de talla cuando el niño canguro abandona la posición canguro</t>
  </si>
  <si>
    <t>Promedio de perímetro cefálico cuando el niño canguro abandona la posición canguro</t>
  </si>
  <si>
    <t>Promedio de edad gestacional cuando el niño canguro abandona la posición canguro</t>
  </si>
  <si>
    <t>% de madres canguro que abandonan (salida voluntaria) el alojamiento canguro</t>
  </si>
  <si>
    <t>% lactancia materna exclusiva a la salida del alojamiento conjunto</t>
  </si>
  <si>
    <t>% lactancia mixta a la salida del alojamiento conjunto</t>
  </si>
  <si>
    <t>% leche artificial exclusivoa la salida del alojamiento conjunto</t>
  </si>
  <si>
    <t>% de niños canguro que egresan a casa en posición canguro</t>
  </si>
  <si>
    <t>% de niños canguros en los cuales se entreno otro cuidador en MMC</t>
  </si>
  <si>
    <t>Indicadores URN</t>
  </si>
  <si>
    <t xml:space="preserve">Edad cronologica de entrada </t>
  </si>
  <si>
    <t xml:space="preserve">Edad cronologica de salida de la URN </t>
  </si>
  <si>
    <t>% de niños canguro que ingresan a la URN remitidos</t>
  </si>
  <si>
    <t xml:space="preserve">Promedio de peso a la entrada del servicio de neonatología </t>
  </si>
  <si>
    <t xml:space="preserve">Promedio de talla a la entrada del servicio de neonatología </t>
  </si>
  <si>
    <t xml:space="preserve">Promedio de perimetro cefálico a la entrada del servicio de neonatología </t>
  </si>
  <si>
    <t xml:space="preserve">Promedio de peso a la salida del servicio de neonatología </t>
  </si>
  <si>
    <t xml:space="preserve">Promedio de talla a la salida del servicio de neonatología </t>
  </si>
  <si>
    <t xml:space="preserve">Promedio de perimetro cefálico a la salida del servicio de neonatología </t>
  </si>
  <si>
    <t>% de niños canguro hospitalizados y que necesitaron antibióticos</t>
  </si>
  <si>
    <t>% de niños canguro que recibieron al menos 1 ciclo de antibiótico de última generación</t>
  </si>
  <si>
    <t>% de niños canguro que recibieron nutrición parenteral</t>
  </si>
  <si>
    <t>Promedio de edad cronológica en la que el niño canguro recupera su peso de nacimiento</t>
  </si>
  <si>
    <t>Promedio de Edad (días) de inicio de la posición canguro</t>
  </si>
  <si>
    <t>Promedio de tiempo máximo de horas diarias en posición canguro</t>
  </si>
  <si>
    <t>Promedio de número de días en posición canguro en la URN</t>
  </si>
  <si>
    <t>Promedio de horas de apertura de la Unidad de Recién Nacidos</t>
  </si>
  <si>
    <t>Promedio de duración de la hospitalización total</t>
  </si>
  <si>
    <t>Promedio de duración de la hospitalización en UCIN</t>
  </si>
  <si>
    <t>Promedio de días en que niño canguros recibieron soporte ventilatorio</t>
  </si>
  <si>
    <t>Promedio de días en que niño canguros recibieron soporte ventilatorio invasivo</t>
  </si>
  <si>
    <t>Promedio de días en que niño canguros recibieron soporte ventilatorio No invasivo</t>
  </si>
  <si>
    <t>% de niños que egresan con oxígeno ambulatorio</t>
  </si>
  <si>
    <t>% lactancia materna exclusiva a la salida de la URN</t>
  </si>
  <si>
    <t>% lactancia mixta a la salida de la URN</t>
  </si>
  <si>
    <t>% leche artificial a la salidade la URN</t>
  </si>
  <si>
    <t xml:space="preserve">% de niños canguros en los cuales se entreno otro cuidador en MMC </t>
  </si>
  <si>
    <t xml:space="preserve">% de pacientes que egresan a casa en posición canguro </t>
  </si>
  <si>
    <t>Promedio de días con oxígeno por cánula nasal convencional</t>
  </si>
  <si>
    <t>% de niños con diagnóstico de sepsis neonatal temprana</t>
  </si>
  <si>
    <t>% de niños con diagnóstico de sepsis neonatal tardía</t>
  </si>
  <si>
    <t xml:space="preserve">% de niños con diagnóstico de hipotermia </t>
  </si>
  <si>
    <t>% de niños con diagnóstico de síndrome de dificultad respiratoria</t>
  </si>
  <si>
    <t>% de niños con diagnóstico de hipoglicemia</t>
  </si>
  <si>
    <t xml:space="preserve">% de niños con diagnóstico de asfixia neonatal </t>
  </si>
  <si>
    <t xml:space="preserve">% de niños con diagnóstico de ictericia </t>
  </si>
  <si>
    <t xml:space="preserve">% de niños con diagnóstico de anemia </t>
  </si>
  <si>
    <t xml:space="preserve">% de niños con diagnóstico de enterocolitis necrosante </t>
  </si>
  <si>
    <t>% de niños con diagnóstico de hemorragia intraventricular</t>
  </si>
  <si>
    <t xml:space="preserve">% de niños con diagnóstico de DBP </t>
  </si>
  <si>
    <t xml:space="preserve">% de niños con diagnóstico de otro </t>
  </si>
  <si>
    <t>Indicadores  Ambulatorio</t>
  </si>
  <si>
    <t>% niños canguro que ingresan a la primera consulta desde hospitalización</t>
  </si>
  <si>
    <t>Promedio de peso a la admisión al programa ambulatorio</t>
  </si>
  <si>
    <t>Promedio de talla a la admisión al programa ambulatorio</t>
  </si>
  <si>
    <t>Promedio de perimetro cefálico a la admisión al programa ambulatorio</t>
  </si>
  <si>
    <t>Promedio de edad cronológica a la admisión al programa ambulatorio</t>
  </si>
  <si>
    <t>Intervalo en días entre la salida del hospital y la entrada al PMC ambulatorio</t>
  </si>
  <si>
    <t>Promedio de peso a las 40 semanas EG</t>
  </si>
  <si>
    <t>Promedio de talla a las 40 semanas EG</t>
  </si>
  <si>
    <t>Promedio de perimetro cefálico a las 40 semanas EG</t>
  </si>
  <si>
    <t>Promedio de peso cuando el niño abandona la posición canguro</t>
  </si>
  <si>
    <t>Promedio de talla cuando el niño abandona la posición canguro</t>
  </si>
  <si>
    <t>Promedio de perímetro cefálico cuando el niño abandona la posición canguro</t>
  </si>
  <si>
    <t>Promedio de edad gestacional cuando el niño abandona la posición canguro</t>
  </si>
  <si>
    <t>Promedio de edad cronológica cuando el niño recupera su peso al nacer</t>
  </si>
  <si>
    <t>Promedio de peso a los 3 mesesEC</t>
  </si>
  <si>
    <t>Promedio de talla a los 3 mesesEC</t>
  </si>
  <si>
    <t>Promedio de perimetro cefálico a los 3 meses EC</t>
  </si>
  <si>
    <t>Promedio de peso a los 6 mesesEC</t>
  </si>
  <si>
    <t>Promedio de talla a los 6 mesesEC</t>
  </si>
  <si>
    <t>Promedio de perimetro cefálico a los 6 meses EC</t>
  </si>
  <si>
    <t>Promedio de peso a los 9 mesesEC</t>
  </si>
  <si>
    <t>Promedio de talla a los 9 mesesEC</t>
  </si>
  <si>
    <t>Promedio de perimetro cefálico a los 9 meses EC</t>
  </si>
  <si>
    <t>Promedio de peso a los 12 meses EC</t>
  </si>
  <si>
    <t>Promedio de talla a los 12 mesesEC</t>
  </si>
  <si>
    <t>Promedio de perimetro cefálico a los 12 meses EC</t>
  </si>
  <si>
    <t>Promedio de re-hospitalizaciones entre la salida y la semana 40</t>
  </si>
  <si>
    <t>Promedio de re-hospitalizaciones entre las 40 semanas y 12 meses</t>
  </si>
  <si>
    <t xml:space="preserve">% Lactancia materna exclusiva a las 40 semanas EG </t>
  </si>
  <si>
    <t>% Leche artificial a las 40 semanas EG</t>
  </si>
  <si>
    <t>% Lactancia mixta a las 40 semanas EG</t>
  </si>
  <si>
    <t>%  prueba normal de desarrollo neuromotor a las 40 semanas EG</t>
  </si>
  <si>
    <t>% prueba transitoria de desarrollo neuromotor a las 40 semanas EG</t>
  </si>
  <si>
    <t>% anormal de la prueba de desarrollo neuromotor a las 40 semanas EG</t>
  </si>
  <si>
    <t>% de calendario de vacunación completo a las 40 semanas EG</t>
  </si>
  <si>
    <t>% Lactancia materna exclusiva a los 3 meses EC</t>
  </si>
  <si>
    <t>% Leche artificial a los 3 meses EC</t>
  </si>
  <si>
    <t>% Lactancia mixta a los 3 meses EC</t>
  </si>
  <si>
    <t>% de inicio de alimentación complementaria a los 3 meses EC</t>
  </si>
  <si>
    <t>% normal de resultado de la prueba de desarrollo neuromotor a los 3 meses EC</t>
  </si>
  <si>
    <t>% transitorio de resultado de la prueba de desarrollo neuromotor a los 3 meses EC</t>
  </si>
  <si>
    <t>% anormal de resultado de la prueba de desarrollo neuromotor a los 3 meses EC</t>
  </si>
  <si>
    <t>% de calendario de vacunación completo a los 3 meses EC</t>
  </si>
  <si>
    <t>% Lactancia materna exclusiva a los 6 meses EC</t>
  </si>
  <si>
    <t>% Leche artificial a los 6 meses EC</t>
  </si>
  <si>
    <t>% Lactancia mixta a los 6 meses EC</t>
  </si>
  <si>
    <t>% de alimentación complementaria a los 6 meses EC</t>
  </si>
  <si>
    <t>% de alimentación complementaria adecuada a los 6 meses EC</t>
  </si>
  <si>
    <t>% normal de resultado de la prueba de desarrollo neuromotor a los 6 meses EC</t>
  </si>
  <si>
    <t>% transitorio de resultado de la prueba de desarrollo neuromotor a los 6 meses EC</t>
  </si>
  <si>
    <t>% anormal de resultado de la prueba de desarrollo neuromotor a los 6 meses EC</t>
  </si>
  <si>
    <t>% de calendario de vacunación completo a los 6 meses EC</t>
  </si>
  <si>
    <t>% Lactancia materna + complementaria a los 9 meses EC</t>
  </si>
  <si>
    <t>% Leche artificial + complementaria a los 9 meses EC</t>
  </si>
  <si>
    <t>% Lactancia mixta + complementaria a los 9 meses EC</t>
  </si>
  <si>
    <t>% de alimentación complementaria adecuada a los 9 meses EC</t>
  </si>
  <si>
    <t>% normal de resultado de la prueba de desarrollo neuromotor a los 9 meses EC</t>
  </si>
  <si>
    <t>% transitorio de resultado de la prueba de desarrollo neuromotor a los 9 meses EC</t>
  </si>
  <si>
    <t>% anormal de resultado de la prueba de desarrollo neuromotor a los 9 meses EC</t>
  </si>
  <si>
    <t>% de calendario de vacunación completo a los 9 meses EC</t>
  </si>
  <si>
    <t>% Lactancia materna + complementaria a los 12 meses EC</t>
  </si>
  <si>
    <t>% Leche artificial + complementaria a los 12 meses EC</t>
  </si>
  <si>
    <t>% Lactancia mixta + complementaria a los 12 meses EC</t>
  </si>
  <si>
    <t>% de alimentación complementaria adecuada a los 12 meses EC</t>
  </si>
  <si>
    <t>% normal de resultado de la prueba de desarrollo neuromotor a los 12 meses EC</t>
  </si>
  <si>
    <t>% transitorio de resultado de la prueba de desarrollo neuromotor a los 12 meses EC</t>
  </si>
  <si>
    <t>% anormal de resultado de la prueba de desarrollo neuromotor a los 12 meses EC</t>
  </si>
  <si>
    <t>% de calendario de vacunación completo a los 12 meses EC</t>
  </si>
  <si>
    <t>% de resultado normal de la prueba psicológica a los 6 meses EC</t>
  </si>
  <si>
    <t>% anormal de resultado de la prueba psicológica a los 6 meses EC</t>
  </si>
  <si>
    <t>% de resultado normal de la prueba psicológica a los 12 meses EC</t>
  </si>
  <si>
    <t>% de resultado  anormal de la prueba psicológica a los 12 meses EC</t>
  </si>
  <si>
    <t>% niños canguro a quienes se les realizó tamizaje oftalmológico</t>
  </si>
  <si>
    <t>% resultado normal de resultado oftalmológico</t>
  </si>
  <si>
    <t>% ROP regresiva</t>
  </si>
  <si>
    <t>% ROP operada</t>
  </si>
  <si>
    <t>% retinopatía del prematuro con ceguera</t>
  </si>
  <si>
    <t>% niños canguro a quienes se les realizó tamizaje audiológico</t>
  </si>
  <si>
    <t>% de resultado normal audiológico</t>
  </si>
  <si>
    <t>% unilateral anormal de resultado audiológico</t>
  </si>
  <si>
    <t>% bilateral anormal de resultado audiológico</t>
  </si>
  <si>
    <r>
      <rPr>
        <b/>
        <sz val="10"/>
        <color theme="1"/>
        <rFont val="Segoe UI"/>
        <family val="2"/>
      </rPr>
      <t>Mortalidad neonatal inmediata</t>
    </r>
    <r>
      <rPr>
        <sz val="10"/>
        <color theme="1"/>
        <rFont val="Segoe UI"/>
        <family val="2"/>
      </rPr>
      <t xml:space="preserve"> (No niños canguro fallecidos en las primeras 24 horas/No niños canguro fallecidos antes de 28 dias)</t>
    </r>
  </si>
  <si>
    <r>
      <rPr>
        <b/>
        <sz val="10"/>
        <color theme="1"/>
        <rFont val="Segoe UI"/>
        <family val="2"/>
      </rPr>
      <t>Mortalidad neonatal precoz</t>
    </r>
    <r>
      <rPr>
        <sz val="10"/>
        <color theme="1"/>
        <rFont val="Segoe UI"/>
        <family val="2"/>
      </rPr>
      <t xml:space="preserve"> (No niños canguro fallecidos de 1 a 6 dias/No niños canguro fallecidos antes de 28 dias)</t>
    </r>
  </si>
  <si>
    <r>
      <rPr>
        <b/>
        <sz val="10"/>
        <color theme="1"/>
        <rFont val="Segoe UI"/>
        <family val="2"/>
      </rPr>
      <t>Mortalidad neonatal tardia</t>
    </r>
    <r>
      <rPr>
        <sz val="10"/>
        <color theme="1"/>
        <rFont val="Segoe UI"/>
        <family val="2"/>
      </rPr>
      <t xml:space="preserve"> (No niños canguro fallecidos de 7 a 28 dias/No niños canguro fallecidos antes de 28 dias)</t>
    </r>
  </si>
  <si>
    <r>
      <rPr>
        <b/>
        <sz val="10"/>
        <color theme="1"/>
        <rFont val="Segoe UI"/>
        <family val="2"/>
      </rPr>
      <t>Mortalidad intrahospitalaria</t>
    </r>
    <r>
      <rPr>
        <sz val="10"/>
        <color theme="1"/>
        <rFont val="Segoe UI"/>
        <family val="2"/>
      </rPr>
      <t xml:space="preserve"> antes de la salida de hospitalizacion ((No niños canguro fallecidos en sala de parto, en  URN, en alojamiento )/No niños canguro que fallecen durante el año de seguimiento) </t>
    </r>
  </si>
  <si>
    <t>COD_PAIS&amp;"-"&amp;ID_CANGURO</t>
  </si>
  <si>
    <t>MVP: COD_PAIS fijo = 170 (Colombia)</t>
  </si>
  <si>
    <t>BLK_AMBU_BASE</t>
  </si>
  <si>
    <t>BLK_SEG_ID</t>
  </si>
  <si>
    <t>REQ_CELLS_SEG_ID</t>
  </si>
  <si>
    <t>SEC_SEG_ID_INPUTS</t>
  </si>
  <si>
    <t>rango de celdas obligatorias del bloque ID de seguimiento</t>
  </si>
  <si>
    <t>rango de celdas a registrar de ID en la DB_SEGUIMIENTO</t>
  </si>
  <si>
    <t>=FRM_CLINICO!$D$56:$J$57;FRM_CLINICO!$D$126:$J$127</t>
  </si>
  <si>
    <t>REG_SEC_AMBU_3M</t>
  </si>
  <si>
    <t>BLK_CLIN_NAC</t>
  </si>
  <si>
    <t>rango del bloque de Institución de Nacimiento del Paciente</t>
  </si>
  <si>
    <t>=FRM_CLINICO!$D$46:$J$47;FRM_CLINICO!$D$66:$J$67;FRM_CLINICO!$L$56:$R$57;FRM_CLINICO!$L$61:$R$62;FRM_CLINICO!$L$66:$R$67</t>
  </si>
  <si>
    <t>=FRM_CLINICO!$C$6:$H$7;FRM_CLINICO!$D$21:$J$22;FRM_CLINICO!$D$41:$J$42;FRM_CLINICO!$D$81:$J$82;FRM_CLINICO!$D$86:$J$87;FRM_CLINICO!$L$111:$R$112</t>
  </si>
  <si>
    <t>=FRM_CLINICO!$C$6:$H$7;FRM_CLINICO!$D$16:$J$17;FRM_CLINICO!$D$21:$J$22;FRM_CLINICO!$L$16:$R$17;FRM_CLINICO!$D$36:$J$37;FRM_CLINICO!$D$41:$J$42;FRM_CLINICO!$D$56:$J$57;FRM_CLINICO!$D$61:$J$62;FRM_CLINICO!$D$66:$J$67;FRM_CLINICO!$L$56:$R$57;FRM_CLINICO!$L$71:$R$72;FRM_CLINICO!$D$81:$J$82;FRM_CLINICO!$D$86:$J$87;FRM_CLINICO!$D$91:$J$92;FRM_CLINICO!$D$96:$J$97;FRM_CLINICO!$L$81:$R$82;FRM_CLINICO!$L$86:$R$87;FRM_CLINICO!$L$91:$R$92;FRM_CLINICO!$L$96:$R$97;FRM_CLINICO!$D$121:$J$122;FRM_CLINICO!$D$126:$J$127;FRM_CLINICO!$D$131:$J$132;FRM_CLINICO!$D$141:$J$142</t>
  </si>
  <si>
    <t>=FRM_CLINICO!$A$30:$U$49</t>
  </si>
  <si>
    <t>=FRM_CLINICO!$C$6:$H$7;FRM_CLINICO!$J$6:$M$7;FRM_CLINICO!$D$16:$J$17;FRM_CLINICO!$D$21:$J$22;FRM_CLINICO!$D$26:$J$27;FRM_CLINICO!$L$16:$R$17;FRM_CLINICO!$D$36:$J$37;FRM_CLINICO!$D$41:$J$42;FRM_CLINICO!$L$41:$R$42;FRM_CLINICO!$L$36:$R$37;FRM_CLINICO!$D$46:$J$47;FRM_CLINICO!$D$56:$J$57;FRM_CLINICO!$D$61:$J$62;FRM_CLINICO!$D$66:$J$67;FRM_CLINICO!$L$56:$R$57;FRM_CLINICO!$L$61:$R$62;FRM_CLINICO!$L$66:$R$67;FRM_CLINICO!$L$71:$R$72;FRM_CLINICO!$D$81:$J$82;FRM_CLINICO!$D$86:$J$87;FRM_CLINICO!$D$91:$J$92;FRM_CLINICO!$D$96:$J$97;FRM_CLINICO!$L$81:$R$82;FRM_CLINICO!$L$86:$R$87;FRM_CLINICO!$L$91:$R$92;FRM_CLINICO!$L$96:$R$97;FRM_CLINICO!$D$106:$J$107;FRM_CLINICO!$D$111:$J$112;FRM_CLINICO!$L$111:$R$112;FRM_CLINICO!$D$121:$J$122;FRM_CLINICO!$D$126:$J$127;FRM_CLINICO!$D$131:$J$132;FRM_CLINICO!$D$141:$J$142</t>
  </si>
  <si>
    <t>=FRM_SEGUIMIENTO!$L$65:$R$66;FRM_SEGUIMIENTO!$D$86:$J$87;FRM_SEGUIMIENTO!$D$167:$J$168;FRM_SEGUIMIENTO!$D$282:$J$283;FRM_SEGUIMIENTO!$D$323:$J$324;FRM_SEGUIMIENTO!$L$323:$R$324</t>
  </si>
  <si>
    <t>=FRM_SEGUIMIENTO!$L$30:$R$31;FRM_SEGUIMIENTO!$D$35:$J$36;FRM_SEGUIMIENTO!$L$45:$R$46;FRM_SEGUIMIENTO!$L$91:$R$92;FRM_SEGUIMIENTO!$D$96:$J$97;FRM_SEGUIMIENTO!$L$96:$R$97;FRM_SEGUIMIENTO!$L$116:$R$117;FRM_SEGUIMIENTO!$D$121:$J$122;FRM_SEGUIMIENTO!$L$121:$R$122;FRM_SEGUIMIENTO!$D$131:$J$132;FRM_SEGUIMIENTO!$L$131:$R$132;FRM_SEGUIMIENTO!$D$136:$J$137;FRM_SEGUIMIENTO!$D$172:$J$173;FRM_SEGUIMIENTO!$L$172:$R$173;FRM_SEGUIMIENTO!$D$177:$J$178;FRM_SEGUIMIENTO!$D$222:$J$223;FRM_SEGUIMIENTO!$L$247:$R$248;FRM_SEGUIMIENTO!$L$252:$R$253;FRM_SEGUIMIENTO!$L$282:$R$283;FRM_SEGUIMIENTO!$D$287:$J$288;FRM_SEGUIMIENTO!$L$287:$R$288;FRM_SEGUIMIENTO!$L$328:$R$329;FRM_SEGUIMIENTO!$D$333:$J$334;FRM_SEGUIMIENTO!$L$333:$R$334;FRM_SEGUIMIENTO!$D$351:$J$352;FRM_SEGUIMIENTO!$L$351:$R$352;FRM_SEGUIMIENTO!$L$356:$R$357;FRM_SEGUIMIENTO!$L$386:$R$387;FRM_SEGUIMIENTO!$D$391:$J$392;FRM_SEGUIMIENTO!$L$391:$R$392;FRM_SEGUIMIENTO!$D$419:$J$420;FRM_SEGUIMIENTO!$L$419:$R$420;FRM_SEGUIMIENTO!$D$424:$J$425;FRM_SEGUIMIENTO!$D$467:$J$468;FRM_SEGUIMIENTO!$L$467:$R$468;FRM_SEGUIMIENTO!$D$472:$J$473;FRM_SEGUIMIENTO!$D$510:$J$511;FRM_SEGUIMIENTO!$L$510:$R$511;FRM_SEGUIMIENTO!$D$515:$J$516;FRM_SEGUIMIENTO!$D$548:$J$549;FRM_SEGUIMIENTO!$L$548:$R$549;FRM_SEGUIMIENTO!$D$553:$J$554</t>
  </si>
  <si>
    <t>=FRM_SEGUIMIENTO!$C$6:$H$7;FRM_SEGUIMIENTO!$D$91:$J$92;FRM_SEGUIMIENTO!$D$106:$J$107;FRM_SEGUIMIENTO!$D$116:$J$117;FRM_SEGUIMIENTO!$D$217:$J$218;FRM_SEGUIMIENTO!$L$217:$R$218;FRM_SEGUIMIENTO!$D$227:$J$228;FRM_SEGUIMIENTO!$D$237:$J$238;FRM_SEGUIMIENTO!$D$247:$J$248;FRM_SEGUIMIENTO!$D$252:$J$253;FRM_SEGUIMIENTO!$D$292:$J$293;FRM_SEGUIMIENTO!$L$292:$R$293;FRM_SEGUIMIENTO!$L$361:$R$362;FRM_SEGUIMIENTO!$D$386:$J$387;FRM_SEGUIMIENTO!$D$401:$J$402;FRM_SEGUIMIENTO!$L$553:$R$554</t>
  </si>
  <si>
    <t>=FRM_SEGUIMIENTO!$K$192:$K$193;FRM_SEGUIMIENTO!$K$195:$K$196;FRM_SEGUIMIENTO!$K$198:$K$199;FRM_SEGUIMIENTO!$K$201:$K$202;FRM_SEGUIMIENTO!$K$204:$K$205;FRM_SEGUIMIENTO!$K$207:$K$208;FRM_SEGUIMIENTO!$O$192:$O$193;FRM_SEGUIMIENTO!$O$195:$O$196;FRM_SEGUIMIENTO!$O$198:$O$199;FRM_SEGUIMIENTO!$O$201:$O$202;FRM_SEGUIMIENTO!$O$204:$O$205;FRM_SEGUIMIENTO!$O$207:$O$208</t>
  </si>
  <si>
    <t>=FRM_SEGUIMIENTO!$C$6:$H$7</t>
  </si>
  <si>
    <t>=FRM_SEGUIMIENTO!$L$25:$R$26;FRM_SEGUIMIENTO!$D$45:$J$46;FRM_SEGUIMIENTO!$L$45:$R$46;FRM_SEGUIMIENTO!$D$50:$J$51;FRM_SEGUIMIENTO!$D$65:$J$66;FRM_SEGUIMIENTO!$L$65:$R$66</t>
  </si>
  <si>
    <t>=FRM_SEGUIMIENTO!$D$86:$J$87;FRM_SEGUIMIENTO!$L$86:$R$87;FRM_SEGUIMIENTO!$D$91:$J$92;FRM_SEGUIMIENTO!$L$91:$R$92;FRM_SEGUIMIENTO!$D$131:$J$132;FRM_SEGUIMIENTO!$D$141:$J$142;FRM_SEGUIMIENTO!$D$146:$J$147;FRM_SEGUIMIENTO!$L$136:$R$137;FRM_SEGUIMIENTO!$L$141:$R$142;FRM_SEGUIMIENTO!$L$146:$R$147</t>
  </si>
  <si>
    <t>=FRM_SEGUIMIENTO!$D$323:$J$324;FRM_SEGUIMIENTO!$L$323:$R$324;FRM_SEGUIMIENTO!$D$328:$J$329;FRM_SEGUIMIENTO!$L$328:$R$329;FRM_SEGUIMIENTO!$D$338:$J$339</t>
  </si>
  <si>
    <t>=FRM_SEGUIMIENTO!$D$351:$J$352;FRM_SEGUIMIENTO!$D$356:$J$357;FRM_SEGUIMIENTO!$D$361:$J$362;FRM_SEGUIMIENTO!$L$361:$R$362;FRM_SEGUIMIENTO!$D$366:$J$367;FRM_SEGUIMIENTO!$L$366:$R$367;FRM_SEGUIMIENTO!$D$371:$J$372;FRM_SEGUIMIENTO!$L$371:$R$372;FRM_SEGUIMIENTO!$D$376:$J$377;FRM_SEGUIMIENTO!$L$376:$R$377;FRM_SEGUIMIENTO!$L$386:$R$387</t>
  </si>
  <si>
    <t>=FRM_SEGUIMIENTO!$D$419:$J$420;FRM_SEGUIMIENTO!$D$429:$J$430;FRM_SEGUIMIENTO!$L$429:$R$430;FRM_SEGUIMIENTO!$D$434:$J$435;FRM_SEGUIMIENTO!$L$434:$R$435;FRM_SEGUIMIENTO!$D$439:$J$440;FRM_SEGUIMIENTO!$L$439:$R$440;FRM_SEGUIMIENTO!$D$444:$J$445;FRM_SEGUIMIENTO!$L$444:$R$445;FRM_SEGUIMIENTO!$D$449:$J$450;FRM_SEGUIMIENTO!$L$449:$R$450</t>
  </si>
  <si>
    <t>=FRM_SEGUIMIENTO!$D$467:$J$468;FRM_SEGUIMIENTO!$L$472:$R$473;FRM_SEGUIMIENTO!$D$477:$J$478;FRM_SEGUIMIENTO!$L$477:$R$478;FRM_SEGUIMIENTO!$D$482:$J$483;FRM_SEGUIMIENTO!$L$482:$R$483;FRM_SEGUIMIENTO!$D$487:$J$488;FRM_SEGUIMIENTO!$L$487:$R$488;FRM_SEGUIMIENTO!$D$492:$J$493</t>
  </si>
  <si>
    <t>=FRM_SEGUIMIENTO!$D$510:$J$511;FRM_SEGUIMIENTO!$L$515:$R$516;FRM_SEGUIMIENTO!$D$520:$J$521;FRM_SEGUIMIENTO!$L$520:$R$521;FRM_SEGUIMIENTO!$D$525:$J$526;FRM_SEGUIMIENTO!$L$525:$R$526;FRM_SEGUIMIENTO!$D$530:$J$531</t>
  </si>
  <si>
    <t>=FRM_SEGUIMIENTO!$D$548:$J$549;FRM_SEGUIMIENTO!$L$553:$R$554;FRM_SEGUIMIENTO!$D$558:$J$559;FRM_SEGUIMIENTO!$L$558:$R$559;FRM_SEGUIMIENTO!$D$563:$J$564;FRM_SEGUIMIENTO!$L$563:$R$564;FRM_SEGUIMIENTO!$D$568:$J$569;FRM_SEGUIMIENTO!$L$568:$R$569;FRM_SEGUIMIENTO!$D$573:$J$574;FRM_SEGUIMIENTO!$L$573:$R$574;FRM_SEGUIMIENTO!$D$578:$J$579;FRM_SEGUIMIENTO!$L$578:$R$579;FRM_SEGUIMIENTO!$D$583:$J$584;FRM_SEGUIMIENTO!$L$583:$R$584</t>
  </si>
  <si>
    <t>=FRM_SEGUIMIENTO!$A$8:$U$73</t>
  </si>
  <si>
    <t>=FRM_SEGUIMIENTO!$A$74:$U$154</t>
  </si>
  <si>
    <t>=FRM_SEGUIMIENTO!$A$155:$U$310</t>
  </si>
  <si>
    <t>=FRM_SEGUIMIENTO!$A$311:$U$341</t>
  </si>
  <si>
    <t>=FRM_SEGUIMIENTO!$A$342:$U$409</t>
  </si>
  <si>
    <t>=FRM_SEGUIMIENTO!$A$410:$U$457</t>
  </si>
  <si>
    <t>=FRM_SEGUIMIENTO!$A$458:$U$500</t>
  </si>
  <si>
    <t>=FRM_SEGUIMIENTO!$A$501:$U$538</t>
  </si>
  <si>
    <t>=FRM_SEGUIMIENTO!$A$539:$U$591</t>
  </si>
  <si>
    <t>=FRM_SEGUIMIENTO!$C$6:$H$7;FRM_SEGUIMIENTO!$J$6:$M$7</t>
  </si>
  <si>
    <t>=FRM_SEGUIMIENTO!$D$20:$J$21;FRM_SEGUIMIENTO!$L$20:$R$21;FRM_SEGUIMIENTO!$D$25:$J$26;FRM_SEGUIMIENTO!$D$30:$J$31;FRM_SEGUIMIENTO!$L$25:$R$26;FRM_SEGUIMIENTO!$L$30:$R$31;FRM_SEGUIMIENTO!$D$35:$J$36;FRM_SEGUIMIENTO!$D$45:$J$46;FRM_SEGUIMIENTO!$L$45:$R$46;FRM_SEGUIMIENTO!$D$50:$J$51;FRM_SEGUIMIENTO!$L$50:$R$51;FRM_SEGUIMIENTO!$D$55:$J$56;FRM_SEGUIMIENTO!$D$65:$J$66;FRM_SEGUIMIENTO!$L$65:$R$66</t>
  </si>
  <si>
    <t>=FRM_SEGUIMIENTO!$D$86:$J$87;FRM_SEGUIMIENTO!$L$86:$R$87;FRM_SEGUIMIENTO!$D$91:$J$92;FRM_SEGUIMIENTO!$L$91:$R$92;FRM_SEGUIMIENTO!$D$96:$J$97;FRM_SEGUIMIENTO!$L$96:$R$97;FRM_SEGUIMIENTO!$D$106:$J$107;FRM_SEGUIMIENTO!$D$116:$J$117;FRM_SEGUIMIENTO!$L$116:$R$117;FRM_SEGUIMIENTO!$D$121:$J$122;FRM_SEGUIMIENTO!$L$121:$R$122;FRM_SEGUIMIENTO!$D$131:$J$132;FRM_SEGUIMIENTO!$L$131:$R$132;FRM_SEGUIMIENTO!$D$136:$J$137;FRM_SEGUIMIENTO!$D$141:$J$142;FRM_SEGUIMIENTO!$D$146:$J$147;FRM_SEGUIMIENTO!$L$136:$R$137;FRM_SEGUIMIENTO!$L$141:$R$142;FRM_SEGUIMIENTO!$L$146:$R$147</t>
  </si>
  <si>
    <t>=FRM_SEGUIMIENTO!$D$323:$J$324;FRM_SEGUIMIENTO!$L$323:$R$324;FRM_SEGUIMIENTO!$D$328:$J$329;FRM_SEGUIMIENTO!$L$328:$R$329;FRM_SEGUIMIENTO!$D$333:$J$334;FRM_SEGUIMIENTO!$L$333:$R$334;FRM_SEGUIMIENTO!$D$338:$J$339</t>
  </si>
  <si>
    <t>=FRM_SEGUIMIENTO!$D$351:$J$352;FRM_SEGUIMIENTO!$L$351:$R$352;FRM_SEGUIMIENTO!$L$356:$R$357;FRM_SEGUIMIENTO!$D$356:$J$357;FRM_SEGUIMIENTO!$D$361:$J$362;FRM_SEGUIMIENTO!$L$361:$R$362;FRM_SEGUIMIENTO!$D$366:$J$367;FRM_SEGUIMIENTO!$L$366:$R$367;FRM_SEGUIMIENTO!$D$371:$J$372;FRM_SEGUIMIENTO!$L$371:$R$372;FRM_SEGUIMIENTO!$D$376:$J$377;FRM_SEGUIMIENTO!$L$376:$R$377;FRM_SEGUIMIENTO!$D$386:$J$387;FRM_SEGUIMIENTO!$L$386:$R$387;FRM_SEGUIMIENTO!$D$391:$J$392;FRM_SEGUIMIENTO!$L$391:$R$392;FRM_SEGUIMIENTO!$D$401:$J$402;FRM_SEGUIMIENTO!$L$401:$R$402</t>
  </si>
  <si>
    <t>=FRM_SEGUIMIENTO!$D$419:$J$420;FRM_SEGUIMIENTO!$L$419:$R$420;FRM_SEGUIMIENTO!$D$424:$J$425;FRM_SEGUIMIENTO!$L$424:$R$425;FRM_SEGUIMIENTO!$D$429:$J$430;FRM_SEGUIMIENTO!$L$429:$R$430;FRM_SEGUIMIENTO!$D$434:$J$435;FRM_SEGUIMIENTO!$L$434:$R$435;FRM_SEGUIMIENTO!$D$439:$J$440;FRM_SEGUIMIENTO!$L$439:$R$440;FRM_SEGUIMIENTO!$D$444:$J$445;FRM_SEGUIMIENTO!$L$444:$R$445;FRM_SEGUIMIENTO!$D$449:$J$450;FRM_SEGUIMIENTO!$L$449:$R$450</t>
  </si>
  <si>
    <t>=FRM_SEGUIMIENTO!$D$467:$J$468;FRM_SEGUIMIENTO!$L$467:$R$468;FRM_SEGUIMIENTO!$D$472:$J$473;FRM_SEGUIMIENTO!$L$472:$R$473;FRM_SEGUIMIENTO!$D$477:$J$478;FRM_SEGUIMIENTO!$L$477:$R$478;FRM_SEGUIMIENTO!$D$482:$J$483;FRM_SEGUIMIENTO!$L$482:$R$483;FRM_SEGUIMIENTO!$D$487:$J$488;FRM_SEGUIMIENTO!$L$487:$R$488;FRM_SEGUIMIENTO!$D$492:$J$493</t>
  </si>
  <si>
    <t>=FRM_SEGUIMIENTO!$D$510:$J$511;FRM_SEGUIMIENTO!$L$510:$R$511;FRM_SEGUIMIENTO!$D$515:$J$516;FRM_SEGUIMIENTO!$L$515:$R$516;FRM_SEGUIMIENTO!$D$520:$J$521;FRM_SEGUIMIENTO!$L$520:$R$521;FRM_SEGUIMIENTO!$D$525:$J$526;FRM_SEGUIMIENTO!$L$525:$R$526;FRM_SEGUIMIENTO!$D$530:$J$531</t>
  </si>
  <si>
    <t>=FRM_SEGUIMIENTO!$D$548:$J$549;FRM_SEGUIMIENTO!$L$548:$R$549;FRM_SEGUIMIENTO!$D$553:$J$554;FRM_SEGUIMIENTO!$L$553:$R$554;FRM_SEGUIMIENTO!$D$558:$J$559;FRM_SEGUIMIENTO!$L$558:$R$559;FRM_SEGUIMIENTO!$D$563:$J$564;FRM_SEGUIMIENTO!$L$563:$R$564;FRM_SEGUIMIENTO!$D$568:$J$569;FRM_SEGUIMIENTO!$L$568:$R$569;FRM_SEGUIMIENTO!$D$573:$J$574;FRM_SEGUIMIENTO!$L$573:$R$574;FRM_SEGUIMIENTO!$D$578:$J$579;FRM_SEGUIMIENTO!$L$578:$R$579;FRM_SEGUIMIENTO!$D$583:$J$584;FRM_SEGUIMIENTO!$L$583:$R$584</t>
  </si>
  <si>
    <t>Parámetros</t>
  </si>
  <si>
    <t>PASSWORDS</t>
  </si>
  <si>
    <t>PASS_SHEETS</t>
  </si>
  <si>
    <t>PASS_WORKBOOK</t>
  </si>
  <si>
    <t>PASS_ADMON</t>
  </si>
  <si>
    <t>REG_SEC_FALLECIDO</t>
  </si>
  <si>
    <t>Aceptar</t>
  </si>
  <si>
    <t>LABEL_DATEPICKER_TITLE</t>
  </si>
  <si>
    <t>Seleccionar fecha</t>
  </si>
  <si>
    <t>LABEL_DAY</t>
  </si>
  <si>
    <t>Día</t>
  </si>
  <si>
    <t>LABEL_MONTH</t>
  </si>
  <si>
    <t>LABEL_YEAR</t>
  </si>
  <si>
    <t>Cancelar</t>
  </si>
  <si>
    <t>Hoy</t>
  </si>
  <si>
    <t>Borrar</t>
  </si>
  <si>
    <t>MSG_TITLE_VALIDATION</t>
  </si>
  <si>
    <t>MSG_TITLE_SEARCH</t>
  </si>
  <si>
    <t>MSG_TITLE_REGISTRATION</t>
  </si>
  <si>
    <t>MSG_TITLE_INFORMATION</t>
  </si>
  <si>
    <t>MSG_TITLE_ERROR</t>
  </si>
  <si>
    <t>Validación</t>
  </si>
  <si>
    <t>Búsqueda de paciente</t>
  </si>
  <si>
    <t>Registro</t>
  </si>
  <si>
    <t>Información</t>
  </si>
  <si>
    <t>Error</t>
  </si>
  <si>
    <t>Formulario de fecha</t>
  </si>
  <si>
    <t>Paciente no existe en la base de datos actual.</t>
  </si>
  <si>
    <t>Paciente encontrado en la base de datos actual.</t>
  </si>
  <si>
    <t>MSG_PATIENT_FOUND</t>
  </si>
  <si>
    <t>MSG_PATIENT_NOT_FOUND</t>
  </si>
  <si>
    <t>El paciente ya existe en la base de datos actual. Utilice “Buscar Paciente” para consultar la información registrada.</t>
  </si>
  <si>
    <t>MSG_PATIENT_ALREADY_EXISTS_SEARCH_FIRST</t>
  </si>
  <si>
    <t>Información del paciente registrada con éxito.</t>
  </si>
  <si>
    <t>No es posible registrar la información, existen campos obligatorios marcados en rojo sin diligenciar.</t>
  </si>
  <si>
    <t>MSG_INFO_ALREADY_REGISTERED</t>
  </si>
  <si>
    <t>Información ya registrada con anterioridad y no puede ser modificada.</t>
  </si>
  <si>
    <t>Botones hojas</t>
  </si>
  <si>
    <t>ID Canguro:</t>
  </si>
  <si>
    <t>ID Nacional:</t>
  </si>
  <si>
    <t>Formulario información clínica</t>
  </si>
  <si>
    <t>Formulario seguimiento - sala de partos</t>
  </si>
  <si>
    <t>Formulario seguimiento - alojamiento conjunto</t>
  </si>
  <si>
    <t>Formulario seguimiento - URN</t>
  </si>
  <si>
    <t>Formulario seguimiento - ambulatorio - 40 semanas</t>
  </si>
  <si>
    <t>Formulario seguimiento - ambulatorio - base</t>
  </si>
  <si>
    <t>Formulario seguimiento - ambulatorio - 3 meses</t>
  </si>
  <si>
    <t>Formulario seguimiento - ambulatorio - 6 meses</t>
  </si>
  <si>
    <t>Formulario seguimiento - ambulatorio - 9 meses</t>
  </si>
  <si>
    <t>Formulario seguimiento - ambulatorio - 12 meses</t>
  </si>
  <si>
    <t>BTN_DP_OK</t>
  </si>
  <si>
    <t>BTN_DP_CANCEL</t>
  </si>
  <si>
    <t>BTN_DP_TODAY</t>
  </si>
  <si>
    <t>BTN_DP_CLEAR</t>
  </si>
  <si>
    <t>LABEL_CLIN_FORM_TITLE</t>
  </si>
  <si>
    <t>LABEL_CLIN_INST_CURR_PAT</t>
  </si>
  <si>
    <t>LABEL_CLIN_NAME_INST</t>
  </si>
  <si>
    <t>LABEL_CLIN_NUM_INST</t>
  </si>
  <si>
    <t>LABEL_CLIN_LEVEL_INST</t>
  </si>
  <si>
    <t>LABEL_CLIN_BORN_INST</t>
  </si>
  <si>
    <t>LABEL_CLIN_INST_BIRTH_PAT</t>
  </si>
  <si>
    <t>LABEL_CLIN_NAME_INST_BIRTH</t>
  </si>
  <si>
    <t>LABEL_CLIN_NUM_ASSIGNED_INST_BIRTH</t>
  </si>
  <si>
    <t>LABEL_CLIN_LEVEL_INST_BIRTH</t>
  </si>
  <si>
    <t>LABEL_CLIN_DIST_FROM_PLACE_REF_TO_INST</t>
  </si>
  <si>
    <t>LABEL_CLIN_ENTERS_INST_POS_KC</t>
  </si>
  <si>
    <t>LABEL_CLIN_BIRTH</t>
  </si>
  <si>
    <t>LABEL_CLIN_DATE_BIRTH</t>
  </si>
  <si>
    <t>LABEL_CLIN_SEX</t>
  </si>
  <si>
    <t>LABEL_CLIN_AGE_GA_BIRTH</t>
  </si>
  <si>
    <t>LABEL_CLIN_WT_BIRTH</t>
  </si>
  <si>
    <t>LABEL_CLIN_LEN_BIRTH</t>
  </si>
  <si>
    <t>LABEL_CLIN_HC_HEAD</t>
  </si>
  <si>
    <t>LABEL_CLIN_HAS_IUGR_BIRTH</t>
  </si>
  <si>
    <t>LABEL_CLIN_MOTHER</t>
  </si>
  <si>
    <t>LABEL_CLIN_AGE_BR_ANOS</t>
  </si>
  <si>
    <t>LABEL_CLIN_NUM_CONTROLES_PRENATALES</t>
  </si>
  <si>
    <t>LABEL_CLIN_TYPE_EDU_MOTHER</t>
  </si>
  <si>
    <t>LABEL_CLIN_STATUS_CIVIL_NETWORK_SUPPORT</t>
  </si>
  <si>
    <t>LABEL_CLIN_FUE_EMBARAZO_DESEADO</t>
  </si>
  <si>
    <t>LABEL_CLIN_MOTHER_WITH_TOXEMIA</t>
  </si>
  <si>
    <t>LABEL_CLIN_MOTHER_CONSUMIDORA_SUSTANCIAS_PSICOACTIVAS</t>
  </si>
  <si>
    <t>LABEL_CLIN_MORTALIDAD_BR</t>
  </si>
  <si>
    <t>LABEL_CLIN_WILLBE_REFERRED_OTHER_PLACE</t>
  </si>
  <si>
    <t>LABEL_CLIN_WILLBE_REFERRED_OTHER_INST</t>
  </si>
  <si>
    <t>LABEL_CLIN_NAME_INST_WHERE_WILLBE_REFERRED</t>
  </si>
  <si>
    <t>LABEL_CLIN_NUM_ASSIGNED_INST_REFERRED</t>
  </si>
  <si>
    <t>LABEL_CLIN_STATUS_VITAL</t>
  </si>
  <si>
    <t>LABEL_CLIN_STATUS_VITAL_2</t>
  </si>
  <si>
    <t>LABEL_CLIN_DATE_DEATH</t>
  </si>
  <si>
    <t>LABEL_CLIN_PLACE_DEATH</t>
  </si>
  <si>
    <t>LABEL_CLIN_FUP</t>
  </si>
  <si>
    <t>LABEL_CLIN_FUP_MUAC</t>
  </si>
  <si>
    <t>LABEL_SEG_SALA_FORM_TITLE</t>
  </si>
  <si>
    <t>LABEL_SEG_SALA_TITLE</t>
  </si>
  <si>
    <t>LABEL_SEG_SALA_O2_TX</t>
  </si>
  <si>
    <t>LABEL_SEG_SALA_REQUERIMIENTO_O2_DURING_ADAPT</t>
  </si>
  <si>
    <t>LABEL_SEG_SALA_USO_O2_PURO_HAS_WITH_BLENDER</t>
  </si>
  <si>
    <t>LABEL_SEG_SALA_REQUIRED_INSTALACION_CPAP_IMMED</t>
  </si>
  <si>
    <t>LABEL_SEG_SALA_ROUTE_DELIVERY</t>
  </si>
  <si>
    <t>LABEL_SEG_SALA_TYPE_ADAPT_NEO</t>
  </si>
  <si>
    <t>LABEL_SEG_SALA_APGAR_1_MINUTO</t>
  </si>
  <si>
    <t>LABEL_SEG_SALA_APGAR_5_MINUTOS</t>
  </si>
  <si>
    <t>LABEL_SEG_SALA_KMC_IMMED_TRANSPORT</t>
  </si>
  <si>
    <t>LABEL_SEG_SALA_PUESTA_POS_KC_IMMED</t>
  </si>
  <si>
    <t>LABEL_SEG_SALA_DURATION_POS_KC_PRIMER_DAY_LIFE</t>
  </si>
  <si>
    <t>LABEL_SEG_SALA_RECEIVED_BF_BR_FIRST_HOUR_LIFE</t>
  </si>
  <si>
    <t>LABEL_SEG_SALA_DOES_TRANSPORT_POS_KC_URN_ROOMING</t>
  </si>
  <si>
    <t>LABEL_SEG_SALA_DOES_TRANSPORT_POS_KC_REFS_OTHER</t>
  </si>
  <si>
    <t>LABEL_SEG_SALA_DEST_PAT</t>
  </si>
  <si>
    <t>LABEL_SEG_SALA_DEST_PAT_POST_DELIV_ROOM</t>
  </si>
  <si>
    <t>LABEL_SEG_SALA_DATE_OUTPUT_FROM_DELIV_ROOM</t>
  </si>
  <si>
    <t>LABEL_SEG_ALOJ_TITLE</t>
  </si>
  <si>
    <t>LABEL_SEG_ALOJ_ADM</t>
  </si>
  <si>
    <t>LABEL_SEG_ALOJ_DATE_INPUT_ROOMING_IN</t>
  </si>
  <si>
    <t>LABEL_SEG_ALOJ_WHERE_COMES_INFANT_KC</t>
  </si>
  <si>
    <t>LABEL_SEG_ALOJ_DURATION_STAY_ROOMING_IN</t>
  </si>
  <si>
    <t>LABEL_SEG_ALOJ_WT_ADM_ROOMING_IN</t>
  </si>
  <si>
    <t>LABEL_SEG_ALOJ_LEN_ADM_ROOMING_IN</t>
  </si>
  <si>
    <t>LABEL_SEG_ALOJ_HC_HEAD_ADM_ROOMING_IN</t>
  </si>
  <si>
    <t>LABEL_SEG_ALOJ_RECOVERY_WT_BIRTH</t>
  </si>
  <si>
    <t>LABEL_SEG_ALOJ_AGE_CA_INFANT_KC_RECOV_WT</t>
  </si>
  <si>
    <t>LABEL_SEG_ALOJ_FINALIZACION_POS_KC</t>
  </si>
  <si>
    <t>LABEL_SEG_ALOJ_AGE_CA_INFANT_ABANDONS_POS_KC</t>
  </si>
  <si>
    <t>LABEL_SEG_ALOJ_LEN_WHEN_INFANT_ABANDONS_POS_KC</t>
  </si>
  <si>
    <t>LABEL_SEG_ALOJ_WT_WHEN_INFANT_ABANDONS_POS_KC</t>
  </si>
  <si>
    <t>LABEL_SEG_ALOJ_HC_HEAD_WHEN_INFANT_ABANDONS_POS</t>
  </si>
  <si>
    <t>LABEL_SEG_ALOJ_OUTPUT</t>
  </si>
  <si>
    <t>LABEL_SEG_ALOJ_WT_OUTPUT_ROOMING_IN</t>
  </si>
  <si>
    <t>LABEL_SEG_ALOJ_LEN_OUTPUT_ROOMING_IN</t>
  </si>
  <si>
    <t>LABEL_SEG_ALOJ_HC_HEAD_OUTPUT_ROOMING_IN</t>
  </si>
  <si>
    <t>LABEL_SEG_ALOJ_MOTHER_ABANDONS_ROOMING_KC_SOLICITANDO_OUTPUT</t>
  </si>
  <si>
    <t>LABEL_SEG_ALOJ_TYPE_FEED_DIRECTA_OUTPUT_ROOMING_IN</t>
  </si>
  <si>
    <t>LABEL_SEG_ALOJ_INFANT_KC_DC_HOME_POS</t>
  </si>
  <si>
    <t>LABEL_SEG_ALOJ_ENTRENO_OTHER_CAREGIVER_KMC</t>
  </si>
  <si>
    <t>LABEL_SEG_ALOJ_DEST_PAT_POST_ROOMING_KC</t>
  </si>
  <si>
    <t>LABEL_SEG_URN_TITLE</t>
  </si>
  <si>
    <t>LABEL_SEG_URN_ADM</t>
  </si>
  <si>
    <t>LABEL_SEG_URN_DATE_INPUT</t>
  </si>
  <si>
    <t>LABEL_SEG_URN_PLACE_PROCEDENCIA</t>
  </si>
  <si>
    <t>LABEL_SEG_URN_WT_INPUT</t>
  </si>
  <si>
    <t>LABEL_SEG_URN_LEN_INPUT</t>
  </si>
  <si>
    <t>LABEL_SEG_URN_HC_HEAD_INPUT</t>
  </si>
  <si>
    <t>LABEL_SEG_URN_MANEJO_NEO</t>
  </si>
  <si>
    <t>LABEL_SEG_URN_INFANT_KC_NECESITO_ANTIBIOTICO</t>
  </si>
  <si>
    <t>LABEL_SEG_URN_RECEIVED_CICLO_ANTIBIOTICO_ULTIMA_GENERACION</t>
  </si>
  <si>
    <t>LABEL_SEG_URN_RECEIVED_NUTR_PARENTERAL</t>
  </si>
  <si>
    <t>LABEL_SEG_URN_DX_SEPSIS_NEO_TEMPRANA</t>
  </si>
  <si>
    <t>LABEL_SEG_URN_DX_SEPSIS_NEO_TARDIA</t>
  </si>
  <si>
    <t>LABEL_SEG_URN_DX_HYPOTHERMIA</t>
  </si>
  <si>
    <t>LABEL_SEG_URN_DX_SINDROME_DIFICULTAD_RESPIRATORIA</t>
  </si>
  <si>
    <t>LABEL_SEG_URN_DX_HYPOGLYCEMIA</t>
  </si>
  <si>
    <t>LABEL_SEG_URN_DX_ASPHYXIA_NEO</t>
  </si>
  <si>
    <t>LABEL_SEG_URN_DX_ICTERICIA</t>
  </si>
  <si>
    <t>LABEL_SEG_URN_DX_ANEMIA</t>
  </si>
  <si>
    <t>LABEL_SEG_URN_DX_NEC</t>
  </si>
  <si>
    <t>LABEL_SEG_URN_DX_HEMORRHAGE_IVH</t>
  </si>
  <si>
    <t>LABEL_SEG_URN_DX_BPD</t>
  </si>
  <si>
    <t>LABEL_SEG_URN_DX_OTHER</t>
  </si>
  <si>
    <t>LABEL_SEG_URN_WHICH</t>
  </si>
  <si>
    <t>LABEL_SEG_URN_MANEJO_NEO_O2</t>
  </si>
  <si>
    <t>LABEL_SEG_URN_TOTAL_SUPPORT_VENT</t>
  </si>
  <si>
    <t>LABEL_SEG_URN_TOTAL_SUPPORT_VENT_INV</t>
  </si>
  <si>
    <t>LABEL_SEG_URN_TOTAL_SUPPORT_VENT_NO_INV</t>
  </si>
  <si>
    <t>LABEL_SEG_URN_DC_WITH_O2_AMB</t>
  </si>
  <si>
    <t>LABEL_SEG_URN_TOTAL_DAYS_O2_CANNULA_NASAL_CONV</t>
  </si>
  <si>
    <t>LABEL_SEG_URN_RECOVERY_WT_BIRTH</t>
  </si>
  <si>
    <t>LABEL_SEG_URN_AGE_CA_INFANT_KC_RECOV_WT</t>
  </si>
  <si>
    <t>LABEL_SEG_URN_POS_KC</t>
  </si>
  <si>
    <t>LABEL_SEG_URN_AGE_START_POS_KC</t>
  </si>
  <si>
    <t>LABEL_SEG_URN_TIME_MAX_HOURS_DAY_POS_KC</t>
  </si>
  <si>
    <t>LABEL_SEG_URN_NUM_DAYS_POS_KC</t>
  </si>
  <si>
    <t>LABEL_SEG_URN_NUM_HOURS_OPENING_UNIT_NEWBORN_BORN</t>
  </si>
  <si>
    <t>LABEL_SEG_URN_SCREEN</t>
  </si>
  <si>
    <t>LABEL_SEG_URN_DONE_SCREEN_OPHTH</t>
  </si>
  <si>
    <t>LABEL_SEG_URN_RES_OPHTH</t>
  </si>
  <si>
    <t>LABEL_SEG_URN_RES_OPHTH_BLINDNESS</t>
  </si>
  <si>
    <t>LABEL_SEG_URN_DONE_SCREEN_AUDIO</t>
  </si>
  <si>
    <t>LABEL_SEG_URN_RES_AUDIO</t>
  </si>
  <si>
    <t>LABEL_SEG_URN_OUTPUT</t>
  </si>
  <si>
    <t>LABEL_SEG_URN_DATE_OUTPUT</t>
  </si>
  <si>
    <t>LABEL_SEG_URN_WT_OUTPUT_SERVICIO_NEONATOLOGIA_HOSP</t>
  </si>
  <si>
    <t>LABEL_SEG_URN_LEN_OUTPUT_SERVICIO_NEONATOLOGIA_HOSP</t>
  </si>
  <si>
    <t>LABEL_SEG_URN_HC_HEAD_OUTPUT_SERVICIO_NEONATOLOGIA_HOSP</t>
  </si>
  <si>
    <t>LABEL_SEG_URN_DURATION_TOTAL_HOSP</t>
  </si>
  <si>
    <t>LABEL_SEG_URN_DURATION_HOSP_NICU</t>
  </si>
  <si>
    <t>LABEL_SEG_URN_TYPE_FEED_OUTPUT</t>
  </si>
  <si>
    <t>LABEL_SEG_URN_ENTRENO_OTHER_CAREGIVER_KMC</t>
  </si>
  <si>
    <t>LABEL_SEG_URN_DC_POS_KC</t>
  </si>
  <si>
    <t>LABEL_SEG_URN_DEST_PAT_POST</t>
  </si>
  <si>
    <t>LABEL_SEG_AMB_BASE_TITLE</t>
  </si>
  <si>
    <t>LABEL_SEG_AMB_BASE_ADM</t>
  </si>
  <si>
    <t>LABEL_SEG_AMB_BASE_DATE_ADM_MUAC</t>
  </si>
  <si>
    <t>LABEL_SEG_AMB_BASE_DATE_OUTPUT_HOSP</t>
  </si>
  <si>
    <t>LABEL_SEG_AMB_BASE_PROCEDENCIA_INFANT_KC_RECORDED_FIRST_VISIT</t>
  </si>
  <si>
    <t>LABEL_SEG_AMB_BASE_WT_ADM_MUAC</t>
  </si>
  <si>
    <t>LABEL_SEG_AMB_BASE_LEN_ADM_MUAC</t>
  </si>
  <si>
    <t>LABEL_SEG_AMB_BASE_HC_HEAD_ADM_MUAC</t>
  </si>
  <si>
    <t>LABEL_SEG_AMB_BASE_TYPE_FEED_ADM_MUAC</t>
  </si>
  <si>
    <t>LABEL_SEG_AMB_40W_TITLE</t>
  </si>
  <si>
    <t>LABEL_SEG_AMB_40W_WT_40W_GA</t>
  </si>
  <si>
    <t>LABEL_SEG_AMB_40W_LEN_40W_GA</t>
  </si>
  <si>
    <t>LABEL_SEG_AMB_40W_TYPE_FEED_40W_GA</t>
  </si>
  <si>
    <t>LABEL_SEG_AMB_40W_HC_HEAD_40W_GA</t>
  </si>
  <si>
    <t>LABEL_SEG_AMB_40W_SCHEDULE_VACC_COMPLETE_40W_GA</t>
  </si>
  <si>
    <t>LABEL_SEG_AMB_40W_NUM_RE_HOSP_BETWEEN_OUTPUT_W</t>
  </si>
  <si>
    <t>LABEL_SEG_AMB_40W_RES_TEST_NEUROMOTOR_40W_GA</t>
  </si>
  <si>
    <t>LABEL_SEG_AMB_40W_DONE_SCREEN_OPHTH_40W</t>
  </si>
  <si>
    <t>LABEL_SEG_AMB_40W_RES_OPHTH</t>
  </si>
  <si>
    <t>LABEL_SEG_AMB_40W_RES_OPHTH_BLINDNESS</t>
  </si>
  <si>
    <t>LABEL_SEG_AMB_40W_DONE_SCREEN_AUDIO_40W</t>
  </si>
  <si>
    <t>LABEL_SEG_AMB_40W_RES_AUDIO</t>
  </si>
  <si>
    <t>LABEL_SEG_AMB_40W_FINALIZACION_POS_KC</t>
  </si>
  <si>
    <t>LABEL_SEG_AMB_40W_AGE_CA_WHEN_INFANT_KC_ABANDONS</t>
  </si>
  <si>
    <t>LABEL_SEG_AMB_40W_LEN_WHEN_INFANT_KC_ABANDONS_POS</t>
  </si>
  <si>
    <t>LABEL_SEG_AMB_40W_WT_WHEN_INFANT_KC_ABANDONS_POS</t>
  </si>
  <si>
    <t>LABEL_SEG_AMB_40W_HC_HEAD_WHEN_INFANT_KC_ABANDONS</t>
  </si>
  <si>
    <t>LABEL_SEG_AMB_40W_RECOVERY_WT_BIRTH</t>
  </si>
  <si>
    <t>LABEL_SEG_AMB_40W_AGE_CA_WHEN_INFANT_KC_RECOV</t>
  </si>
  <si>
    <t>LABEL_SEG_AMB_40W_RECOV_WT_BIRTH</t>
  </si>
  <si>
    <t>LABEL_SEG_AMB_3M_TITLE</t>
  </si>
  <si>
    <t>LABEL_SEG_AMB_3M_WT_3M_CGA</t>
  </si>
  <si>
    <t>LABEL_SEG_AMB_3M_LEN_3M_CGA</t>
  </si>
  <si>
    <t>LABEL_SEG_AMB_3M_HC_HEAD_3M_CGA</t>
  </si>
  <si>
    <t>LABEL_SEG_AMB_3M_START_FEED_COMPL_3M_CGA</t>
  </si>
  <si>
    <t>LABEL_SEG_AMB_3M_TYPE_FEED_3M_CGA</t>
  </si>
  <si>
    <t>LABEL_SEG_AMB_3M_SCHEDULE_VACC_COMPLETE_3M_CGA</t>
  </si>
  <si>
    <t>LABEL_SEG_AMB_3M_RES_TEST_DEV_NEUROMOTOR_3M_CGA</t>
  </si>
  <si>
    <t>LABEL_SEG_AMB_3M_DONE_SCREEN_OPHTH_BETWEEN_40W_3M</t>
  </si>
  <si>
    <t>LABEL_SEG_AMB_3M_RES_OPHTH</t>
  </si>
  <si>
    <t>LABEL_SEG_AMB_3M_RES_OPHTH_BLINDNESS</t>
  </si>
  <si>
    <t>LABEL_SEG_AMB_3M_DONE_SCREEN_AUDIO_BETWEEN_40W_3M</t>
  </si>
  <si>
    <t>LABEL_SEG_AMB_3M_RES_AUDIO</t>
  </si>
  <si>
    <t>LABEL_SEG_AMB_3M_RES_OPTOM_3M</t>
  </si>
  <si>
    <t>LABEL_SEG_AMB_3M_WHICH</t>
  </si>
  <si>
    <t>LABEL_SEG_AMB_6M_TITLE</t>
  </si>
  <si>
    <t>LABEL_SEG_AMB_6M_WT_6M_CGA</t>
  </si>
  <si>
    <t>LABEL_SEG_AMB_6M_LEN_6M_CGA</t>
  </si>
  <si>
    <t>LABEL_SEG_AMB_6M_HC_HEAD_6M_CGA</t>
  </si>
  <si>
    <t>LABEL_SEG_AMB_6M_TYPE_FEED_6M_CGA</t>
  </si>
  <si>
    <t>LABEL_SEG_AMB_6M_FEED_COMPL_6M_CGA</t>
  </si>
  <si>
    <t>LABEL_SEG_AMB_6M_FEED_COMPL_ADECUADA_6M_CGA</t>
  </si>
  <si>
    <t>LABEL_SEG_AMB_6M_SCHEDULE_VACC_COMPLETE_6M_CGA</t>
  </si>
  <si>
    <t>LABEL_SEG_AMB_6M_RES_TEST_DEV_NEUROMOTOR_6M_CGA</t>
  </si>
  <si>
    <t>LABEL_SEG_AMB_6M_RES_TEST_DEV_PSYCHOMOTOR_6M_CGA</t>
  </si>
  <si>
    <t>LABEL_SEG_AMB_6M_RES_OPTOM_6M</t>
  </si>
  <si>
    <t>LABEL_SEG_AMB_6M_WHICH</t>
  </si>
  <si>
    <t>LABEL_SEG_AMB_9M_TITLE</t>
  </si>
  <si>
    <t>LABEL_SEG_AMB_9M_WT_9M_CGA</t>
  </si>
  <si>
    <t>LABEL_SEG_AMB_9M_LEN_9M_CGA</t>
  </si>
  <si>
    <t>LABEL_SEG_AMB_9M_HC_HEAD_9M_CGA</t>
  </si>
  <si>
    <t>LABEL_SEG_AMB_9M_TYPE_FEED_9M_CGA</t>
  </si>
  <si>
    <t>LABEL_SEG_AMB_9M_FEED_COMPL_ADECUADA_9M</t>
  </si>
  <si>
    <t>LABEL_SEG_AMB_9M_SCHEDULE_VACC_COMPLETE_9M_CGA</t>
  </si>
  <si>
    <t>LABEL_SEG_AMB_9M_RES_TEST_DEV_NEUROMOTOR_9M_CGA</t>
  </si>
  <si>
    <t>LABEL_SEG_AMB_9M_RES_OPTOM_9M</t>
  </si>
  <si>
    <t>LABEL_SEG_AMB_9M_WHICH</t>
  </si>
  <si>
    <t>LABEL_SEG_AMB_12M_TITLE</t>
  </si>
  <si>
    <t>LABEL_SEG_AMB_12M_WT_12M_CGA</t>
  </si>
  <si>
    <t>LABEL_SEG_AMB_12M_LEN_12M_CGA</t>
  </si>
  <si>
    <t>LABEL_SEG_AMB_12M_HC_HEAD_12M_CGA</t>
  </si>
  <si>
    <t>LABEL_SEG_AMB_12M_NUM_RE_HOSP_BETWEEN_40W_12M</t>
  </si>
  <si>
    <t>LABEL_SEG_AMB_12M_TYPE_FEED_12M_CGA</t>
  </si>
  <si>
    <t>LABEL_SEG_AMB_12M_FEED_COMPL_ADECUADA_12M</t>
  </si>
  <si>
    <t>LABEL_SEG_AMB_12M_SCHEDULE_VACC_COMPLETE_12M_CGA</t>
  </si>
  <si>
    <t>LABEL_SEG_AMB_12M_RES_TEST_DEV_NEUROMOTOR_12M_CGA</t>
  </si>
  <si>
    <t>LABEL_SEG_AMB_12M_RES_TEST_PSYCH_12M_CGA</t>
  </si>
  <si>
    <t>LABEL_SEG_AMB_12M_DONE_SCREEN_OPHTH_12M</t>
  </si>
  <si>
    <t>LABEL_SEG_AMB_12M_RES_OPHTH</t>
  </si>
  <si>
    <t>LABEL_SEG_AMB_12M_RES_OPHTH_BLINDNESS</t>
  </si>
  <si>
    <t>LABEL_SEG_AMB_12M_DONE_SCREEN_AUDIO_12M</t>
  </si>
  <si>
    <t>LABEL_SEG_AMB_12M_RES_AUDIO</t>
  </si>
  <si>
    <t>LABEL_SEG_AMB_12M_RES_OPTOM_12M</t>
  </si>
  <si>
    <t>LABEL_SEG_AMB_12M_WHICH</t>
  </si>
  <si>
    <t>HDR_PAT_KEY</t>
  </si>
  <si>
    <t>HDR_PAT_COUNTRY_CODE</t>
  </si>
  <si>
    <t>HDR_PAT_KC_ID</t>
  </si>
  <si>
    <t>HDR_PAT_NAT_ID</t>
  </si>
  <si>
    <t>HDR_PAT_NAME_INST_CURR</t>
  </si>
  <si>
    <t>HDR_PAT_NUM_INST_CURR</t>
  </si>
  <si>
    <t>HDR_PAT_LEVEL_INST_CURR</t>
  </si>
  <si>
    <t>HDR_PAT_BORN_INST_CURR</t>
  </si>
  <si>
    <t>HDR_PAT_NAME_INST_BIRTH</t>
  </si>
  <si>
    <t>HDR_PAT_NUM_INST_BIRTH</t>
  </si>
  <si>
    <t>HDR_PAT_LEVEL_INST_BIRTH</t>
  </si>
  <si>
    <t>HDR_PAT_ENTERS_INST_POS_KC</t>
  </si>
  <si>
    <t>HDR_PAT_DIST_INST</t>
  </si>
  <si>
    <t>HDR_PAT_DATE_BIRTH</t>
  </si>
  <si>
    <t>HDR_PAT_SEX</t>
  </si>
  <si>
    <t>HDR_PAT_AGE_GA</t>
  </si>
  <si>
    <t>HDR_PAT_WT_BIRTH</t>
  </si>
  <si>
    <t>HDR_PAT_LEN_BIRTH</t>
  </si>
  <si>
    <t>HDR_PAT_HC_HEAD_BIRTH</t>
  </si>
  <si>
    <t>HDR_PAT_IUGR_BIRTH</t>
  </si>
  <si>
    <t>HDR_PAT_AGE_BREAST</t>
  </si>
  <si>
    <t>HDR_PAT_CONTROLES_PARENTALES</t>
  </si>
  <si>
    <t>HDR_PAT_EDU_MOTHER</t>
  </si>
  <si>
    <t>HDR_PAT_STATUS_CIVIL</t>
  </si>
  <si>
    <t>HDR_PAT_EMBARAZO_DESEADO</t>
  </si>
  <si>
    <t>HDR_PAT_TOXEMIA</t>
  </si>
  <si>
    <t>HDR_PAT_CONSUMO_SUSTANCIAS</t>
  </si>
  <si>
    <t>HDR_PAT_MORTALIDAD_BREAST</t>
  </si>
  <si>
    <t>HDR_PAT_REFERRED_OTHER_PLACE</t>
  </si>
  <si>
    <t>HDR_PAT_NAME_INST_REFERRED</t>
  </si>
  <si>
    <t>HDR_PAT_NUM_INST_REFERRED</t>
  </si>
  <si>
    <t>HDR_PAT_STATUS_VITAL</t>
  </si>
  <si>
    <t>HDR_PAT_DATE_DEATH</t>
  </si>
  <si>
    <t>HDR_PAT_PLACE_DEATH</t>
  </si>
  <si>
    <t>HDR_PAT_FUP_MUAC</t>
  </si>
  <si>
    <t>HDR_PAT_DAYS_LIFE_DEATH</t>
  </si>
  <si>
    <t>HDR_PAT_GA_DEATH</t>
  </si>
  <si>
    <t>HDR_PAT_BIRTH_MONTH</t>
  </si>
  <si>
    <t>HDR_PAT_BIRTH_YEAR</t>
  </si>
  <si>
    <t>HDR_SEG_KEY</t>
  </si>
  <si>
    <t>HDR_SEG_COUNTRY_CODE</t>
  </si>
  <si>
    <t>HDR_SEG_KC_ID</t>
  </si>
  <si>
    <t>HDR_SEG_NAT_ID</t>
  </si>
  <si>
    <t>HDR_SEG_ADAPT_O2</t>
  </si>
  <si>
    <t>HDR_SEG_O2_BLENDER</t>
  </si>
  <si>
    <t>HDR_SEG_CPAP</t>
  </si>
  <si>
    <t>HDR_SEG_ADAPT_NEO</t>
  </si>
  <si>
    <t>HDR_SEG_ROUTE_DELIVERY</t>
  </si>
  <si>
    <t>HDR_SEG_APGAR1</t>
  </si>
  <si>
    <t>HDR_SEG_APGAR5</t>
  </si>
  <si>
    <t>HDR_SEG_POS_KC_IMMED</t>
  </si>
  <si>
    <t>HDR_SEG_DUR_POS_KC_DAY1</t>
  </si>
  <si>
    <t>HDR_SEG_BF_BREAST_H1</t>
  </si>
  <si>
    <t>HDR_SEG_TRANSPORT_POS_KC_URN_ROOMING</t>
  </si>
  <si>
    <t>HDR_SEG_TRANSPORT_POS_KC_REFS_OTHER_INST</t>
  </si>
  <si>
    <t>HDR_SEG_DEST_PAT_FROM_DELIV_ROOM</t>
  </si>
  <si>
    <t>HDR_SEG_DATE_OUT_DELIV_ROOM</t>
  </si>
  <si>
    <t>HDR_SEG_DATE_IN_ROOMING_IN</t>
  </si>
  <si>
    <t>HDR_SEG_PLACE_ORIGIN_ROOMING_IN</t>
  </si>
  <si>
    <t>HDR_SEG_DUR_STAY_ROOMING_IN</t>
  </si>
  <si>
    <t>HDR_SEG_WT_ADM_ROOMING_IN</t>
  </si>
  <si>
    <t>HDR_SEG_LEN_ADM_ROOMING_IN</t>
  </si>
  <si>
    <t>HDR_SEG_HC_HEAD_ADM_ROOMING_IN</t>
  </si>
  <si>
    <t>HDR_SEG_AGE_CA_RECOVERY_WT_ROOMING_IN</t>
  </si>
  <si>
    <t>HDR_SEG_AGE_CA_DEJA_POS_KC_ROOMING_IN</t>
  </si>
  <si>
    <t>HDR_SEG_WT_DEJA_POS_KC_ROOMING_IN</t>
  </si>
  <si>
    <t>HDR_SEG_LEN_DEJA_POS_KC_ROOMING_IN</t>
  </si>
  <si>
    <t>HDR_SEG_HC_HEAD_DEJA_POS_KC_ROOMING_IN</t>
  </si>
  <si>
    <t>HDR_SEG_WT_DISCHARGE_ROOMING_IN</t>
  </si>
  <si>
    <t>HDR_SEG_LEN_DISCHARGE_ROOMING_IN</t>
  </si>
  <si>
    <t>HDR_SEG_HC_HEAD_DISCHARGE_ROOMING_IN</t>
  </si>
  <si>
    <t>HDR_SEG_TYPE_FEED_DISCHARGE_ROOMING_IN</t>
  </si>
  <si>
    <t>HDR_SEG_ENTRENAMIENTO_OTHER_CAREGIVER_KMC_ROOMING_IN</t>
  </si>
  <si>
    <t>HDR_SEG_MOTHER_ABANDONS_VOLUNTARY_ROOMING_IN</t>
  </si>
  <si>
    <t>HDR_SEG_DISCHARGE_HOME_POS_KC_ROOMING_IN</t>
  </si>
  <si>
    <t>HDR_SEG_DEST_PAT_FROM_ROOMING_IN</t>
  </si>
  <si>
    <t>HDR_SEG_DATE_IN_URN</t>
  </si>
  <si>
    <t>HDR_SEG_PLACE_ORIGIN_URN</t>
  </si>
  <si>
    <t>HDR_SEG_WT_ADM_URN</t>
  </si>
  <si>
    <t>HDR_SEG_LEN_ADM_URN</t>
  </si>
  <si>
    <t>HDR_SEG_HC_HEAD_URN</t>
  </si>
  <si>
    <t>HDR_SEG_NECESITO_ANTIBIOTICO_URN</t>
  </si>
  <si>
    <t>HDR_SEG_CICLO_ANTIBIOTICO_ULTIMA_GENERACION_URN</t>
  </si>
  <si>
    <t>HDR_SEG_NUTR_PARENTAL_URN</t>
  </si>
  <si>
    <t>HDR_SEG_SEPSIS_NEO_TEMPRANA</t>
  </si>
  <si>
    <t>HDR_SEG_SEPSIS_NEO_TARDIA</t>
  </si>
  <si>
    <t>HDR_SEG_HYPOTHERMIA</t>
  </si>
  <si>
    <t>HDR_SEG_SINDROME_DIFICULTAD_RESPIRATORIA</t>
  </si>
  <si>
    <t>HDR_SEG_HYPOGLYCEMIA</t>
  </si>
  <si>
    <t>HDR_SEG_ASPHYXIA_NEONATAL</t>
  </si>
  <si>
    <t>HDR_SEG_ICTERICIA</t>
  </si>
  <si>
    <t>HDR_SEG_ANEMIA</t>
  </si>
  <si>
    <t>HDR_SEG_NEC</t>
  </si>
  <si>
    <t>HDR_SEG_HEMORRHAGE_IVH</t>
  </si>
  <si>
    <t>HDR_SEG_DISPLASIA_BRONCOPULMONAR</t>
  </si>
  <si>
    <t>HDR_SEG_OTHER_DX</t>
  </si>
  <si>
    <t>HDR_SEG_WHICH_OTHER_DX</t>
  </si>
  <si>
    <t>HDR_SEG_TOTAL_SUPPORT_VENTILADOR_URN</t>
  </si>
  <si>
    <t>HDR_SEG_TOTAL_SUPPORT_VENTILADOR_INV_URN</t>
  </si>
  <si>
    <t>HDR_SEG_TOTAL_SUPPORT_VENTILADOR_NO_INV_URN</t>
  </si>
  <si>
    <t>HDR_SEG_TOTAL_DAYS_O2_CANNULA_NASAL_URN</t>
  </si>
  <si>
    <t>HDR_SEG_DISCHARGE_O2_AMB_URN</t>
  </si>
  <si>
    <t>HDR_SEG_AGE_CA_RECOVERY_WT_URN</t>
  </si>
  <si>
    <t>HDR_SEG_AGE_START_POS_KC_URN</t>
  </si>
  <si>
    <t>HDR_SEG_NUM_DAYS_POS_KC_URN</t>
  </si>
  <si>
    <t>HDR_SEG_TIME_MAX_HOURS_DAY_POS_KC_URN</t>
  </si>
  <si>
    <t>HDR_SEG_NUM_HOURS_OPENING_24H_URN</t>
  </si>
  <si>
    <t>HDR_SEG_SCREEN_OPHTH_URN</t>
  </si>
  <si>
    <t>HDR_SEG_RESULT_OPHTH_URN</t>
  </si>
  <si>
    <t>HDR_SEG_RESULT_OPHTH_BLINDNESS_URN</t>
  </si>
  <si>
    <t>HDR_SEG_SCREEN_AUDIO_URN</t>
  </si>
  <si>
    <t>HDR_SEG_RESULT_AUDIO_URN</t>
  </si>
  <si>
    <t>HDR_SEG_DATE_DISCHARGE_URN</t>
  </si>
  <si>
    <t>HDR_SEG_WT_DISCHARGE_URN</t>
  </si>
  <si>
    <t>HDR_SEG_LEN_DISCHARGE_URN</t>
  </si>
  <si>
    <t>HDR_SEG_HC_HEAD_DISCHARGE_URN</t>
  </si>
  <si>
    <t>HDR_SEG_TIME_TOTAL_HOSP_URN</t>
  </si>
  <si>
    <t>HDR_SEG_TIME_TOTAL_HOSP_NICU_URN</t>
  </si>
  <si>
    <t>HDR_SEG_TYPE_FEED_DISCHARGE_URN</t>
  </si>
  <si>
    <t>HDR_SEG_ENTRENAMIENTO_OTHER_CAREGIVER_KMC_URN</t>
  </si>
  <si>
    <t>HDR_SEG_DISCHARGE_POS_KC_URN</t>
  </si>
  <si>
    <t>HDR_SEG_DEST_PAT_FROM_URN</t>
  </si>
  <si>
    <t>HDR_SEG_DATE_ADM_MUAC_AMB</t>
  </si>
  <si>
    <t>HDR_SEG_DATE_OUT_HOSP_AMB</t>
  </si>
  <si>
    <t>HDR_SEG_PROCEDENCIA_KC_FIRST_VISIT_AMB</t>
  </si>
  <si>
    <t>HDR_SEG_WT_ADM_MUAC_AMB</t>
  </si>
  <si>
    <t>HDR_SEG_LEN_ADM_MUAC_AMB</t>
  </si>
  <si>
    <t>HDR_SEG_HC_HEAD_ADM_MUAC_AMB</t>
  </si>
  <si>
    <t>HDR_SEG_TYPE_FEED_ADM_MUAC_AMB</t>
  </si>
  <si>
    <t>HDR_SEG_WT_40W_AMB</t>
  </si>
  <si>
    <t>HDR_SEG_LEN_40W_AMB</t>
  </si>
  <si>
    <t>HDR_SEG_HC_HEAD_40W_AMB</t>
  </si>
  <si>
    <t>HDR_SEG_TYPE_FEED_40W_AMB</t>
  </si>
  <si>
    <t>HDR_SEG_SCHEDULE_VACC_COMPLETE_40W_AMB</t>
  </si>
  <si>
    <t>HDR_SEG_REHOSP_40W_AMB</t>
  </si>
  <si>
    <t>HDR_SEG_RESULT_NEUROMOTOR_40W_AMB</t>
  </si>
  <si>
    <t>HDR_SEG_SCREEN_OPHTH_40W_AMB</t>
  </si>
  <si>
    <t>HDR_SEG_RESULT_OPHTH_40W_AMB</t>
  </si>
  <si>
    <t>HDR_SEG_RESULT_OPHTH_BLINDNESS_40W_AMB</t>
  </si>
  <si>
    <t>HDR_SEG_SCREEN_AUDIO_40W_AMB</t>
  </si>
  <si>
    <t>HDR_SEG_RESULT_AUDIO_40W_AMB</t>
  </si>
  <si>
    <t>HDR_SEG_AGE_CA_DEJA_POS_KC_AMB</t>
  </si>
  <si>
    <t>HDR_SEG_WT_DEJA_POS_KC_AMB</t>
  </si>
  <si>
    <t>HDR_SEG_LEN_DEJA_POS_KC_AMB</t>
  </si>
  <si>
    <t>HDR_SEG_HC_HEAD_DEJA_POS_KC_AMB</t>
  </si>
  <si>
    <t>HDR_SEG_AGE_CA_RECOVERY_WT_AMB</t>
  </si>
  <si>
    <t>HDR_SEG_RECOV_WT_AMB</t>
  </si>
  <si>
    <t>HDR_SEG_WT_3M_AMB</t>
  </si>
  <si>
    <t>HDR_SEG_LEN_3M_AMB</t>
  </si>
  <si>
    <t>HDR_SEG_HC_HEAD_3M_AMB</t>
  </si>
  <si>
    <t>HDR_SEG_START_FEED_COMPL_3M_AMB</t>
  </si>
  <si>
    <t>HDR_SEG_TYPE_FEED_3M_AMB</t>
  </si>
  <si>
    <t>HDR_SEG_SCHEDULE_VACC_COMPLETE_3M_AMB</t>
  </si>
  <si>
    <t>HDR_SEG_RESULT_NEUROMOTOR_3M_AMB</t>
  </si>
  <si>
    <t>HDR_SEG_SCREEN_OPHTH_3M_AMB</t>
  </si>
  <si>
    <t>HDR_SEG_RESULT_OPHTH_3M_AMB</t>
  </si>
  <si>
    <t>HDR_SEG_RESULT_OPHTH_BLINDNESS_3M_AMB</t>
  </si>
  <si>
    <t>HDR_SEG_SCREEN_AUDIO_3M_AMB</t>
  </si>
  <si>
    <t>HDR_SEG_RESULT_AUDIO_3M_AMB</t>
  </si>
  <si>
    <t>HDR_SEG_RESULT_OPTOM_3M_AMB</t>
  </si>
  <si>
    <t>HDR_SEG_WHICH_OTHER_OPTOM_3M_AMB</t>
  </si>
  <si>
    <t>HDR_SEG_WT_6M_AMB</t>
  </si>
  <si>
    <t>HDR_SEG_LEN_6M_AMB</t>
  </si>
  <si>
    <t>HDR_SEG_HC_HEAD_6M_AMB</t>
  </si>
  <si>
    <t>HDR_SEG_TYPE_FEED_6M_AMB</t>
  </si>
  <si>
    <t>HDR_SEG_FEED_COMPL_6M_AMB</t>
  </si>
  <si>
    <t>HDR_SEG_FEED_COMPL_ADECUADA_6M_AMB</t>
  </si>
  <si>
    <t>HDR_SEG_SCHEDULE_VACC_COMPLETE_6M_AMB</t>
  </si>
  <si>
    <t>HDR_SEG_RESULT_NEUROMOTOR_6M_AMB</t>
  </si>
  <si>
    <t>HDR_SEG_RESULT_PSYCHOMOTOR_6M_AMB</t>
  </si>
  <si>
    <t>HDR_SEG_RESULT_OPTOM_6M_AMB</t>
  </si>
  <si>
    <t>HDR_SEG_WHICH_OTHER_OPTOM_6M_AMB</t>
  </si>
  <si>
    <t>HDR_SEG_WT_9M_AMB</t>
  </si>
  <si>
    <t>HDR_SEG_LEN_9M_AMB</t>
  </si>
  <si>
    <t>HDR_SEG_HC_HEAD_9M_AMB</t>
  </si>
  <si>
    <t>HDR_SEG_TYPE_FEED_9M_AMB</t>
  </si>
  <si>
    <t>HDR_SEG_FEED_COMPL_ADECUADA_9M_AMB</t>
  </si>
  <si>
    <t>HDR_SEG_SCHEDULE_VACC_COMPLETE_9M_AMB</t>
  </si>
  <si>
    <t>HDR_SEG_RESULT_NEUROMOTOR_9M_AMB</t>
  </si>
  <si>
    <t>HDR_SEG_RESULT_OPTOM_9M_AMB</t>
  </si>
  <si>
    <t>HDR_SEG_WHICH_OTHER_OPTOM_9M_AMB</t>
  </si>
  <si>
    <t>HDR_SEG_WT_12M_AMB</t>
  </si>
  <si>
    <t>HDR_SEG_LEN_12M_AMB</t>
  </si>
  <si>
    <t>HDR_SEG_HC_HEAD_12M_AMB</t>
  </si>
  <si>
    <t>HDR_SEG_REHOSP_12M_AMB</t>
  </si>
  <si>
    <t>HDR_SEG_TYPE_FEED_12M_AMB</t>
  </si>
  <si>
    <t>HDR_SEG_FEED_COMPL_ADECUADA_12M_AMB</t>
  </si>
  <si>
    <t>HDR_SEG_SCHEDULE_VACC_COMPLETE_12M_AMB</t>
  </si>
  <si>
    <t>HDR_SEG_RESULT_NEUROMOTOR_12M_AMB</t>
  </si>
  <si>
    <t>HDR_SEG_RESULT_PSICOLOGICO_12M_AMB</t>
  </si>
  <si>
    <t>HDR_SEG_SCREEN_OPHTH_12M_AMB</t>
  </si>
  <si>
    <t>HDR_SEG_RESULT_OPHTH_12M_AMB</t>
  </si>
  <si>
    <t>HDR_SEG_RESULT_OPHTH_BLINDNESS_12M_AMB</t>
  </si>
  <si>
    <t>HDR_SEG_SCREEN_AUDIO_12M_AMB</t>
  </si>
  <si>
    <t>HDR_SEG_RESULT_AUDIO_12M_AMB</t>
  </si>
  <si>
    <t>HDR_SEG_RESULT_OPTOM_12M_AMB</t>
  </si>
  <si>
    <t>HDR_SEG_WHICH_OTHER_OPTOM_12M_AMB</t>
  </si>
  <si>
    <t>MSG_ERROR_SEARCH</t>
  </si>
  <si>
    <t>MSG_ERROR_SAVE</t>
  </si>
  <si>
    <t>MSG_FUP_REQUIRES_CLIN</t>
  </si>
  <si>
    <t>Ocurrió un error al buscar el paciente.</t>
  </si>
  <si>
    <t>Ocurrió un error al guardar la información.</t>
  </si>
  <si>
    <t>Primero debe registrar la información clínica del paciente.</t>
  </si>
  <si>
    <t>LABEL_TOOL_NAME</t>
  </si>
  <si>
    <t>MSG_DATE</t>
  </si>
  <si>
    <t>Ingrese una fecha válida.</t>
  </si>
  <si>
    <t>MSG_ERROR_VALIDATION</t>
  </si>
  <si>
    <t>Ocurrió un error durante la validación del formulario.</t>
  </si>
  <si>
    <t>=FRM_SEGUIMIENTO!$A$1:$U$7</t>
  </si>
  <si>
    <t>Rango de bloque de celdas ID de seguimiento</t>
  </si>
  <si>
    <t>COPIA DE SEGURIDAD</t>
  </si>
  <si>
    <t>BTN_BACKUP</t>
  </si>
  <si>
    <t>=FRM_SEGUIMIENTO!$D$167:$J$168;FRM_SEGUIMIENTO!$D$172:$J$173;FRM_SEGUIMIENTO!$D$187:$J$188;FRM_SEGUIMIENTO!$L$187:$R$188;FRM_SEGUIMIENTO!$D$192:$J$193;FRM_SEGUIMIENTO!$D$217:$J$218;FRM_SEGUIMIENTO!$L$222:$R$223;FRM_SEGUIMIENTO!$D$247:$J$248;FRM_SEGUIMIENTO!$D$252:$J$253;FRM_SEGUIMIENTO!$L$247:$R$248;FRM_SEGUIMIENTO!$L$252:$R$253;FRM_SEGUIMIENTO!$D$262:$J$263;FRM_SEGUIMIENTO!$L$262:$R$263;FRM_SEGUIMIENTO!$D$267:$J$268;FRM_SEGUIMIENTO!$D$272:$J$273;FRM_SEGUIMIENTO!$L$272:$R$273;FRM_SEGUIMIENTO!$D$282:$J$283;FRM_SEGUIMIENTO!$L$282:$R$283;FRM_SEGUIMIENTO!$L$292:$R$293;FRM_SEGUIMIENTO!$D$297:$J$298;FRM_SEGUIMIENTO!$L$297:$R$298;FRM_SEGUIMIENTO!$D$302:$J$303;FRM_SEGUIMIENTO!$L$302:$R$303</t>
  </si>
  <si>
    <t>=FRM_SEGUIMIENTO!$D$167:$J$168;FRM_SEGUIMIENTO!$L$167:$R$168;FRM_SEGUIMIENTO!$D$172:$J$173;FRM_SEGUIMIENTO!$L$172:$R$173;FRM_SEGUIMIENTO!$D$177:$J$178;FRM_SEGUIMIENTO!$D$187:$J$188;FRM_SEGUIMIENTO!$L$187:$R$188;FRM_SEGUIMIENTO!$D$192:$J$193;FRM_SEGUIMIENTO!$K$192:$K$193;FRM_SEGUIMIENTO!$K$195:$K$196;FRM_SEGUIMIENTO!$K$198:$K$199;FRM_SEGUIMIENTO!$K$201:$K$202;FRM_SEGUIMIENTO!$K$204:$K$205;FRM_SEGUIMIENTO!$K$207:$K$208;FRM_SEGUIMIENTO!$O$192:$O$193;FRM_SEGUIMIENTO!$O$195:$O$196;FRM_SEGUIMIENTO!$O$198:$O$199;FRM_SEGUIMIENTO!$O$201:$O$202;FRM_SEGUIMIENTO!$O$204:$O$205;FRM_SEGUIMIENTO!$O$207:$O$208;FRM_SEGUIMIENTO!$D$207:$J$208;FRM_SEGUIMIENTO!$D$217:$J$218;FRM_SEGUIMIENTO!$L$217:$R$218;FRM_SEGUIMIENTO!$D$222:$J$223;FRM_SEGUIMIENTO!$D$227:$J$228;FRM_SEGUIMIENTO!$L$222:$R$223;FRM_SEGUIMIENTO!$D$237:$J$238;FRM_SEGUIMIENTO!$D$247:$J$248;FRM_SEGUIMIENTO!$D$252:$J$253;FRM_SEGUIMIENTO!$L$247:$R$248;FRM_SEGUIMIENTO!$L$252:$R$253;FRM_SEGUIMIENTO!$D$262:$J$263;FRM_SEGUIMIENTO!$L$262:$R$263;FRM_SEGUIMIENTO!$D$267:$J$268;FRM_SEGUIMIENTO!$D$272:$J$273;FRM_SEGUIMIENTO!$L$272:$R$273;FRM_SEGUIMIENTO!$D$282:$J$283;FRM_SEGUIMIENTO!$L$282:$R$283;FRM_SEGUIMIENTO!$D$287:$J$288;FRM_SEGUIMIENTO!$L$287:$R$288;FRM_SEGUIMIENTO!$L$292:$R$293;FRM_SEGUIMIENTO!$D$297:$J$298;FRM_SEGUIMIENTO!$L$297:$R$298;FRM_SEGUIMIENTO!$D$302:$J$303;FRM_SEGUIMIENTO!$L$302:$R$303</t>
  </si>
  <si>
    <t>CgFC_Sheets#9rT4!mQ2xL7pV</t>
  </si>
  <si>
    <t>CgFC_Book#6Kz8!Nw3sP1yR</t>
  </si>
  <si>
    <t>CgFC_Admon#8vJ5!cD3nZ1wA</t>
  </si>
  <si>
    <t>MSG_SEARCH_PATIENT</t>
  </si>
  <si>
    <t>Buscando paciente…</t>
  </si>
  <si>
    <t>MSG_REGISTER_PATIENT</t>
  </si>
  <si>
    <t>Registrando paciente…</t>
  </si>
  <si>
    <t>SECTION</t>
  </si>
  <si>
    <t>OPTION</t>
  </si>
  <si>
    <t>MSG_DATE_AFTER_TODAY</t>
  </si>
  <si>
    <t>MSG_DATE_BEFORE_ALLOWED</t>
  </si>
  <si>
    <t>La fecha no puede ser posterior a la fecha actual.</t>
  </si>
  <si>
    <t>La fecha no puede ser anterior al límite permitido.</t>
  </si>
  <si>
    <t>DECIMAL</t>
  </si>
  <si>
    <t>OBLIGATORIO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</si>
</sst>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Segoe UI"/>
      <family val="2"/>
    </font>
    <font>
      <b/>
      <sz val="12"/>
      <color theme="1"/>
      <name val="Segoe UI"/>
      <family val="2"/>
    </font>
    <font>
      <sz val="12"/>
      <name val="Segoe UI"/>
      <family val="2"/>
    </font>
    <font>
      <sz val="16"/>
      <name val="Segoe UI"/>
      <family val="2"/>
    </font>
    <font>
      <b/>
      <sz val="12"/>
      <name val="Segoe UI"/>
      <family val="2"/>
    </font>
    <font>
      <sz val="12"/>
      <color rgb="FFD0D0D0"/>
      <name val="Segoe UI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Segoe UI"/>
      <family val="2"/>
    </font>
    <font>
      <b/>
      <sz val="11"/>
      <color theme="0"/>
      <name val="Aptos Narrow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11"/>
      <color theme="0"/>
      <name val="Aptos Narrow"/>
      <family val="2"/>
      <scheme val="minor"/>
    </font>
    <font>
      <sz val="12"/>
      <color rgb="FF000000"/>
      <name val="Segoe UI"/>
      <family val="2"/>
    </font>
    <font>
      <sz val="12"/>
      <color rgb="FFF2F2F2"/>
      <name val="Segoe UI"/>
      <family val="2"/>
    </font>
    <font>
      <sz val="11"/>
      <name val="Segoe UI"/>
      <family val="2"/>
    </font>
    <font>
      <sz val="18"/>
      <name val="Segoe UI"/>
      <family val="2"/>
    </font>
    <font>
      <sz val="11"/>
      <color rgb="FF00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0E0E3"/>
        <bgColor rgb="FFD0E0E3"/>
      </patternFill>
    </fill>
    <fill>
      <patternFill patternType="solid">
        <fgColor rgb="FFFCE5CD"/>
        <bgColor rgb="FFFCE5CD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8">
    <border>
      <left/>
      <right/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2" fillId="0" borderId="0" xfId="0" applyFont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center" vertical="center"/>
      <protection hidden="1"/>
    </xf>
    <xf numFmtId="0" fontId="2" fillId="0" borderId="13" xfId="0" applyFont="1" applyBorder="1" applyAlignment="1" applyProtection="1">
      <alignment horizontal="left" vertical="center"/>
      <protection hidden="1"/>
    </xf>
    <xf numFmtId="0" fontId="2" fillId="0" borderId="20" xfId="0" applyFont="1" applyBorder="1" applyAlignment="1" applyProtection="1">
      <alignment horizontal="left" vertical="center"/>
      <protection hidden="1"/>
    </xf>
    <xf numFmtId="0" fontId="8" fillId="0" borderId="0" xfId="0" applyFont="1" applyProtection="1">
      <protection hidden="1"/>
    </xf>
    <xf numFmtId="0" fontId="3" fillId="2" borderId="24" xfId="0" applyFont="1" applyFill="1" applyBorder="1" applyAlignment="1" applyProtection="1">
      <alignment horizontal="center" vertical="center"/>
      <protection hidden="1"/>
    </xf>
    <xf numFmtId="0" fontId="3" fillId="2" borderId="25" xfId="0" applyFont="1" applyFill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left" vertical="center"/>
      <protection hidden="1"/>
    </xf>
    <xf numFmtId="0" fontId="2" fillId="0" borderId="12" xfId="0" applyFont="1" applyBorder="1" applyAlignment="1" applyProtection="1">
      <alignment horizontal="left" vertical="center"/>
      <protection hidden="1"/>
    </xf>
    <xf numFmtId="0" fontId="2" fillId="0" borderId="26" xfId="0" applyFont="1" applyBorder="1" applyAlignment="1" applyProtection="1">
      <alignment horizontal="left" vertical="center"/>
      <protection hidden="1"/>
    </xf>
    <xf numFmtId="0" fontId="2" fillId="0" borderId="27" xfId="0" applyFont="1" applyBorder="1" applyAlignment="1" applyProtection="1">
      <alignment horizontal="left" vertical="center"/>
      <protection hidden="1"/>
    </xf>
    <xf numFmtId="0" fontId="2" fillId="0" borderId="28" xfId="0" applyFont="1" applyBorder="1" applyAlignment="1" applyProtection="1">
      <alignment horizontal="left" vertical="center"/>
      <protection hidden="1"/>
    </xf>
    <xf numFmtId="0" fontId="2" fillId="0" borderId="29" xfId="0" applyFont="1" applyBorder="1" applyAlignment="1" applyProtection="1">
      <alignment horizontal="left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0" xfId="0" applyProtection="1"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21" xfId="0" applyBorder="1" applyAlignment="1" applyProtection="1">
      <alignment horizontal="left" vertical="center"/>
      <protection locked="0"/>
    </xf>
    <xf numFmtId="0" fontId="0" fillId="0" borderId="32" xfId="0" applyBorder="1" applyAlignment="1" applyProtection="1">
      <alignment horizontal="left" vertical="center"/>
      <protection locked="0"/>
    </xf>
    <xf numFmtId="0" fontId="3" fillId="2" borderId="14" xfId="0" applyFont="1" applyFill="1" applyBorder="1" applyAlignment="1" applyProtection="1">
      <alignment horizontal="center" vertical="center"/>
      <protection hidden="1"/>
    </xf>
    <xf numFmtId="0" fontId="3" fillId="2" borderId="16" xfId="0" applyFont="1" applyFill="1" applyBorder="1" applyAlignment="1" applyProtection="1">
      <alignment horizontal="center" vertical="center"/>
      <protection hidden="1"/>
    </xf>
    <xf numFmtId="0" fontId="3" fillId="2" borderId="38" xfId="0" applyFont="1" applyFill="1" applyBorder="1" applyAlignment="1" applyProtection="1">
      <alignment horizontal="center" vertical="center"/>
      <protection hidden="1"/>
    </xf>
    <xf numFmtId="0" fontId="2" fillId="0" borderId="38" xfId="0" applyFont="1" applyBorder="1" applyAlignment="1" applyProtection="1">
      <alignment horizontal="left" vertical="center"/>
      <protection hidden="1"/>
    </xf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  <xf numFmtId="0" fontId="8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0" fillId="13" borderId="0" xfId="0" applyFill="1" applyProtection="1">
      <protection locked="0"/>
    </xf>
    <xf numFmtId="0" fontId="1" fillId="2" borderId="24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25" xfId="0" applyFont="1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33" xfId="0" applyBorder="1" applyAlignment="1" applyProtection="1">
      <alignment vertical="center"/>
      <protection locked="0"/>
    </xf>
    <xf numFmtId="0" fontId="0" fillId="0" borderId="32" xfId="0" applyBorder="1" applyAlignment="1" applyProtection="1">
      <alignment vertical="center"/>
      <protection locked="0"/>
    </xf>
    <xf numFmtId="0" fontId="0" fillId="0" borderId="33" xfId="0" quotePrefix="1" applyBorder="1" applyAlignment="1" applyProtection="1">
      <alignment vertical="center"/>
      <protection locked="0"/>
    </xf>
    <xf numFmtId="0" fontId="0" fillId="0" borderId="17" xfId="0" applyBorder="1" applyAlignment="1" applyProtection="1">
      <alignment vertical="center"/>
      <protection locked="0"/>
    </xf>
    <xf numFmtId="0" fontId="0" fillId="0" borderId="18" xfId="0" quotePrefix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0" fillId="0" borderId="22" xfId="0" quotePrefix="1" applyBorder="1" applyAlignment="1" applyProtection="1">
      <alignment vertical="center"/>
      <protection locked="0"/>
    </xf>
    <xf numFmtId="0" fontId="12" fillId="0" borderId="0" xfId="0" applyFont="1" applyProtection="1">
      <protection hidden="1"/>
    </xf>
    <xf numFmtId="164" fontId="12" fillId="3" borderId="18" xfId="0" applyNumberFormat="1" applyFont="1" applyFill="1" applyBorder="1" applyAlignment="1" applyProtection="1">
      <alignment vertical="center"/>
      <protection hidden="1"/>
    </xf>
    <xf numFmtId="164" fontId="12" fillId="3" borderId="19" xfId="0" applyNumberFormat="1" applyFont="1" applyFill="1" applyBorder="1" applyAlignment="1" applyProtection="1">
      <alignment vertical="center"/>
      <protection hidden="1"/>
    </xf>
    <xf numFmtId="164" fontId="12" fillId="3" borderId="39" xfId="0" applyNumberFormat="1" applyFont="1" applyFill="1" applyBorder="1" applyAlignment="1" applyProtection="1">
      <alignment vertical="center"/>
      <protection hidden="1"/>
    </xf>
    <xf numFmtId="164" fontId="12" fillId="3" borderId="44" xfId="0" applyNumberFormat="1" applyFont="1" applyFill="1" applyBorder="1" applyAlignment="1" applyProtection="1">
      <alignment vertical="center"/>
      <protection hidden="1"/>
    </xf>
    <xf numFmtId="10" fontId="12" fillId="0" borderId="40" xfId="0" applyNumberFormat="1" applyFont="1" applyBorder="1" applyAlignment="1" applyProtection="1">
      <alignment vertical="center"/>
      <protection hidden="1"/>
    </xf>
    <xf numFmtId="10" fontId="12" fillId="0" borderId="45" xfId="0" applyNumberFormat="1" applyFont="1" applyBorder="1" applyAlignment="1" applyProtection="1">
      <alignment vertical="center"/>
      <protection hidden="1"/>
    </xf>
    <xf numFmtId="10" fontId="12" fillId="0" borderId="18" xfId="0" applyNumberFormat="1" applyFont="1" applyBorder="1" applyAlignment="1" applyProtection="1">
      <alignment vertical="center"/>
      <protection hidden="1"/>
    </xf>
    <xf numFmtId="10" fontId="12" fillId="0" borderId="19" xfId="0" applyNumberFormat="1" applyFont="1" applyBorder="1" applyAlignment="1" applyProtection="1">
      <alignment vertical="center"/>
      <protection hidden="1"/>
    </xf>
    <xf numFmtId="4" fontId="12" fillId="0" borderId="18" xfId="0" applyNumberFormat="1" applyFont="1" applyBorder="1" applyAlignment="1" applyProtection="1">
      <alignment vertical="center"/>
      <protection hidden="1"/>
    </xf>
    <xf numFmtId="4" fontId="12" fillId="0" borderId="19" xfId="0" applyNumberFormat="1" applyFont="1" applyBorder="1" applyAlignment="1" applyProtection="1">
      <alignment vertical="center"/>
      <protection hidden="1"/>
    </xf>
    <xf numFmtId="10" fontId="12" fillId="0" borderId="39" xfId="0" applyNumberFormat="1" applyFont="1" applyBorder="1" applyAlignment="1" applyProtection="1">
      <alignment vertical="center"/>
      <protection hidden="1"/>
    </xf>
    <xf numFmtId="10" fontId="12" fillId="0" borderId="44" xfId="0" applyNumberFormat="1" applyFont="1" applyBorder="1" applyAlignment="1" applyProtection="1">
      <alignment vertical="center"/>
      <protection hidden="1"/>
    </xf>
    <xf numFmtId="0" fontId="12" fillId="0" borderId="18" xfId="0" applyFont="1" applyBorder="1" applyAlignment="1" applyProtection="1">
      <alignment vertical="center"/>
      <protection hidden="1"/>
    </xf>
    <xf numFmtId="0" fontId="12" fillId="0" borderId="19" xfId="0" applyFont="1" applyBorder="1" applyAlignment="1" applyProtection="1">
      <alignment vertical="center"/>
      <protection hidden="1"/>
    </xf>
    <xf numFmtId="0" fontId="12" fillId="0" borderId="40" xfId="0" applyFont="1" applyBorder="1" applyAlignment="1" applyProtection="1">
      <alignment vertical="center"/>
      <protection hidden="1"/>
    </xf>
    <xf numFmtId="0" fontId="12" fillId="0" borderId="45" xfId="0" applyFont="1" applyBorder="1" applyAlignment="1" applyProtection="1">
      <alignment vertical="center"/>
      <protection hidden="1"/>
    </xf>
    <xf numFmtId="10" fontId="12" fillId="0" borderId="22" xfId="0" applyNumberFormat="1" applyFont="1" applyBorder="1" applyAlignment="1" applyProtection="1">
      <alignment vertical="center"/>
      <protection hidden="1"/>
    </xf>
    <xf numFmtId="10" fontId="12" fillId="0" borderId="23" xfId="0" applyNumberFormat="1" applyFont="1" applyBorder="1" applyAlignment="1" applyProtection="1">
      <alignment vertical="center"/>
      <protection hidden="1"/>
    </xf>
    <xf numFmtId="0" fontId="2" fillId="0" borderId="52" xfId="0" applyFont="1" applyBorder="1" applyAlignment="1" applyProtection="1">
      <alignment horizontal="left" vertical="center"/>
      <protection hidden="1"/>
    </xf>
    <xf numFmtId="0" fontId="2" fillId="0" borderId="53" xfId="0" applyFont="1" applyBorder="1" applyAlignment="1" applyProtection="1">
      <alignment horizontal="left" vertical="center"/>
      <protection locked="0"/>
    </xf>
    <xf numFmtId="0" fontId="2" fillId="0" borderId="54" xfId="0" applyFont="1" applyBorder="1" applyAlignment="1" applyProtection="1">
      <alignment horizontal="left" vertical="center"/>
      <protection hidden="1"/>
    </xf>
    <xf numFmtId="0" fontId="2" fillId="0" borderId="56" xfId="0" applyFont="1" applyBorder="1" applyAlignment="1" applyProtection="1">
      <alignment horizontal="left" vertical="center"/>
      <protection locked="0"/>
    </xf>
    <xf numFmtId="0" fontId="3" fillId="2" borderId="57" xfId="0" applyFont="1" applyFill="1" applyBorder="1" applyAlignment="1" applyProtection="1">
      <alignment horizontal="center" vertical="center"/>
      <protection hidden="1"/>
    </xf>
    <xf numFmtId="0" fontId="2" fillId="0" borderId="49" xfId="0" applyFont="1" applyBorder="1" applyAlignment="1" applyProtection="1">
      <alignment horizontal="left" vertical="center"/>
      <protection hidden="1"/>
    </xf>
    <xf numFmtId="0" fontId="2" fillId="0" borderId="51" xfId="0" applyFont="1" applyBorder="1" applyAlignment="1" applyProtection="1">
      <alignment horizontal="left" vertical="center"/>
      <protection locked="0"/>
    </xf>
    <xf numFmtId="0" fontId="2" fillId="0" borderId="57" xfId="0" applyFont="1" applyBorder="1" applyAlignment="1" applyProtection="1">
      <alignment horizontal="left" vertical="center"/>
      <protection hidden="1"/>
    </xf>
    <xf numFmtId="0" fontId="2" fillId="0" borderId="58" xfId="0" applyFont="1" applyBorder="1" applyAlignment="1" applyProtection="1">
      <alignment horizontal="center" vertical="center"/>
      <protection locked="0"/>
    </xf>
    <xf numFmtId="0" fontId="2" fillId="0" borderId="59" xfId="0" applyFont="1" applyBorder="1" applyAlignment="1" applyProtection="1">
      <alignment horizontal="left" vertical="center"/>
      <protection locked="0"/>
    </xf>
    <xf numFmtId="0" fontId="1" fillId="2" borderId="42" xfId="0" applyFont="1" applyFill="1" applyBorder="1" applyAlignment="1" applyProtection="1">
      <alignment horizontal="center" vertical="center"/>
      <protection locked="0"/>
    </xf>
    <xf numFmtId="0" fontId="1" fillId="2" borderId="60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Protection="1">
      <protection locked="0"/>
    </xf>
    <xf numFmtId="0" fontId="0" fillId="0" borderId="18" xfId="0" quotePrefix="1" applyBorder="1" applyProtection="1">
      <protection locked="0"/>
    </xf>
    <xf numFmtId="0" fontId="17" fillId="0" borderId="0" xfId="0" applyFont="1" applyProtection="1">
      <protection hidden="1"/>
    </xf>
    <xf numFmtId="0" fontId="3" fillId="2" borderId="58" xfId="0" applyFont="1" applyFill="1" applyBorder="1" applyAlignment="1" applyProtection="1">
      <alignment horizontal="center" vertical="center"/>
      <protection hidden="1"/>
    </xf>
    <xf numFmtId="0" fontId="3" fillId="2" borderId="59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26" xfId="0" applyFont="1" applyBorder="1" applyProtection="1">
      <protection hidden="1"/>
    </xf>
    <xf numFmtId="0" fontId="14" fillId="0" borderId="27" xfId="0" applyFont="1" applyBorder="1" applyProtection="1">
      <protection hidden="1"/>
    </xf>
    <xf numFmtId="0" fontId="14" fillId="0" borderId="28" xfId="0" applyFont="1" applyBorder="1" applyProtection="1">
      <protection hidden="1"/>
    </xf>
    <xf numFmtId="0" fontId="14" fillId="0" borderId="29" xfId="0" applyFont="1" applyBorder="1" applyProtection="1"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4" fillId="3" borderId="1" xfId="0" applyFont="1" applyFill="1" applyBorder="1" applyAlignment="1" applyProtection="1">
      <alignment horizontal="left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0" fontId="4" fillId="3" borderId="4" xfId="0" applyFont="1" applyFill="1" applyBorder="1" applyAlignment="1" applyProtection="1">
      <alignment horizontal="left" vertical="center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4" fillId="3" borderId="5" xfId="0" applyFont="1" applyFill="1" applyBorder="1" applyAlignment="1" applyProtection="1">
      <alignment horizontal="left" vertical="center"/>
      <protection hidden="1"/>
    </xf>
    <xf numFmtId="0" fontId="4" fillId="3" borderId="6" xfId="0" applyFont="1" applyFill="1" applyBorder="1" applyAlignment="1" applyProtection="1">
      <alignment horizontal="left" vertical="center"/>
      <protection hidden="1"/>
    </xf>
    <xf numFmtId="0" fontId="4" fillId="3" borderId="7" xfId="0" applyFont="1" applyFill="1" applyBorder="1" applyAlignment="1" applyProtection="1">
      <alignment horizontal="left" vertical="center"/>
      <protection hidden="1"/>
    </xf>
    <xf numFmtId="0" fontId="4" fillId="3" borderId="8" xfId="0" applyFont="1" applyFill="1" applyBorder="1" applyAlignment="1" applyProtection="1">
      <alignment horizontal="left" vertical="center"/>
      <protection hidden="1"/>
    </xf>
    <xf numFmtId="0" fontId="16" fillId="9" borderId="0" xfId="0" applyFont="1" applyFill="1" applyAlignment="1" applyProtection="1">
      <alignment horizontal="left"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4" fillId="3" borderId="35" xfId="0" applyFont="1" applyFill="1" applyBorder="1" applyAlignment="1" applyProtection="1">
      <alignment horizontal="left" vertical="center"/>
      <protection hidden="1"/>
    </xf>
    <xf numFmtId="0" fontId="12" fillId="11" borderId="33" xfId="0" applyFont="1" applyFill="1" applyBorder="1" applyAlignment="1" applyProtection="1">
      <alignment horizontal="center" vertical="center" wrapText="1"/>
      <protection hidden="1"/>
    </xf>
    <xf numFmtId="0" fontId="12" fillId="3" borderId="33" xfId="0" applyFont="1" applyFill="1" applyBorder="1" applyAlignment="1" applyProtection="1">
      <alignment vertical="center"/>
      <protection hidden="1"/>
    </xf>
    <xf numFmtId="0" fontId="12" fillId="3" borderId="34" xfId="0" applyFont="1" applyFill="1" applyBorder="1" applyAlignment="1" applyProtection="1">
      <alignment vertical="center"/>
      <protection hidden="1"/>
    </xf>
    <xf numFmtId="0" fontId="12" fillId="11" borderId="18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0" borderId="33" xfId="0" applyFont="1" applyBorder="1" applyAlignment="1" applyProtection="1">
      <alignment horizontal="center" vertical="center"/>
      <protection locked="0"/>
    </xf>
    <xf numFmtId="0" fontId="12" fillId="0" borderId="34" xfId="0" applyFont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 applyProtection="1">
      <alignment horizontal="center" vertical="center"/>
      <protection locked="0"/>
    </xf>
    <xf numFmtId="0" fontId="12" fillId="11" borderId="33" xfId="0" applyFont="1" applyFill="1" applyBorder="1" applyAlignment="1">
      <alignment horizontal="center" vertical="center" wrapText="1"/>
    </xf>
    <xf numFmtId="0" fontId="12" fillId="11" borderId="22" xfId="0" applyFont="1" applyFill="1" applyBorder="1" applyAlignment="1">
      <alignment horizontal="center" vertical="center" wrapText="1"/>
    </xf>
    <xf numFmtId="0" fontId="12" fillId="11" borderId="43" xfId="0" applyFont="1" applyFill="1" applyBorder="1" applyAlignment="1">
      <alignment horizontal="center" vertical="center" wrapText="1"/>
    </xf>
    <xf numFmtId="0" fontId="12" fillId="11" borderId="17" xfId="0" applyFont="1" applyFill="1" applyBorder="1" applyAlignment="1">
      <alignment horizontal="center" vertical="center" wrapText="1"/>
    </xf>
    <xf numFmtId="0" fontId="12" fillId="11" borderId="21" xfId="0" applyFont="1" applyFill="1" applyBorder="1" applyAlignment="1">
      <alignment horizontal="center" vertical="center" wrapText="1"/>
    </xf>
    <xf numFmtId="0" fontId="12" fillId="11" borderId="47" xfId="0" applyFont="1" applyFill="1" applyBorder="1" applyAlignment="1">
      <alignment horizontal="center" vertical="center" wrapText="1"/>
    </xf>
    <xf numFmtId="0" fontId="9" fillId="14" borderId="18" xfId="0" applyFont="1" applyFill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 applyProtection="1">
      <alignment horizontal="center" vertical="center"/>
      <protection hidden="1"/>
    </xf>
    <xf numFmtId="0" fontId="19" fillId="0" borderId="18" xfId="0" applyFont="1" applyBorder="1" applyProtection="1">
      <protection locked="0"/>
    </xf>
    <xf numFmtId="0" fontId="19" fillId="0" borderId="18" xfId="0" quotePrefix="1" applyFont="1" applyBorder="1" applyProtection="1">
      <protection locked="0"/>
    </xf>
    <xf numFmtId="0" fontId="6" fillId="3" borderId="0" xfId="0" applyFont="1" applyFill="1" applyAlignment="1" applyProtection="1">
      <alignment horizontal="left" vertical="center" wrapText="1"/>
      <protection hidden="1"/>
    </xf>
    <xf numFmtId="0" fontId="5" fillId="0" borderId="0" xfId="0" applyFont="1" applyAlignment="1" applyProtection="1">
      <alignment horizontal="left" vertical="center" wrapText="1"/>
      <protection hidden="1"/>
    </xf>
    <xf numFmtId="0" fontId="5" fillId="0" borderId="7" xfId="0" applyFont="1" applyBorder="1" applyAlignment="1" applyProtection="1">
      <alignment horizontal="left" vertical="center" wrapText="1"/>
      <protection hidden="1"/>
    </xf>
    <xf numFmtId="0" fontId="4" fillId="3" borderId="0" xfId="0" applyFont="1" applyFill="1" applyAlignment="1" applyProtection="1">
      <alignment horizontal="left" vertical="center" wrapText="1"/>
      <protection hidden="1"/>
    </xf>
    <xf numFmtId="0" fontId="15" fillId="9" borderId="0" xfId="0" applyFont="1" applyFill="1" applyAlignment="1" applyProtection="1">
      <alignment horizontal="left" vertical="center" wrapText="1"/>
      <protection hidden="1"/>
    </xf>
    <xf numFmtId="0" fontId="4" fillId="9" borderId="0" xfId="0" applyFont="1" applyFill="1" applyAlignment="1" applyProtection="1">
      <alignment horizontal="left" vertical="center" wrapText="1"/>
      <protection hidden="1"/>
    </xf>
    <xf numFmtId="0" fontId="4" fillId="0" borderId="0" xfId="0" applyFont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right" vertical="center" wrapTex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4" fontId="4" fillId="0" borderId="0" xfId="0" applyNumberFormat="1" applyFont="1" applyAlignment="1" applyProtection="1">
      <alignment horizontal="left" vertical="center" wrapText="1"/>
      <protection locked="0"/>
    </xf>
    <xf numFmtId="0" fontId="5" fillId="3" borderId="2" xfId="0" applyFont="1" applyFill="1" applyBorder="1" applyAlignment="1" applyProtection="1">
      <alignment horizontal="left" vertical="center" wrapText="1"/>
      <protection hidden="1"/>
    </xf>
    <xf numFmtId="0" fontId="5" fillId="3" borderId="7" xfId="0" applyFont="1" applyFill="1" applyBorder="1" applyAlignment="1" applyProtection="1">
      <alignment horizontal="left" vertical="center" wrapText="1"/>
      <protection hidden="1"/>
    </xf>
    <xf numFmtId="0" fontId="4" fillId="3" borderId="62" xfId="0" applyFont="1" applyFill="1" applyBorder="1" applyAlignment="1" applyProtection="1">
      <alignment horizontal="left" vertical="center" wrapText="1"/>
      <protection hidden="1"/>
    </xf>
    <xf numFmtId="0" fontId="4" fillId="3" borderId="63" xfId="0" applyFont="1" applyFill="1" applyBorder="1" applyAlignment="1" applyProtection="1">
      <alignment horizontal="left" vertical="center" wrapText="1"/>
      <protection hidden="1"/>
    </xf>
    <xf numFmtId="0" fontId="4" fillId="3" borderId="64" xfId="0" applyFont="1" applyFill="1" applyBorder="1" applyAlignment="1" applyProtection="1">
      <alignment horizontal="left" vertical="center" wrapText="1"/>
      <protection hidden="1"/>
    </xf>
    <xf numFmtId="0" fontId="4" fillId="3" borderId="65" xfId="0" applyFont="1" applyFill="1" applyBorder="1" applyAlignment="1" applyProtection="1">
      <alignment horizontal="left" vertical="center" wrapText="1"/>
      <protection hidden="1"/>
    </xf>
    <xf numFmtId="0" fontId="4" fillId="3" borderId="66" xfId="0" applyFont="1" applyFill="1" applyBorder="1" applyAlignment="1" applyProtection="1">
      <alignment horizontal="left" vertical="center" wrapText="1"/>
      <protection hidden="1"/>
    </xf>
    <xf numFmtId="0" fontId="4" fillId="3" borderId="67" xfId="0" applyFont="1" applyFill="1" applyBorder="1" applyAlignment="1" applyProtection="1">
      <alignment horizontal="left" vertical="center" wrapText="1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0" fillId="9" borderId="0" xfId="0" applyFont="1" applyFill="1" applyAlignment="1" applyProtection="1">
      <alignment horizontal="left" vertical="center" wrapText="1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left" vertical="center" wrapText="1"/>
      <protection locked="0"/>
    </xf>
    <xf numFmtId="0" fontId="12" fillId="12" borderId="36" xfId="0" applyFont="1" applyFill="1" applyBorder="1" applyAlignment="1">
      <alignment horizontal="center" vertical="center" wrapText="1"/>
    </xf>
    <xf numFmtId="0" fontId="12" fillId="12" borderId="46" xfId="0" applyFont="1" applyFill="1" applyBorder="1" applyAlignment="1">
      <alignment horizontal="center" vertical="center" wrapText="1"/>
    </xf>
    <xf numFmtId="0" fontId="12" fillId="12" borderId="37" xfId="0" applyFont="1" applyFill="1" applyBorder="1" applyAlignment="1">
      <alignment horizontal="center" vertical="center" wrapText="1"/>
    </xf>
    <xf numFmtId="0" fontId="12" fillId="11" borderId="41" xfId="0" applyFont="1" applyFill="1" applyBorder="1" applyAlignment="1">
      <alignment horizontal="center" vertical="center" wrapText="1"/>
    </xf>
    <xf numFmtId="0" fontId="12" fillId="11" borderId="24" xfId="0" applyFont="1" applyFill="1" applyBorder="1" applyAlignment="1">
      <alignment horizontal="center" vertical="center" wrapText="1"/>
    </xf>
    <xf numFmtId="0" fontId="12" fillId="11" borderId="41" xfId="0" applyFont="1" applyFill="1" applyBorder="1" applyAlignment="1" applyProtection="1">
      <alignment horizontal="center" vertical="center" wrapText="1"/>
      <protection hidden="1"/>
    </xf>
    <xf numFmtId="0" fontId="12" fillId="11" borderId="42" xfId="0" applyFont="1" applyFill="1" applyBorder="1" applyAlignment="1" applyProtection="1">
      <alignment horizontal="center" vertical="center" wrapText="1"/>
      <protection hidden="1"/>
    </xf>
    <xf numFmtId="0" fontId="18" fillId="0" borderId="18" xfId="0" applyFont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 wrapText="1"/>
      <protection hidden="1"/>
    </xf>
    <xf numFmtId="0" fontId="2" fillId="0" borderId="50" xfId="0" applyFont="1" applyBorder="1" applyAlignment="1" applyProtection="1">
      <alignment horizontal="center" vertical="center"/>
      <protection locked="0"/>
    </xf>
    <xf numFmtId="0" fontId="2" fillId="0" borderId="48" xfId="0" applyFont="1" applyBorder="1" applyAlignment="1" applyProtection="1">
      <alignment horizontal="center" vertical="center"/>
      <protection locked="0"/>
    </xf>
    <xf numFmtId="0" fontId="2" fillId="0" borderId="55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 applyProtection="1">
      <alignment horizontal="center" vertical="center" wrapText="1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0" fontId="2" fillId="0" borderId="55" xfId="0" applyFont="1" applyBorder="1" applyAlignment="1" applyProtection="1">
      <alignment horizontal="center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3" fillId="2" borderId="14" xfId="0" applyFont="1" applyFill="1" applyBorder="1" applyAlignment="1" applyProtection="1">
      <alignment horizontal="center" vertical="center" wrapText="1"/>
      <protection hidden="1"/>
    </xf>
    <xf numFmtId="0" fontId="3" fillId="2" borderId="15" xfId="0" applyFont="1" applyFill="1" applyBorder="1" applyAlignment="1" applyProtection="1">
      <alignment horizontal="center" vertical="center" wrapText="1"/>
      <protection hidden="1"/>
    </xf>
    <xf numFmtId="0" fontId="2" fillId="8" borderId="15" xfId="0" applyFont="1" applyFill="1" applyBorder="1" applyAlignment="1" applyProtection="1">
      <alignment horizontal="center" vertical="center" wrapText="1"/>
      <protection hidden="1"/>
    </xf>
    <xf numFmtId="0" fontId="2" fillId="8" borderId="16" xfId="0" applyFont="1" applyFill="1" applyBorder="1" applyAlignment="1" applyProtection="1">
      <alignment horizontal="center" vertical="center" wrapText="1"/>
      <protection hidden="1"/>
    </xf>
    <xf numFmtId="0" fontId="3" fillId="2" borderId="24" xfId="0" applyFont="1" applyFill="1" applyBorder="1" applyAlignment="1" applyProtection="1">
      <alignment horizontal="center" vertical="center" wrapText="1"/>
      <protection hidden="1"/>
    </xf>
    <xf numFmtId="0" fontId="3" fillId="2" borderId="30" xfId="0" applyFont="1" applyFill="1" applyBorder="1" applyAlignment="1" applyProtection="1">
      <alignment horizontal="center" vertical="center" wrapText="1"/>
      <protection hidden="1"/>
    </xf>
    <xf numFmtId="0" fontId="3" fillId="2" borderId="25" xfId="0" applyFont="1" applyFill="1" applyBorder="1" applyAlignment="1" applyProtection="1">
      <alignment horizontal="center" vertical="center" wrapText="1"/>
      <protection hidden="1"/>
    </xf>
    <xf numFmtId="0" fontId="3" fillId="2" borderId="16" xfId="0" applyFont="1" applyFill="1" applyBorder="1" applyAlignment="1" applyProtection="1">
      <alignment horizontal="center" vertical="center" wrapText="1"/>
      <protection hidden="1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2" fillId="0" borderId="31" xfId="0" applyFont="1" applyBorder="1" applyAlignment="1" applyProtection="1">
      <alignment horizontal="center" vertical="center" wrapText="1"/>
      <protection locked="0"/>
    </xf>
    <xf numFmtId="0" fontId="2" fillId="0" borderId="29" xfId="0" applyFont="1" applyBorder="1" applyAlignment="1" applyProtection="1">
      <alignment horizontal="center" vertical="center" wrapText="1"/>
      <protection locked="0"/>
    </xf>
    <xf numFmtId="0" fontId="3" fillId="2" borderId="36" xfId="0" applyFont="1" applyFill="1" applyBorder="1" applyAlignment="1" applyProtection="1">
      <alignment horizontal="center" vertical="center" wrapText="1"/>
      <protection hidden="1"/>
    </xf>
    <xf numFmtId="0" fontId="3" fillId="2" borderId="37" xfId="0" applyFont="1" applyFill="1" applyBorder="1" applyAlignment="1" applyProtection="1">
      <alignment horizontal="center" vertical="center" wrapText="1"/>
      <protection hidden="1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horizontal="left" vertical="center" wrapText="1"/>
      <protection locked="0"/>
    </xf>
    <xf numFmtId="0" fontId="0" fillId="0" borderId="19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33" xfId="0" applyBorder="1" applyAlignment="1" applyProtection="1">
      <alignment vertical="center"/>
      <protection locked="0"/>
    </xf>
    <xf numFmtId="0" fontId="0" fillId="0" borderId="34" xfId="0" applyBorder="1" applyAlignment="1" applyProtection="1">
      <alignment vertical="center"/>
      <protection locked="0"/>
    </xf>
    <xf numFmtId="0" fontId="1" fillId="2" borderId="14" xfId="0" applyFont="1" applyFill="1" applyBorder="1" applyAlignment="1" applyProtection="1">
      <alignment horizontal="center" vertical="center" wrapText="1"/>
      <protection locked="0"/>
    </xf>
    <xf numFmtId="0" fontId="1" fillId="2" borderId="15" xfId="0" applyFont="1" applyFill="1" applyBorder="1" applyAlignment="1" applyProtection="1">
      <alignment horizontal="center" vertical="center" wrapText="1"/>
      <protection locked="0"/>
    </xf>
    <xf numFmtId="0" fontId="1" fillId="2" borderId="16" xfId="0" applyFont="1" applyFill="1" applyBorder="1" applyAlignment="1" applyProtection="1">
      <alignment horizontal="center" vertical="center" wrapText="1"/>
      <protection locked="0"/>
    </xf>
    <xf numFmtId="0" fontId="1" fillId="2" borderId="30" xfId="0" applyFont="1" applyFill="1" applyBorder="1" applyAlignment="1" applyProtection="1">
      <alignment horizontal="center" vertical="center" wrapText="1"/>
      <protection locked="0"/>
    </xf>
    <xf numFmtId="0" fontId="1" fillId="2" borderId="25" xfId="0" applyFont="1" applyFill="1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left" vertical="center" wrapText="1"/>
      <protection locked="0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4" fillId="0" borderId="12" xfId="0" applyFont="1" applyBorder="1" applyAlignment="1" applyProtection="1">
      <alignment horizontal="center" vertical="center" wrapText="1"/>
      <protection hidden="1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1" fillId="2" borderId="60" xfId="0" applyFont="1" applyFill="1" applyBorder="1" applyAlignment="1" applyProtection="1">
      <alignment horizontal="center" vertical="center" wrapText="1"/>
      <protection locked="0"/>
    </xf>
    <xf numFmtId="0" fontId="1" fillId="2" borderId="61" xfId="0" applyFont="1" applyFill="1" applyBorder="1" applyAlignment="1" applyProtection="1">
      <alignment horizontal="center" vertical="center" wrapText="1"/>
      <protection locked="0"/>
    </xf>
    <xf numFmtId="0" fontId="16" fillId="9" borderId="0" xfId="0" applyFont="1" applyFill="1" applyBorder="1" applyAlignment="1" applyProtection="1">
      <alignment horizontal="left" vertical="center" wrapText="1"/>
    </xf>
    <xf numFmtId="164" fontId="16" fillId="9" borderId="0" xfId="0" applyNumberFormat="1" applyFont="1" applyFill="1" applyBorder="1" applyAlignment="1" applyProtection="1">
      <alignment horizontal="left" vertical="center" wrapText="1"/>
    </xf>
    <xf numFmtId="0" fontId="15" fillId="0" borderId="0" xfId="0" applyFont="1" applyFill="1" applyBorder="1" applyAlignment="1" applyProtection="1">
      <alignment horizontal="left" vertical="center" wrapText="1"/>
      <protection locked="0"/>
    </xf>
    <xf numFmtId="164" fontId="15" fillId="0" borderId="0" xfId="0" applyNumberFormat="1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3962AD"/>
      <color rgb="FF365DA2"/>
      <color rgb="FFF2F2F2"/>
      <color rgb="FFDC3545"/>
      <color rgb="FF0D6EFD"/>
      <color rgb="FF3366FF"/>
      <color rgb="FF4A55BE"/>
      <color rgb="FF4A9EE4"/>
      <color rgb="FF1C7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4354</xdr:colOff>
      <xdr:row>0</xdr:row>
      <xdr:rowOff>178526</xdr:rowOff>
    </xdr:from>
    <xdr:to>
      <xdr:col>14</xdr:col>
      <xdr:colOff>4354</xdr:colOff>
      <xdr:row>12</xdr:row>
      <xdr:rowOff>4354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891B5C-A729-F73D-2265-B0BFFE2DA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314" y="178526"/>
          <a:ext cx="9509760" cy="2020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19878</xdr:colOff>
      <xdr:row>2</xdr:row>
      <xdr:rowOff>163202</xdr:rowOff>
    </xdr:from>
    <xdr:to>
      <xdr:col>8</xdr:col>
      <xdr:colOff>708992</xdr:colOff>
      <xdr:row>9</xdr:row>
      <xdr:rowOff>46383</xdr:rowOff>
    </xdr:to>
    <xdr:sp macro="" textlink="PARAMETROS!$C$2">
      <xdr:nvSpPr>
        <xdr:cNvPr id="16" name="Rectángulo 15">
          <a:extLst>
            <a:ext uri="{FF2B5EF4-FFF2-40B4-BE49-F238E27FC236}">
              <a16:creationId xmlns:a16="http://schemas.microsoft.com/office/drawing/2014/main" id="{57B35497-F06C-3584-C0E6-09BD1D9E6749}"/>
            </a:ext>
          </a:extLst>
        </xdr:cNvPr>
        <xdr:cNvSpPr/>
      </xdr:nvSpPr>
      <xdr:spPr>
        <a:xfrm>
          <a:off x="1610139" y="534263"/>
          <a:ext cx="5459896" cy="11818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4CDCA83-6153-4C83-90A2-F6A0B422A83C}" type="TxLink">
            <a:rPr lang="en-US" sz="2000" b="1" i="0" u="none" strike="noStrike">
              <a:solidFill>
                <a:srgbClr val="3962AD"/>
              </a:solidFill>
              <a:latin typeface="Segoe UI"/>
              <a:cs typeface="Segoe UI"/>
            </a:rPr>
            <a:pPr algn="ctr"/>
            <a:t>Herramienta de Seguimiento y Monitoreo de Pacientes Canguro</a:t>
          </a:fld>
          <a:endParaRPr lang="es-CO" sz="2000" b="1">
            <a:solidFill>
              <a:srgbClr val="3962AD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4354</xdr:colOff>
      <xdr:row>22</xdr:row>
      <xdr:rowOff>4354</xdr:rowOff>
    </xdr:from>
    <xdr:to>
      <xdr:col>14</xdr:col>
      <xdr:colOff>8709</xdr:colOff>
      <xdr:row>30</xdr:row>
      <xdr:rowOff>8709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075A464-D60E-8850-0D5B-5BF23B0A1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314" y="4027714"/>
          <a:ext cx="9514115" cy="1467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97536</xdr:colOff>
      <xdr:row>14</xdr:row>
      <xdr:rowOff>81968</xdr:rowOff>
    </xdr:from>
    <xdr:to>
      <xdr:col>4</xdr:col>
      <xdr:colOff>728472</xdr:colOff>
      <xdr:row>19</xdr:row>
      <xdr:rowOff>81968</xdr:rowOff>
    </xdr:to>
    <xdr:sp macro="[0]!NAV_InfoClinica" textlink="PARAMETROS!$C$25">
      <xdr:nvSpPr>
        <xdr:cNvPr id="10" name="Rectángulo 9">
          <a:extLst>
            <a:ext uri="{FF2B5EF4-FFF2-40B4-BE49-F238E27FC236}">
              <a16:creationId xmlns:a16="http://schemas.microsoft.com/office/drawing/2014/main" id="{2AD85581-87CB-4CA0-9ADF-49CC7F0EF5E2}"/>
            </a:ext>
          </a:extLst>
        </xdr:cNvPr>
        <xdr:cNvSpPr/>
      </xdr:nvSpPr>
      <xdr:spPr>
        <a:xfrm>
          <a:off x="1680151" y="2625876"/>
          <a:ext cx="2213552" cy="908538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E2184A7-B037-4315-900C-0E67B60C7499}" type="TxLink">
            <a:rPr lang="en-US" sz="1600" b="1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INFORMACIÓN CLÍNICA</a:t>
          </a:fld>
          <a:endParaRPr lang="es-CO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91440</xdr:colOff>
      <xdr:row>14</xdr:row>
      <xdr:rowOff>81968</xdr:rowOff>
    </xdr:from>
    <xdr:to>
      <xdr:col>7</xdr:col>
      <xdr:colOff>722376</xdr:colOff>
      <xdr:row>19</xdr:row>
      <xdr:rowOff>81968</xdr:rowOff>
    </xdr:to>
    <xdr:sp macro="" textlink="PARAMETROS!$C$26">
      <xdr:nvSpPr>
        <xdr:cNvPr id="11" name="Rectángulo 10">
          <a:extLst>
            <a:ext uri="{FF2B5EF4-FFF2-40B4-BE49-F238E27FC236}">
              <a16:creationId xmlns:a16="http://schemas.microsoft.com/office/drawing/2014/main" id="{EC22D0BF-44BC-4CDD-A402-216D736EEFC2}"/>
            </a:ext>
          </a:extLst>
        </xdr:cNvPr>
        <xdr:cNvSpPr/>
      </xdr:nvSpPr>
      <xdr:spPr>
        <a:xfrm>
          <a:off x="4047978" y="2625876"/>
          <a:ext cx="2213552" cy="908538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988CC28-F67A-42B5-A910-F48879C74012}" type="TxLink">
            <a:rPr lang="en-US" sz="1600" b="1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SEGUIMIENTO</a:t>
          </a:fld>
          <a:endParaRPr lang="es-CO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94488</xdr:colOff>
      <xdr:row>14</xdr:row>
      <xdr:rowOff>81968</xdr:rowOff>
    </xdr:from>
    <xdr:to>
      <xdr:col>10</xdr:col>
      <xdr:colOff>725424</xdr:colOff>
      <xdr:row>19</xdr:row>
      <xdr:rowOff>81968</xdr:rowOff>
    </xdr:to>
    <xdr:sp macro="" textlink="PARAMETROS!$C$27">
      <xdr:nvSpPr>
        <xdr:cNvPr id="12" name="Rectángulo 11">
          <a:extLst>
            <a:ext uri="{FF2B5EF4-FFF2-40B4-BE49-F238E27FC236}">
              <a16:creationId xmlns:a16="http://schemas.microsoft.com/office/drawing/2014/main" id="{156C31B9-B924-49FD-A89A-2EC4E8162228}"/>
            </a:ext>
          </a:extLst>
        </xdr:cNvPr>
        <xdr:cNvSpPr/>
      </xdr:nvSpPr>
      <xdr:spPr>
        <a:xfrm>
          <a:off x="6424950" y="2625876"/>
          <a:ext cx="2213551" cy="908538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A1A043-C96E-437E-BA36-AB8A7BF21CA3}" type="TxLink">
            <a:rPr lang="en-US" sz="1600" b="1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INDICADORES</a:t>
          </a:fld>
          <a:endParaRPr lang="es-CO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107132</xdr:colOff>
      <xdr:row>14</xdr:row>
      <xdr:rowOff>81968</xdr:rowOff>
    </xdr:from>
    <xdr:to>
      <xdr:col>13</xdr:col>
      <xdr:colOff>678179</xdr:colOff>
      <xdr:row>19</xdr:row>
      <xdr:rowOff>81968</xdr:rowOff>
    </xdr:to>
    <xdr:sp macro="" textlink="PARAMETROS!$C$28">
      <xdr:nvSpPr>
        <xdr:cNvPr id="13" name="Rectángulo 12">
          <a:extLst>
            <a:ext uri="{FF2B5EF4-FFF2-40B4-BE49-F238E27FC236}">
              <a16:creationId xmlns:a16="http://schemas.microsoft.com/office/drawing/2014/main" id="{A623EEE8-2BA4-4AD9-9F05-7A6DA850652D}"/>
            </a:ext>
          </a:extLst>
        </xdr:cNvPr>
        <xdr:cNvSpPr/>
      </xdr:nvSpPr>
      <xdr:spPr>
        <a:xfrm>
          <a:off x="8811517" y="2625876"/>
          <a:ext cx="2153662" cy="908538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54EBF7B-B3A6-4FC5-A458-513FC3571F9E}" type="TxLink">
            <a:rPr lang="en-US" sz="1600" b="1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ADMINISTRAR</a:t>
          </a:fld>
          <a:endParaRPr lang="es-CO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5</xdr:row>
      <xdr:rowOff>0</xdr:rowOff>
    </xdr:from>
    <xdr:to>
      <xdr:col>19</xdr:col>
      <xdr:colOff>7620</xdr:colOff>
      <xdr:row>7</xdr:row>
      <xdr:rowOff>0</xdr:rowOff>
    </xdr:to>
    <xdr:sp macro="[0]!CLIN_BuscarPaciente" textlink="PARAMETROS!$C$35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E920D43-600E-485E-BBDD-8D0C1997E934}"/>
            </a:ext>
          </a:extLst>
        </xdr:cNvPr>
        <xdr:cNvSpPr/>
      </xdr:nvSpPr>
      <xdr:spPr>
        <a:xfrm>
          <a:off x="9372600" y="807720"/>
          <a:ext cx="3429000" cy="32004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655DD7E-112F-4AC5-B30C-3C7E5C239347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Buscar Paciente</a:t>
          </a:fld>
          <a:endParaRPr lang="es-CO" sz="1500" b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0</xdr:colOff>
      <xdr:row>145</xdr:row>
      <xdr:rowOff>0</xdr:rowOff>
    </xdr:from>
    <xdr:to>
      <xdr:col>7</xdr:col>
      <xdr:colOff>7620</xdr:colOff>
      <xdr:row>147</xdr:row>
      <xdr:rowOff>7620</xdr:rowOff>
    </xdr:to>
    <xdr:sp macro="[0]!CLIN_Salir" textlink="PARAMETROS!$C$36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4645C34-8B80-4531-9713-9C0596F77D56}"/>
            </a:ext>
          </a:extLst>
        </xdr:cNvPr>
        <xdr:cNvSpPr/>
      </xdr:nvSpPr>
      <xdr:spPr>
        <a:xfrm>
          <a:off x="518160" y="2276856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05E3300-9862-4C52-81DA-4C5719B399FA}" type="TxLink">
            <a:rPr lang="en-US" sz="1500" b="0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145</xdr:row>
      <xdr:rowOff>0</xdr:rowOff>
    </xdr:from>
    <xdr:to>
      <xdr:col>19</xdr:col>
      <xdr:colOff>0</xdr:colOff>
      <xdr:row>147</xdr:row>
      <xdr:rowOff>7620</xdr:rowOff>
    </xdr:to>
    <xdr:sp macro="[0]!CLIN_Registrar" textlink="PARAMETROS!$C$37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9A18F72-1BD7-4EBA-BD4D-B5626425F3D4}"/>
            </a:ext>
          </a:extLst>
        </xdr:cNvPr>
        <xdr:cNvSpPr/>
      </xdr:nvSpPr>
      <xdr:spPr>
        <a:xfrm>
          <a:off x="9486900" y="2276856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7DF0D17-3F6D-4789-AF18-C6C9AF6383DA}" type="TxLink">
            <a:rPr lang="en-US" sz="1500" b="0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5</xdr:row>
      <xdr:rowOff>7620</xdr:rowOff>
    </xdr:from>
    <xdr:to>
      <xdr:col>19</xdr:col>
      <xdr:colOff>0</xdr:colOff>
      <xdr:row>7</xdr:row>
      <xdr:rowOff>7620</xdr:rowOff>
    </xdr:to>
    <xdr:sp macro="" textlink="PARAMETROS!$C$35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D03148F-8A73-42C4-BDF9-E9818C8694AC}"/>
            </a:ext>
          </a:extLst>
        </xdr:cNvPr>
        <xdr:cNvSpPr/>
      </xdr:nvSpPr>
      <xdr:spPr>
        <a:xfrm>
          <a:off x="9372600" y="1104900"/>
          <a:ext cx="3421380" cy="32004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EC0579-45E5-48B8-B922-BEA2CC9C4E28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Buscar Paciente</a:t>
          </a:fld>
          <a:endParaRPr lang="es-CO" sz="1500" b="0" i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7620</xdr:colOff>
      <xdr:row>8</xdr:row>
      <xdr:rowOff>0</xdr:rowOff>
    </xdr:from>
    <xdr:to>
      <xdr:col>6</xdr:col>
      <xdr:colOff>53340</xdr:colOff>
      <xdr:row>10</xdr:row>
      <xdr:rowOff>7620</xdr:rowOff>
    </xdr:to>
    <xdr:sp macro="" textlink="PARAMETROS!$C$38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4C4F4F0-0C68-4ED3-9D7D-B29E25F11013}"/>
            </a:ext>
          </a:extLst>
        </xdr:cNvPr>
        <xdr:cNvSpPr/>
      </xdr:nvSpPr>
      <xdr:spPr>
        <a:xfrm>
          <a:off x="655320" y="1249680"/>
          <a:ext cx="242316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0792789-9EAC-4273-B527-F76A6CF366E5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Sala de Partos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777240</xdr:colOff>
      <xdr:row>8</xdr:row>
      <xdr:rowOff>0</xdr:rowOff>
    </xdr:from>
    <xdr:to>
      <xdr:col>10</xdr:col>
      <xdr:colOff>30480</xdr:colOff>
      <xdr:row>10</xdr:row>
      <xdr:rowOff>7620</xdr:rowOff>
    </xdr:to>
    <xdr:sp macro="" textlink="PARAMETROS!$C$39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653E695-F897-4258-942A-9219C5D4A660}"/>
            </a:ext>
          </a:extLst>
        </xdr:cNvPr>
        <xdr:cNvSpPr/>
      </xdr:nvSpPr>
      <xdr:spPr>
        <a:xfrm>
          <a:off x="3802380" y="124968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2B64358-E0CD-47AB-A986-2B4BEB51D717}" type="TxLink">
            <a:rPr lang="en-US" sz="1500" b="0" i="0" u="none" strike="noStrike">
              <a:solidFill>
                <a:srgbClr val="3366FF"/>
              </a:solidFill>
              <a:latin typeface="Segoe UI"/>
              <a:cs typeface="Segoe UI"/>
            </a:rPr>
            <a:pPr algn="ctr"/>
            <a:t>Alojamiento Conjunto</a:t>
          </a:fld>
          <a:endParaRPr lang="es-CO" sz="1500">
            <a:solidFill>
              <a:srgbClr val="3366FF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762000</xdr:colOff>
      <xdr:row>8</xdr:row>
      <xdr:rowOff>0</xdr:rowOff>
    </xdr:from>
    <xdr:to>
      <xdr:col>14</xdr:col>
      <xdr:colOff>15240</xdr:colOff>
      <xdr:row>10</xdr:row>
      <xdr:rowOff>7620</xdr:rowOff>
    </xdr:to>
    <xdr:sp macro="" textlink="PARAMETROS!$C$40">
      <xdr:nvSpPr>
        <xdr:cNvPr id="7" name="Rectángulo: esquinas redondeadas 6">
          <a:extLst>
            <a:ext uri="{FF2B5EF4-FFF2-40B4-BE49-F238E27FC236}">
              <a16:creationId xmlns:a16="http://schemas.microsoft.com/office/drawing/2014/main" id="{C413897B-4DDA-43F0-B5CB-9113F2C2BEE1}"/>
            </a:ext>
          </a:extLst>
        </xdr:cNvPr>
        <xdr:cNvSpPr/>
      </xdr:nvSpPr>
      <xdr:spPr>
        <a:xfrm>
          <a:off x="6957060" y="124968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72A316F-3BCB-45B4-AB60-14EBA5038569}" type="TxLink">
            <a:rPr lang="en-US" sz="1500" b="0" i="0" u="none" strike="noStrike">
              <a:solidFill>
                <a:srgbClr val="3366FF"/>
              </a:solidFill>
              <a:latin typeface="Segoe UI"/>
              <a:cs typeface="Segoe UI"/>
            </a:rPr>
            <a:pPr algn="ctr"/>
            <a:t>URN</a:t>
          </a:fld>
          <a:endParaRPr lang="es-CO" sz="1500">
            <a:solidFill>
              <a:srgbClr val="3366FF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746760</xdr:colOff>
      <xdr:row>8</xdr:row>
      <xdr:rowOff>0</xdr:rowOff>
    </xdr:from>
    <xdr:to>
      <xdr:col>18</xdr:col>
      <xdr:colOff>0</xdr:colOff>
      <xdr:row>10</xdr:row>
      <xdr:rowOff>7620</xdr:rowOff>
    </xdr:to>
    <xdr:sp macro="" textlink="PARAMETROS!$C$41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4C1C72B-1D3A-405D-89BE-D313E52848ED}"/>
            </a:ext>
          </a:extLst>
        </xdr:cNvPr>
        <xdr:cNvSpPr/>
      </xdr:nvSpPr>
      <xdr:spPr>
        <a:xfrm>
          <a:off x="10111740" y="124968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54D0C4-FCE8-4188-BF45-52A7D075E8ED}" type="TxLink">
            <a:rPr lang="en-US" sz="1500" b="0" i="0" u="none" strike="noStrike">
              <a:solidFill>
                <a:srgbClr val="3366FF"/>
              </a:solidFill>
              <a:latin typeface="Segoe UI"/>
              <a:cs typeface="Segoe UI"/>
            </a:rPr>
            <a:pPr algn="ctr"/>
            <a:t>Ambulatorio</a:t>
          </a:fld>
          <a:endParaRPr lang="es-CO" sz="1500">
            <a:solidFill>
              <a:srgbClr val="3366FF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0</xdr:colOff>
      <xdr:row>69</xdr:row>
      <xdr:rowOff>0</xdr:rowOff>
    </xdr:from>
    <xdr:to>
      <xdr:col>7</xdr:col>
      <xdr:colOff>7620</xdr:colOff>
      <xdr:row>71</xdr:row>
      <xdr:rowOff>7620</xdr:rowOff>
    </xdr:to>
    <xdr:sp macro="" textlink="PARAMETROS!$C$36">
      <xdr:nvSpPr>
        <xdr:cNvPr id="9" name="Rectángulo: esquinas redondeadas 8">
          <a:extLst>
            <a:ext uri="{FF2B5EF4-FFF2-40B4-BE49-F238E27FC236}">
              <a16:creationId xmlns:a16="http://schemas.microsoft.com/office/drawing/2014/main" id="{FFE07044-D969-4628-BEB6-3E5460998C99}"/>
            </a:ext>
          </a:extLst>
        </xdr:cNvPr>
        <xdr:cNvSpPr/>
      </xdr:nvSpPr>
      <xdr:spPr>
        <a:xfrm>
          <a:off x="518160" y="2276856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69</xdr:row>
      <xdr:rowOff>0</xdr:rowOff>
    </xdr:from>
    <xdr:to>
      <xdr:col>19</xdr:col>
      <xdr:colOff>0</xdr:colOff>
      <xdr:row>71</xdr:row>
      <xdr:rowOff>7620</xdr:rowOff>
    </xdr:to>
    <xdr:sp macro="" textlink="PARAMETROS!$C$37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F0AB8233-2C6D-4DFF-A35C-57D8507CA8CD}"/>
            </a:ext>
          </a:extLst>
        </xdr:cNvPr>
        <xdr:cNvSpPr/>
      </xdr:nvSpPr>
      <xdr:spPr>
        <a:xfrm>
          <a:off x="9486900" y="2276856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1E09028-0694-49DF-A5D2-E8B43A8C704B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7620</xdr:colOff>
      <xdr:row>74</xdr:row>
      <xdr:rowOff>22860</xdr:rowOff>
    </xdr:from>
    <xdr:to>
      <xdr:col>6</xdr:col>
      <xdr:colOff>53340</xdr:colOff>
      <xdr:row>76</xdr:row>
      <xdr:rowOff>30480</xdr:rowOff>
    </xdr:to>
    <xdr:sp macro="" textlink="PARAMETROS!$C$38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A7E8B8E3-7651-4892-A679-4FC286E2A419}"/>
            </a:ext>
          </a:extLst>
        </xdr:cNvPr>
        <xdr:cNvSpPr/>
      </xdr:nvSpPr>
      <xdr:spPr>
        <a:xfrm>
          <a:off x="655320" y="1162050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0792789-9EAC-4273-B527-F76A6CF366E5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Sala de Partos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777240</xdr:colOff>
      <xdr:row>74</xdr:row>
      <xdr:rowOff>0</xdr:rowOff>
    </xdr:from>
    <xdr:to>
      <xdr:col>10</xdr:col>
      <xdr:colOff>30480</xdr:colOff>
      <xdr:row>76</xdr:row>
      <xdr:rowOff>7620</xdr:rowOff>
    </xdr:to>
    <xdr:sp macro="" textlink="PARAMETROS!$C$39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83DD01A-69D2-4FCC-BF56-09FE9856DDBB}"/>
            </a:ext>
          </a:extLst>
        </xdr:cNvPr>
        <xdr:cNvSpPr/>
      </xdr:nvSpPr>
      <xdr:spPr>
        <a:xfrm>
          <a:off x="3802380" y="1249680"/>
          <a:ext cx="242316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2B64358-E0CD-47AB-A986-2B4BEB51D717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Alojamiento Conjunto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10</xdr:col>
      <xdr:colOff>762000</xdr:colOff>
      <xdr:row>74</xdr:row>
      <xdr:rowOff>0</xdr:rowOff>
    </xdr:from>
    <xdr:to>
      <xdr:col>14</xdr:col>
      <xdr:colOff>15240</xdr:colOff>
      <xdr:row>76</xdr:row>
      <xdr:rowOff>7620</xdr:rowOff>
    </xdr:to>
    <xdr:sp macro="" textlink="PARAMETROS!$C$40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51FC154A-92F4-40BA-A91E-C54F58C42837}"/>
            </a:ext>
          </a:extLst>
        </xdr:cNvPr>
        <xdr:cNvSpPr/>
      </xdr:nvSpPr>
      <xdr:spPr>
        <a:xfrm>
          <a:off x="6957060" y="124968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72A316F-3BCB-45B4-AB60-14EBA5038569}" type="TxLink">
            <a:rPr lang="en-US" sz="1500" b="0" i="0" u="none" strike="noStrike">
              <a:solidFill>
                <a:srgbClr val="3366FF"/>
              </a:solidFill>
              <a:latin typeface="Segoe UI"/>
              <a:cs typeface="Segoe UI"/>
            </a:rPr>
            <a:pPr algn="ctr"/>
            <a:t>URN</a:t>
          </a:fld>
          <a:endParaRPr lang="es-CO" sz="1500">
            <a:solidFill>
              <a:srgbClr val="3366FF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746760</xdr:colOff>
      <xdr:row>74</xdr:row>
      <xdr:rowOff>0</xdr:rowOff>
    </xdr:from>
    <xdr:to>
      <xdr:col>18</xdr:col>
      <xdr:colOff>0</xdr:colOff>
      <xdr:row>76</xdr:row>
      <xdr:rowOff>7620</xdr:rowOff>
    </xdr:to>
    <xdr:sp macro="" textlink="PARAMETROS!$C$41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D70AFE6-6C5A-400B-A174-1C6A044C2108}"/>
            </a:ext>
          </a:extLst>
        </xdr:cNvPr>
        <xdr:cNvSpPr/>
      </xdr:nvSpPr>
      <xdr:spPr>
        <a:xfrm>
          <a:off x="10111740" y="124968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54D0C4-FCE8-4188-BF45-52A7D075E8ED}" type="TxLink">
            <a:rPr lang="en-US" sz="1500" b="0" i="0" u="none" strike="noStrike">
              <a:solidFill>
                <a:srgbClr val="3366FF"/>
              </a:solidFill>
              <a:latin typeface="Segoe UI"/>
              <a:cs typeface="Segoe UI"/>
            </a:rPr>
            <a:pPr algn="ctr"/>
            <a:t>Ambulatorio</a:t>
          </a:fld>
          <a:endParaRPr lang="es-CO" sz="1500">
            <a:solidFill>
              <a:srgbClr val="3366FF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0</xdr:colOff>
      <xdr:row>150</xdr:row>
      <xdr:rowOff>0</xdr:rowOff>
    </xdr:from>
    <xdr:to>
      <xdr:col>7</xdr:col>
      <xdr:colOff>7620</xdr:colOff>
      <xdr:row>152</xdr:row>
      <xdr:rowOff>7620</xdr:rowOff>
    </xdr:to>
    <xdr:sp macro="" textlink="PARAMETROS!$C$36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C6531CA1-C6F5-45ED-BBF5-72C3F00EDCE4}"/>
            </a:ext>
          </a:extLst>
        </xdr:cNvPr>
        <xdr:cNvSpPr/>
      </xdr:nvSpPr>
      <xdr:spPr>
        <a:xfrm>
          <a:off x="518160" y="1078992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150</xdr:row>
      <xdr:rowOff>0</xdr:rowOff>
    </xdr:from>
    <xdr:to>
      <xdr:col>19</xdr:col>
      <xdr:colOff>0</xdr:colOff>
      <xdr:row>152</xdr:row>
      <xdr:rowOff>7620</xdr:rowOff>
    </xdr:to>
    <xdr:sp macro="" textlink="PARAMETROS!$C$37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977EBDA2-3784-4868-B9A4-5BFABA0A4D3A}"/>
            </a:ext>
          </a:extLst>
        </xdr:cNvPr>
        <xdr:cNvSpPr/>
      </xdr:nvSpPr>
      <xdr:spPr>
        <a:xfrm>
          <a:off x="9486900" y="1078992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9D01CA-33E2-41FC-AE4B-349D89EA635D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7620</xdr:colOff>
      <xdr:row>155</xdr:row>
      <xdr:rowOff>22860</xdr:rowOff>
    </xdr:from>
    <xdr:to>
      <xdr:col>6</xdr:col>
      <xdr:colOff>53340</xdr:colOff>
      <xdr:row>157</xdr:row>
      <xdr:rowOff>30480</xdr:rowOff>
    </xdr:to>
    <xdr:sp macro="" textlink="PARAMETROS!$C$38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FE6CC898-2825-4874-9AC4-CE719D7615D1}"/>
            </a:ext>
          </a:extLst>
        </xdr:cNvPr>
        <xdr:cNvSpPr/>
      </xdr:nvSpPr>
      <xdr:spPr>
        <a:xfrm>
          <a:off x="655320" y="1162050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0792789-9EAC-4273-B527-F76A6CF366E5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Sala de Partos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777240</xdr:colOff>
      <xdr:row>155</xdr:row>
      <xdr:rowOff>0</xdr:rowOff>
    </xdr:from>
    <xdr:to>
      <xdr:col>10</xdr:col>
      <xdr:colOff>30480</xdr:colOff>
      <xdr:row>157</xdr:row>
      <xdr:rowOff>7620</xdr:rowOff>
    </xdr:to>
    <xdr:sp macro="" textlink="PARAMETROS!$C$39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371D78BD-7AB5-4A3B-BF29-0B121CED2F80}"/>
            </a:ext>
          </a:extLst>
        </xdr:cNvPr>
        <xdr:cNvSpPr/>
      </xdr:nvSpPr>
      <xdr:spPr>
        <a:xfrm>
          <a:off x="3802380" y="1159764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2B64358-E0CD-47AB-A986-2B4BEB51D717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Alojamiento Conjunto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10</xdr:col>
      <xdr:colOff>762000</xdr:colOff>
      <xdr:row>155</xdr:row>
      <xdr:rowOff>0</xdr:rowOff>
    </xdr:from>
    <xdr:to>
      <xdr:col>14</xdr:col>
      <xdr:colOff>15240</xdr:colOff>
      <xdr:row>157</xdr:row>
      <xdr:rowOff>7620</xdr:rowOff>
    </xdr:to>
    <xdr:sp macro="" textlink="PARAMETROS!$C$40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FCE647D7-B925-4259-9433-187AA2DB0839}"/>
            </a:ext>
          </a:extLst>
        </xdr:cNvPr>
        <xdr:cNvSpPr/>
      </xdr:nvSpPr>
      <xdr:spPr>
        <a:xfrm>
          <a:off x="6957060" y="11597640"/>
          <a:ext cx="242316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72A316F-3BCB-45B4-AB60-14EBA5038569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URN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746760</xdr:colOff>
      <xdr:row>155</xdr:row>
      <xdr:rowOff>0</xdr:rowOff>
    </xdr:from>
    <xdr:to>
      <xdr:col>18</xdr:col>
      <xdr:colOff>0</xdr:colOff>
      <xdr:row>157</xdr:row>
      <xdr:rowOff>7620</xdr:rowOff>
    </xdr:to>
    <xdr:sp macro="" textlink="PARAMETROS!$C$41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8EF32578-B1C9-4EC6-A534-86A09F484D9D}"/>
            </a:ext>
          </a:extLst>
        </xdr:cNvPr>
        <xdr:cNvSpPr/>
      </xdr:nvSpPr>
      <xdr:spPr>
        <a:xfrm>
          <a:off x="10111740" y="2429256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54D0C4-FCE8-4188-BF45-52A7D075E8ED}" type="TxLink">
            <a:rPr lang="en-US" sz="1500" b="0" i="0" u="none" strike="noStrike">
              <a:solidFill>
                <a:srgbClr val="3366FF"/>
              </a:solidFill>
              <a:latin typeface="Segoe UI"/>
              <a:cs typeface="Segoe UI"/>
            </a:rPr>
            <a:pPr algn="ctr"/>
            <a:t>Ambulatorio</a:t>
          </a:fld>
          <a:endParaRPr lang="es-CO" sz="1500">
            <a:solidFill>
              <a:srgbClr val="3366FF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0</xdr:colOff>
      <xdr:row>306</xdr:row>
      <xdr:rowOff>0</xdr:rowOff>
    </xdr:from>
    <xdr:to>
      <xdr:col>7</xdr:col>
      <xdr:colOff>7620</xdr:colOff>
      <xdr:row>308</xdr:row>
      <xdr:rowOff>7620</xdr:rowOff>
    </xdr:to>
    <xdr:sp macro="" textlink="PARAMETROS!$C$36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0EEDBE4-73D0-4F75-9ACB-071E9581893D}"/>
            </a:ext>
          </a:extLst>
        </xdr:cNvPr>
        <xdr:cNvSpPr/>
      </xdr:nvSpPr>
      <xdr:spPr>
        <a:xfrm>
          <a:off x="518160" y="2348484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306</xdr:row>
      <xdr:rowOff>0</xdr:rowOff>
    </xdr:from>
    <xdr:to>
      <xdr:col>19</xdr:col>
      <xdr:colOff>0</xdr:colOff>
      <xdr:row>308</xdr:row>
      <xdr:rowOff>7620</xdr:rowOff>
    </xdr:to>
    <xdr:sp macro="" textlink="PARAMETROS!$C$37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56D5DF-3DDE-4EFA-BB21-1CCE2B3E596F}"/>
            </a:ext>
          </a:extLst>
        </xdr:cNvPr>
        <xdr:cNvSpPr/>
      </xdr:nvSpPr>
      <xdr:spPr>
        <a:xfrm>
          <a:off x="9486900" y="2348484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03B60DE-0D7E-4947-A152-5C709D9EC576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7620</xdr:colOff>
      <xdr:row>311</xdr:row>
      <xdr:rowOff>22860</xdr:rowOff>
    </xdr:from>
    <xdr:to>
      <xdr:col>6</xdr:col>
      <xdr:colOff>53340</xdr:colOff>
      <xdr:row>313</xdr:row>
      <xdr:rowOff>30480</xdr:rowOff>
    </xdr:to>
    <xdr:sp macro="" textlink="PARAMETROS!$C$38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650825CF-CECF-4495-856F-66AC612F1B0E}"/>
            </a:ext>
          </a:extLst>
        </xdr:cNvPr>
        <xdr:cNvSpPr/>
      </xdr:nvSpPr>
      <xdr:spPr>
        <a:xfrm>
          <a:off x="655320" y="2431542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0792789-9EAC-4273-B527-F76A6CF366E5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Sala de Partos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777240</xdr:colOff>
      <xdr:row>311</xdr:row>
      <xdr:rowOff>0</xdr:rowOff>
    </xdr:from>
    <xdr:to>
      <xdr:col>10</xdr:col>
      <xdr:colOff>30480</xdr:colOff>
      <xdr:row>313</xdr:row>
      <xdr:rowOff>7620</xdr:rowOff>
    </xdr:to>
    <xdr:sp macro="" textlink="PARAMETROS!$C$39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03F09B54-F515-45C2-9884-C1F3D1A77BC3}"/>
            </a:ext>
          </a:extLst>
        </xdr:cNvPr>
        <xdr:cNvSpPr/>
      </xdr:nvSpPr>
      <xdr:spPr>
        <a:xfrm>
          <a:off x="3802380" y="2429256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2B64358-E0CD-47AB-A986-2B4BEB51D717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Alojamiento Conjunto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10</xdr:col>
      <xdr:colOff>762000</xdr:colOff>
      <xdr:row>311</xdr:row>
      <xdr:rowOff>0</xdr:rowOff>
    </xdr:from>
    <xdr:to>
      <xdr:col>14</xdr:col>
      <xdr:colOff>15240</xdr:colOff>
      <xdr:row>313</xdr:row>
      <xdr:rowOff>7620</xdr:rowOff>
    </xdr:to>
    <xdr:sp macro="" textlink="PARAMETROS!$C$40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478194-DE14-4446-A2F7-AC95E2C9A14C}"/>
            </a:ext>
          </a:extLst>
        </xdr:cNvPr>
        <xdr:cNvSpPr/>
      </xdr:nvSpPr>
      <xdr:spPr>
        <a:xfrm>
          <a:off x="6957060" y="24292560"/>
          <a:ext cx="242316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72A316F-3BCB-45B4-AB60-14EBA5038569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URN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746760</xdr:colOff>
      <xdr:row>311</xdr:row>
      <xdr:rowOff>0</xdr:rowOff>
    </xdr:from>
    <xdr:to>
      <xdr:col>18</xdr:col>
      <xdr:colOff>0</xdr:colOff>
      <xdr:row>313</xdr:row>
      <xdr:rowOff>7620</xdr:rowOff>
    </xdr:to>
    <xdr:sp macro="" textlink="PARAMETROS!$C$41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6EEB1A4E-9EF8-40CF-9E8B-FB3491F98B2D}"/>
            </a:ext>
          </a:extLst>
        </xdr:cNvPr>
        <xdr:cNvSpPr/>
      </xdr:nvSpPr>
      <xdr:spPr>
        <a:xfrm>
          <a:off x="10111740" y="24292560"/>
          <a:ext cx="242316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954D0C4-FCE8-4188-BF45-52A7D075E8ED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Ambulatorio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3</xdr:col>
      <xdr:colOff>419100</xdr:colOff>
      <xdr:row>342</xdr:row>
      <xdr:rowOff>0</xdr:rowOff>
    </xdr:from>
    <xdr:to>
      <xdr:col>5</xdr:col>
      <xdr:colOff>236220</xdr:colOff>
      <xdr:row>344</xdr:row>
      <xdr:rowOff>7620</xdr:rowOff>
    </xdr:to>
    <xdr:sp macro="" textlink="PARAMETROS!$C$42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283792B7-9D50-4E3C-B979-699F2CE89E40}"/>
            </a:ext>
          </a:extLst>
        </xdr:cNvPr>
        <xdr:cNvSpPr/>
      </xdr:nvSpPr>
      <xdr:spPr>
        <a:xfrm>
          <a:off x="1066800" y="49347120"/>
          <a:ext cx="1402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ABA3172-0229-41C4-B78F-196EAA42AA57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40 Semanas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419100</xdr:colOff>
      <xdr:row>342</xdr:row>
      <xdr:rowOff>0</xdr:rowOff>
    </xdr:from>
    <xdr:to>
      <xdr:col>8</xdr:col>
      <xdr:colOff>236220</xdr:colOff>
      <xdr:row>344</xdr:row>
      <xdr:rowOff>7620</xdr:rowOff>
    </xdr:to>
    <xdr:sp macro="" textlink="PARAMETROS!$C$43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EEF41341-CD58-44B3-B3DB-065EF4163C3F}"/>
            </a:ext>
          </a:extLst>
        </xdr:cNvPr>
        <xdr:cNvSpPr/>
      </xdr:nvSpPr>
      <xdr:spPr>
        <a:xfrm>
          <a:off x="3444240" y="49347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DA6A2D0-AA90-47DA-A6FB-37D31865199E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3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411480</xdr:colOff>
      <xdr:row>342</xdr:row>
      <xdr:rowOff>0</xdr:rowOff>
    </xdr:from>
    <xdr:to>
      <xdr:col>11</xdr:col>
      <xdr:colOff>228600</xdr:colOff>
      <xdr:row>344</xdr:row>
      <xdr:rowOff>7620</xdr:rowOff>
    </xdr:to>
    <xdr:sp macro="" textlink="PARAMETROS!$C$44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0F1EBBA7-6323-4AC8-88B4-5DECD88CA694}"/>
            </a:ext>
          </a:extLst>
        </xdr:cNvPr>
        <xdr:cNvSpPr/>
      </xdr:nvSpPr>
      <xdr:spPr>
        <a:xfrm>
          <a:off x="5814060" y="49347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8E1AE6F-D91B-4EC2-88AB-419DB1051F81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6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12</xdr:col>
      <xdr:colOff>411480</xdr:colOff>
      <xdr:row>342</xdr:row>
      <xdr:rowOff>0</xdr:rowOff>
    </xdr:from>
    <xdr:to>
      <xdr:col>14</xdr:col>
      <xdr:colOff>228600</xdr:colOff>
      <xdr:row>344</xdr:row>
      <xdr:rowOff>7620</xdr:rowOff>
    </xdr:to>
    <xdr:sp macro="" textlink="PARAMETROS!$C$45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43A40B70-1831-415A-A5AD-D283FEF8552C}"/>
            </a:ext>
          </a:extLst>
        </xdr:cNvPr>
        <xdr:cNvSpPr/>
      </xdr:nvSpPr>
      <xdr:spPr>
        <a:xfrm>
          <a:off x="8191500" y="49347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2F72D1B-9DFC-4FB7-AD26-D2241813098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9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15</xdr:col>
      <xdr:colOff>411480</xdr:colOff>
      <xdr:row>342</xdr:row>
      <xdr:rowOff>0</xdr:rowOff>
    </xdr:from>
    <xdr:to>
      <xdr:col>17</xdr:col>
      <xdr:colOff>228600</xdr:colOff>
      <xdr:row>344</xdr:row>
      <xdr:rowOff>7620</xdr:rowOff>
    </xdr:to>
    <xdr:sp macro="" textlink="PARAMETROS!$C$46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4979D1D0-D6C5-49D4-A7B5-B119DCF210BA}"/>
            </a:ext>
          </a:extLst>
        </xdr:cNvPr>
        <xdr:cNvSpPr/>
      </xdr:nvSpPr>
      <xdr:spPr>
        <a:xfrm>
          <a:off x="10568940" y="49347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27710E-8DEF-4A81-B46D-DDC8338EDBF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12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3</xdr:col>
      <xdr:colOff>419100</xdr:colOff>
      <xdr:row>410</xdr:row>
      <xdr:rowOff>0</xdr:rowOff>
    </xdr:from>
    <xdr:to>
      <xdr:col>5</xdr:col>
      <xdr:colOff>236220</xdr:colOff>
      <xdr:row>412</xdr:row>
      <xdr:rowOff>7620</xdr:rowOff>
    </xdr:to>
    <xdr:sp macro="" textlink="PARAMETROS!$C$42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410EC2E1-9B7E-4388-80E4-C108C779DD93}"/>
            </a:ext>
          </a:extLst>
        </xdr:cNvPr>
        <xdr:cNvSpPr/>
      </xdr:nvSpPr>
      <xdr:spPr>
        <a:xfrm>
          <a:off x="1066800" y="5350764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ABA3172-0229-41C4-B78F-196EAA42AA57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40 Semanas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419100</xdr:colOff>
      <xdr:row>410</xdr:row>
      <xdr:rowOff>0</xdr:rowOff>
    </xdr:from>
    <xdr:to>
      <xdr:col>8</xdr:col>
      <xdr:colOff>236220</xdr:colOff>
      <xdr:row>412</xdr:row>
      <xdr:rowOff>7620</xdr:rowOff>
    </xdr:to>
    <xdr:sp macro="" textlink="PARAMETROS!$C$43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98A47A69-3E07-4B81-8255-E65744BF4423}"/>
            </a:ext>
          </a:extLst>
        </xdr:cNvPr>
        <xdr:cNvSpPr/>
      </xdr:nvSpPr>
      <xdr:spPr>
        <a:xfrm>
          <a:off x="3444240" y="53507640"/>
          <a:ext cx="1402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DA6A2D0-AA90-47DA-A6FB-37D31865199E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3 Meses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411480</xdr:colOff>
      <xdr:row>410</xdr:row>
      <xdr:rowOff>0</xdr:rowOff>
    </xdr:from>
    <xdr:to>
      <xdr:col>11</xdr:col>
      <xdr:colOff>228600</xdr:colOff>
      <xdr:row>412</xdr:row>
      <xdr:rowOff>7620</xdr:rowOff>
    </xdr:to>
    <xdr:sp macro="" textlink="PARAMETROS!$C$44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B1970F7C-87D8-45D8-8F84-5E2D183CEF6D}"/>
            </a:ext>
          </a:extLst>
        </xdr:cNvPr>
        <xdr:cNvSpPr/>
      </xdr:nvSpPr>
      <xdr:spPr>
        <a:xfrm>
          <a:off x="5814060" y="5350764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8E1AE6F-D91B-4EC2-88AB-419DB1051F81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6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12</xdr:col>
      <xdr:colOff>411480</xdr:colOff>
      <xdr:row>410</xdr:row>
      <xdr:rowOff>0</xdr:rowOff>
    </xdr:from>
    <xdr:to>
      <xdr:col>14</xdr:col>
      <xdr:colOff>228600</xdr:colOff>
      <xdr:row>412</xdr:row>
      <xdr:rowOff>7620</xdr:rowOff>
    </xdr:to>
    <xdr:sp macro="" textlink="PARAMETROS!$C$45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4160AD36-8598-489E-8919-41AED5031E40}"/>
            </a:ext>
          </a:extLst>
        </xdr:cNvPr>
        <xdr:cNvSpPr/>
      </xdr:nvSpPr>
      <xdr:spPr>
        <a:xfrm>
          <a:off x="8191500" y="5350764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2F72D1B-9DFC-4FB7-AD26-D2241813098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9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15</xdr:col>
      <xdr:colOff>411480</xdr:colOff>
      <xdr:row>410</xdr:row>
      <xdr:rowOff>0</xdr:rowOff>
    </xdr:from>
    <xdr:to>
      <xdr:col>17</xdr:col>
      <xdr:colOff>228600</xdr:colOff>
      <xdr:row>412</xdr:row>
      <xdr:rowOff>7620</xdr:rowOff>
    </xdr:to>
    <xdr:sp macro="" textlink="PARAMETROS!$C$46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A5227F27-7C1C-48E1-86E7-4D7D4A2B4841}"/>
            </a:ext>
          </a:extLst>
        </xdr:cNvPr>
        <xdr:cNvSpPr/>
      </xdr:nvSpPr>
      <xdr:spPr>
        <a:xfrm>
          <a:off x="10568940" y="5350764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27710E-8DEF-4A81-B46D-DDC8338EDBF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12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2</xdr:col>
      <xdr:colOff>0</xdr:colOff>
      <xdr:row>405</xdr:row>
      <xdr:rowOff>0</xdr:rowOff>
    </xdr:from>
    <xdr:to>
      <xdr:col>7</xdr:col>
      <xdr:colOff>7620</xdr:colOff>
      <xdr:row>407</xdr:row>
      <xdr:rowOff>7620</xdr:rowOff>
    </xdr:to>
    <xdr:sp macro="" textlink="PARAMETROS!$C$36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A0BBA303-5A39-4726-862E-E950807DB286}"/>
            </a:ext>
          </a:extLst>
        </xdr:cNvPr>
        <xdr:cNvSpPr/>
      </xdr:nvSpPr>
      <xdr:spPr>
        <a:xfrm>
          <a:off x="518160" y="4785360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405</xdr:row>
      <xdr:rowOff>0</xdr:rowOff>
    </xdr:from>
    <xdr:to>
      <xdr:col>19</xdr:col>
      <xdr:colOff>0</xdr:colOff>
      <xdr:row>407</xdr:row>
      <xdr:rowOff>7620</xdr:rowOff>
    </xdr:to>
    <xdr:sp macro="" textlink="PARAMETROS!$C$37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66D30696-1100-43E1-A999-F61F69B96B00}"/>
            </a:ext>
          </a:extLst>
        </xdr:cNvPr>
        <xdr:cNvSpPr/>
      </xdr:nvSpPr>
      <xdr:spPr>
        <a:xfrm>
          <a:off x="9486900" y="4785360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5CC31D-42F9-4C10-BB8A-D1082D4FB223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419100</xdr:colOff>
      <xdr:row>458</xdr:row>
      <xdr:rowOff>0</xdr:rowOff>
    </xdr:from>
    <xdr:to>
      <xdr:col>5</xdr:col>
      <xdr:colOff>236220</xdr:colOff>
      <xdr:row>460</xdr:row>
      <xdr:rowOff>7620</xdr:rowOff>
    </xdr:to>
    <xdr:sp macro="" textlink="PARAMETROS!$C$42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23119D8B-7A85-44D6-B53F-9DCEDFB59055}"/>
            </a:ext>
          </a:extLst>
        </xdr:cNvPr>
        <xdr:cNvSpPr/>
      </xdr:nvSpPr>
      <xdr:spPr>
        <a:xfrm>
          <a:off x="1066800" y="6422136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ABA3172-0229-41C4-B78F-196EAA42AA57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40 Semanas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419100</xdr:colOff>
      <xdr:row>458</xdr:row>
      <xdr:rowOff>0</xdr:rowOff>
    </xdr:from>
    <xdr:to>
      <xdr:col>8</xdr:col>
      <xdr:colOff>236220</xdr:colOff>
      <xdr:row>460</xdr:row>
      <xdr:rowOff>7620</xdr:rowOff>
    </xdr:to>
    <xdr:sp macro="" textlink="PARAMETROS!$C$43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5967F86A-654C-4AC9-9338-9EB8B673FC0F}"/>
            </a:ext>
          </a:extLst>
        </xdr:cNvPr>
        <xdr:cNvSpPr/>
      </xdr:nvSpPr>
      <xdr:spPr>
        <a:xfrm>
          <a:off x="3444240" y="6422136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DA6A2D0-AA90-47DA-A6FB-37D31865199E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3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411480</xdr:colOff>
      <xdr:row>458</xdr:row>
      <xdr:rowOff>0</xdr:rowOff>
    </xdr:from>
    <xdr:to>
      <xdr:col>11</xdr:col>
      <xdr:colOff>228600</xdr:colOff>
      <xdr:row>460</xdr:row>
      <xdr:rowOff>7620</xdr:rowOff>
    </xdr:to>
    <xdr:sp macro="" textlink="PARAMETROS!$C$44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B14C7B98-6BE6-4F43-8661-D1F1AE7F85DF}"/>
            </a:ext>
          </a:extLst>
        </xdr:cNvPr>
        <xdr:cNvSpPr/>
      </xdr:nvSpPr>
      <xdr:spPr>
        <a:xfrm>
          <a:off x="5814060" y="64221360"/>
          <a:ext cx="1402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8E1AE6F-D91B-4EC2-88AB-419DB1051F81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6 Meses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12</xdr:col>
      <xdr:colOff>411480</xdr:colOff>
      <xdr:row>458</xdr:row>
      <xdr:rowOff>0</xdr:rowOff>
    </xdr:from>
    <xdr:to>
      <xdr:col>14</xdr:col>
      <xdr:colOff>228600</xdr:colOff>
      <xdr:row>460</xdr:row>
      <xdr:rowOff>7620</xdr:rowOff>
    </xdr:to>
    <xdr:sp macro="" textlink="PARAMETROS!$C$45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2A8605DA-BA70-4ABA-BA7E-F18A25017A9C}"/>
            </a:ext>
          </a:extLst>
        </xdr:cNvPr>
        <xdr:cNvSpPr/>
      </xdr:nvSpPr>
      <xdr:spPr>
        <a:xfrm>
          <a:off x="8191500" y="6422136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2F72D1B-9DFC-4FB7-AD26-D2241813098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9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15</xdr:col>
      <xdr:colOff>411480</xdr:colOff>
      <xdr:row>458</xdr:row>
      <xdr:rowOff>0</xdr:rowOff>
    </xdr:from>
    <xdr:to>
      <xdr:col>17</xdr:col>
      <xdr:colOff>228600</xdr:colOff>
      <xdr:row>460</xdr:row>
      <xdr:rowOff>7620</xdr:rowOff>
    </xdr:to>
    <xdr:sp macro="" textlink="PARAMETROS!$C$46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84819B4C-4F8C-453A-BDB4-81044CEE6FF8}"/>
            </a:ext>
          </a:extLst>
        </xdr:cNvPr>
        <xdr:cNvSpPr/>
      </xdr:nvSpPr>
      <xdr:spPr>
        <a:xfrm>
          <a:off x="10568940" y="6422136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27710E-8DEF-4A81-B46D-DDC8338EDBF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12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2</xdr:col>
      <xdr:colOff>0</xdr:colOff>
      <xdr:row>453</xdr:row>
      <xdr:rowOff>0</xdr:rowOff>
    </xdr:from>
    <xdr:to>
      <xdr:col>7</xdr:col>
      <xdr:colOff>7620</xdr:colOff>
      <xdr:row>455</xdr:row>
      <xdr:rowOff>7620</xdr:rowOff>
    </xdr:to>
    <xdr:sp macro="" textlink="PARAMETROS!$C$36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9C2C52AB-C58B-4F8D-9AA4-ABEF21C5DA17}"/>
            </a:ext>
          </a:extLst>
        </xdr:cNvPr>
        <xdr:cNvSpPr/>
      </xdr:nvSpPr>
      <xdr:spPr>
        <a:xfrm>
          <a:off x="518160" y="6341364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453</xdr:row>
      <xdr:rowOff>0</xdr:rowOff>
    </xdr:from>
    <xdr:to>
      <xdr:col>19</xdr:col>
      <xdr:colOff>0</xdr:colOff>
      <xdr:row>455</xdr:row>
      <xdr:rowOff>7620</xdr:rowOff>
    </xdr:to>
    <xdr:sp macro="" textlink="PARAMETROS!$C$37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B459D962-EDBB-4843-89DC-C136AAE9649E}"/>
            </a:ext>
          </a:extLst>
        </xdr:cNvPr>
        <xdr:cNvSpPr/>
      </xdr:nvSpPr>
      <xdr:spPr>
        <a:xfrm>
          <a:off x="9486900" y="6341364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03581FB-E4BF-48CB-A5E1-F5148D7C88E9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419100</xdr:colOff>
      <xdr:row>501</xdr:row>
      <xdr:rowOff>0</xdr:rowOff>
    </xdr:from>
    <xdr:to>
      <xdr:col>5</xdr:col>
      <xdr:colOff>236220</xdr:colOff>
      <xdr:row>503</xdr:row>
      <xdr:rowOff>7620</xdr:rowOff>
    </xdr:to>
    <xdr:sp macro="" textlink="PARAMETROS!$C$42">
      <xdr:nvSpPr>
        <xdr:cNvPr id="59" name="Rectángulo: esquinas redondeadas 58">
          <a:extLst>
            <a:ext uri="{FF2B5EF4-FFF2-40B4-BE49-F238E27FC236}">
              <a16:creationId xmlns:a16="http://schemas.microsoft.com/office/drawing/2014/main" id="{52EF4078-4FBB-4C24-879F-9B7C9561CA80}"/>
            </a:ext>
          </a:extLst>
        </xdr:cNvPr>
        <xdr:cNvSpPr/>
      </xdr:nvSpPr>
      <xdr:spPr>
        <a:xfrm>
          <a:off x="1066800" y="7185660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ABA3172-0229-41C4-B78F-196EAA42AA57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40 Semanas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419100</xdr:colOff>
      <xdr:row>501</xdr:row>
      <xdr:rowOff>0</xdr:rowOff>
    </xdr:from>
    <xdr:to>
      <xdr:col>8</xdr:col>
      <xdr:colOff>236220</xdr:colOff>
      <xdr:row>503</xdr:row>
      <xdr:rowOff>7620</xdr:rowOff>
    </xdr:to>
    <xdr:sp macro="" textlink="PARAMETROS!$C$43">
      <xdr:nvSpPr>
        <xdr:cNvPr id="60" name="Rectángulo: esquinas redondeadas 59">
          <a:extLst>
            <a:ext uri="{FF2B5EF4-FFF2-40B4-BE49-F238E27FC236}">
              <a16:creationId xmlns:a16="http://schemas.microsoft.com/office/drawing/2014/main" id="{5A655B60-B276-4D3A-B9CD-DBAAA81C5640}"/>
            </a:ext>
          </a:extLst>
        </xdr:cNvPr>
        <xdr:cNvSpPr/>
      </xdr:nvSpPr>
      <xdr:spPr>
        <a:xfrm>
          <a:off x="3444240" y="7185660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DA6A2D0-AA90-47DA-A6FB-37D31865199E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3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411480</xdr:colOff>
      <xdr:row>501</xdr:row>
      <xdr:rowOff>0</xdr:rowOff>
    </xdr:from>
    <xdr:to>
      <xdr:col>11</xdr:col>
      <xdr:colOff>228600</xdr:colOff>
      <xdr:row>503</xdr:row>
      <xdr:rowOff>7620</xdr:rowOff>
    </xdr:to>
    <xdr:sp macro="" textlink="PARAMETROS!$C$44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EEA5226-5BE2-409B-948B-2D1C246A5FE6}"/>
            </a:ext>
          </a:extLst>
        </xdr:cNvPr>
        <xdr:cNvSpPr/>
      </xdr:nvSpPr>
      <xdr:spPr>
        <a:xfrm>
          <a:off x="5814060" y="7185660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8E1AE6F-D91B-4EC2-88AB-419DB1051F81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6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12</xdr:col>
      <xdr:colOff>411480</xdr:colOff>
      <xdr:row>501</xdr:row>
      <xdr:rowOff>0</xdr:rowOff>
    </xdr:from>
    <xdr:to>
      <xdr:col>14</xdr:col>
      <xdr:colOff>228600</xdr:colOff>
      <xdr:row>503</xdr:row>
      <xdr:rowOff>7620</xdr:rowOff>
    </xdr:to>
    <xdr:sp macro="" textlink="PARAMETROS!$C$45">
      <xdr:nvSpPr>
        <xdr:cNvPr id="62" name="Rectángulo: esquinas redondeadas 61">
          <a:extLst>
            <a:ext uri="{FF2B5EF4-FFF2-40B4-BE49-F238E27FC236}">
              <a16:creationId xmlns:a16="http://schemas.microsoft.com/office/drawing/2014/main" id="{F9061987-7707-4A75-9AB5-15829A2EB7BB}"/>
            </a:ext>
          </a:extLst>
        </xdr:cNvPr>
        <xdr:cNvSpPr/>
      </xdr:nvSpPr>
      <xdr:spPr>
        <a:xfrm>
          <a:off x="8191500" y="71856600"/>
          <a:ext cx="1402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2F72D1B-9DFC-4FB7-AD26-D22418130982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9 Meses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15</xdr:col>
      <xdr:colOff>411480</xdr:colOff>
      <xdr:row>501</xdr:row>
      <xdr:rowOff>0</xdr:rowOff>
    </xdr:from>
    <xdr:to>
      <xdr:col>17</xdr:col>
      <xdr:colOff>228600</xdr:colOff>
      <xdr:row>503</xdr:row>
      <xdr:rowOff>7620</xdr:rowOff>
    </xdr:to>
    <xdr:sp macro="" textlink="PARAMETROS!$C$46">
      <xdr:nvSpPr>
        <xdr:cNvPr id="63" name="Rectángulo: esquinas redondeadas 62">
          <a:extLst>
            <a:ext uri="{FF2B5EF4-FFF2-40B4-BE49-F238E27FC236}">
              <a16:creationId xmlns:a16="http://schemas.microsoft.com/office/drawing/2014/main" id="{877D3E5D-4BAF-47A2-BDDA-DB14E6A237F4}"/>
            </a:ext>
          </a:extLst>
        </xdr:cNvPr>
        <xdr:cNvSpPr/>
      </xdr:nvSpPr>
      <xdr:spPr>
        <a:xfrm>
          <a:off x="10568940" y="7185660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27710E-8DEF-4A81-B46D-DDC8338EDBF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12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2</xdr:col>
      <xdr:colOff>0</xdr:colOff>
      <xdr:row>496</xdr:row>
      <xdr:rowOff>0</xdr:rowOff>
    </xdr:from>
    <xdr:to>
      <xdr:col>7</xdr:col>
      <xdr:colOff>7620</xdr:colOff>
      <xdr:row>498</xdr:row>
      <xdr:rowOff>7620</xdr:rowOff>
    </xdr:to>
    <xdr:sp macro="" textlink="PARAMETROS!$C$36">
      <xdr:nvSpPr>
        <xdr:cNvPr id="5120" name="Rectángulo: esquinas redondeadas 5119">
          <a:extLst>
            <a:ext uri="{FF2B5EF4-FFF2-40B4-BE49-F238E27FC236}">
              <a16:creationId xmlns:a16="http://schemas.microsoft.com/office/drawing/2014/main" id="{9AD517AF-56F6-4872-9EC4-708D89A26FCE}"/>
            </a:ext>
          </a:extLst>
        </xdr:cNvPr>
        <xdr:cNvSpPr/>
      </xdr:nvSpPr>
      <xdr:spPr>
        <a:xfrm>
          <a:off x="518160" y="7104888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496</xdr:row>
      <xdr:rowOff>0</xdr:rowOff>
    </xdr:from>
    <xdr:to>
      <xdr:col>19</xdr:col>
      <xdr:colOff>0</xdr:colOff>
      <xdr:row>498</xdr:row>
      <xdr:rowOff>7620</xdr:rowOff>
    </xdr:to>
    <xdr:sp macro="" textlink="PARAMETROS!$C$37">
      <xdr:nvSpPr>
        <xdr:cNvPr id="5121" name="Rectángulo: esquinas redondeadas 5120">
          <a:extLst>
            <a:ext uri="{FF2B5EF4-FFF2-40B4-BE49-F238E27FC236}">
              <a16:creationId xmlns:a16="http://schemas.microsoft.com/office/drawing/2014/main" id="{DB74648D-D3A3-42BE-AD1B-30404F7D1E08}"/>
            </a:ext>
          </a:extLst>
        </xdr:cNvPr>
        <xdr:cNvSpPr/>
      </xdr:nvSpPr>
      <xdr:spPr>
        <a:xfrm>
          <a:off x="9486900" y="7104888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86F9E0F-714B-4CB5-B1CF-6F9B3FF93FBC}" type="TxLink">
            <a:rPr lang="en-US" sz="1500" b="0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419100</xdr:colOff>
      <xdr:row>539</xdr:row>
      <xdr:rowOff>0</xdr:rowOff>
    </xdr:from>
    <xdr:to>
      <xdr:col>5</xdr:col>
      <xdr:colOff>236220</xdr:colOff>
      <xdr:row>541</xdr:row>
      <xdr:rowOff>7620</xdr:rowOff>
    </xdr:to>
    <xdr:sp macro="" textlink="PARAMETROS!$C$42">
      <xdr:nvSpPr>
        <xdr:cNvPr id="5124" name="Rectángulo: esquinas redondeadas 5123">
          <a:extLst>
            <a:ext uri="{FF2B5EF4-FFF2-40B4-BE49-F238E27FC236}">
              <a16:creationId xmlns:a16="http://schemas.microsoft.com/office/drawing/2014/main" id="{CF8F1D25-A72F-4504-91C1-E27002BDC9ED}"/>
            </a:ext>
          </a:extLst>
        </xdr:cNvPr>
        <xdr:cNvSpPr/>
      </xdr:nvSpPr>
      <xdr:spPr>
        <a:xfrm>
          <a:off x="1066800" y="78684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ABA3172-0229-41C4-B78F-196EAA42AA57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40 Semanas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419100</xdr:colOff>
      <xdr:row>539</xdr:row>
      <xdr:rowOff>0</xdr:rowOff>
    </xdr:from>
    <xdr:to>
      <xdr:col>8</xdr:col>
      <xdr:colOff>236220</xdr:colOff>
      <xdr:row>541</xdr:row>
      <xdr:rowOff>7620</xdr:rowOff>
    </xdr:to>
    <xdr:sp macro="" textlink="PARAMETROS!$C$43">
      <xdr:nvSpPr>
        <xdr:cNvPr id="5125" name="Rectángulo: esquinas redondeadas 5124">
          <a:extLst>
            <a:ext uri="{FF2B5EF4-FFF2-40B4-BE49-F238E27FC236}">
              <a16:creationId xmlns:a16="http://schemas.microsoft.com/office/drawing/2014/main" id="{8B20AD40-E684-4346-84E0-6E9B730864E9}"/>
            </a:ext>
          </a:extLst>
        </xdr:cNvPr>
        <xdr:cNvSpPr/>
      </xdr:nvSpPr>
      <xdr:spPr>
        <a:xfrm>
          <a:off x="3444240" y="78684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DA6A2D0-AA90-47DA-A6FB-37D31865199E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3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411480</xdr:colOff>
      <xdr:row>539</xdr:row>
      <xdr:rowOff>0</xdr:rowOff>
    </xdr:from>
    <xdr:to>
      <xdr:col>11</xdr:col>
      <xdr:colOff>228600</xdr:colOff>
      <xdr:row>541</xdr:row>
      <xdr:rowOff>7620</xdr:rowOff>
    </xdr:to>
    <xdr:sp macro="" textlink="PARAMETROS!$C$44">
      <xdr:nvSpPr>
        <xdr:cNvPr id="5126" name="Rectángulo: esquinas redondeadas 5125">
          <a:extLst>
            <a:ext uri="{FF2B5EF4-FFF2-40B4-BE49-F238E27FC236}">
              <a16:creationId xmlns:a16="http://schemas.microsoft.com/office/drawing/2014/main" id="{AD5A6277-F3D6-4D4A-89F8-1A38C7619863}"/>
            </a:ext>
          </a:extLst>
        </xdr:cNvPr>
        <xdr:cNvSpPr/>
      </xdr:nvSpPr>
      <xdr:spPr>
        <a:xfrm>
          <a:off x="5814060" y="78684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8E1AE6F-D91B-4EC2-88AB-419DB1051F81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6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12</xdr:col>
      <xdr:colOff>411480</xdr:colOff>
      <xdr:row>539</xdr:row>
      <xdr:rowOff>0</xdr:rowOff>
    </xdr:from>
    <xdr:to>
      <xdr:col>14</xdr:col>
      <xdr:colOff>228600</xdr:colOff>
      <xdr:row>541</xdr:row>
      <xdr:rowOff>7620</xdr:rowOff>
    </xdr:to>
    <xdr:sp macro="" textlink="PARAMETROS!$C$45">
      <xdr:nvSpPr>
        <xdr:cNvPr id="5127" name="Rectángulo: esquinas redondeadas 5126">
          <a:extLst>
            <a:ext uri="{FF2B5EF4-FFF2-40B4-BE49-F238E27FC236}">
              <a16:creationId xmlns:a16="http://schemas.microsoft.com/office/drawing/2014/main" id="{23E394C9-7410-46A8-BB16-D81E29346D67}"/>
            </a:ext>
          </a:extLst>
        </xdr:cNvPr>
        <xdr:cNvSpPr/>
      </xdr:nvSpPr>
      <xdr:spPr>
        <a:xfrm>
          <a:off x="8191500" y="78684120"/>
          <a:ext cx="1402080" cy="32766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2F72D1B-9DFC-4FB7-AD26-D22418130982}" type="TxLink">
            <a:rPr lang="en-US" sz="1500" b="0" i="0" u="none" strike="noStrike">
              <a:solidFill>
                <a:srgbClr val="3366FF"/>
              </a:solidFill>
              <a:latin typeface="Segoe UI"/>
              <a:ea typeface="+mn-ea"/>
              <a:cs typeface="Segoe UI"/>
            </a:rPr>
            <a:pPr marL="0" indent="0" algn="ctr"/>
            <a:t>9 Meses</a:t>
          </a:fld>
          <a:endParaRPr lang="es-CO" sz="1500" b="0" i="0" u="none" strike="noStrike">
            <a:solidFill>
              <a:srgbClr val="3366F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15</xdr:col>
      <xdr:colOff>411480</xdr:colOff>
      <xdr:row>539</xdr:row>
      <xdr:rowOff>0</xdr:rowOff>
    </xdr:from>
    <xdr:to>
      <xdr:col>17</xdr:col>
      <xdr:colOff>228600</xdr:colOff>
      <xdr:row>541</xdr:row>
      <xdr:rowOff>7620</xdr:rowOff>
    </xdr:to>
    <xdr:sp macro="" textlink="PARAMETROS!$C$46">
      <xdr:nvSpPr>
        <xdr:cNvPr id="5128" name="Rectángulo: esquinas redondeadas 5127">
          <a:extLst>
            <a:ext uri="{FF2B5EF4-FFF2-40B4-BE49-F238E27FC236}">
              <a16:creationId xmlns:a16="http://schemas.microsoft.com/office/drawing/2014/main" id="{1395B3BC-D9EE-4C1A-B96A-5B3FB905A932}"/>
            </a:ext>
          </a:extLst>
        </xdr:cNvPr>
        <xdr:cNvSpPr/>
      </xdr:nvSpPr>
      <xdr:spPr>
        <a:xfrm>
          <a:off x="10568940" y="78684120"/>
          <a:ext cx="1402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27710E-8DEF-4A81-B46D-DDC8338EDBF2}" type="TxLink">
            <a:rPr lang="en-US" sz="1500" b="0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12 Meses</a:t>
          </a:fld>
          <a:endParaRPr lang="es-CO" sz="1500" b="0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2</xdr:col>
      <xdr:colOff>0</xdr:colOff>
      <xdr:row>534</xdr:row>
      <xdr:rowOff>0</xdr:rowOff>
    </xdr:from>
    <xdr:to>
      <xdr:col>7</xdr:col>
      <xdr:colOff>7620</xdr:colOff>
      <xdr:row>536</xdr:row>
      <xdr:rowOff>7620</xdr:rowOff>
    </xdr:to>
    <xdr:sp macro="" textlink="PARAMETROS!$C$36">
      <xdr:nvSpPr>
        <xdr:cNvPr id="5129" name="Rectángulo: esquinas redondeadas 5128">
          <a:extLst>
            <a:ext uri="{FF2B5EF4-FFF2-40B4-BE49-F238E27FC236}">
              <a16:creationId xmlns:a16="http://schemas.microsoft.com/office/drawing/2014/main" id="{CFB5903D-D516-4E1B-92DE-EF96876346C9}"/>
            </a:ext>
          </a:extLst>
        </xdr:cNvPr>
        <xdr:cNvSpPr/>
      </xdr:nvSpPr>
      <xdr:spPr>
        <a:xfrm>
          <a:off x="518160" y="7787640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534</xdr:row>
      <xdr:rowOff>0</xdr:rowOff>
    </xdr:from>
    <xdr:to>
      <xdr:col>19</xdr:col>
      <xdr:colOff>0</xdr:colOff>
      <xdr:row>536</xdr:row>
      <xdr:rowOff>7620</xdr:rowOff>
    </xdr:to>
    <xdr:sp macro="" textlink="PARAMETROS!$C$37">
      <xdr:nvSpPr>
        <xdr:cNvPr id="5130" name="Rectángulo: esquinas redondeadas 5129">
          <a:extLst>
            <a:ext uri="{FF2B5EF4-FFF2-40B4-BE49-F238E27FC236}">
              <a16:creationId xmlns:a16="http://schemas.microsoft.com/office/drawing/2014/main" id="{A4711D52-330F-4A32-AC5A-06F9AAA9F916}"/>
            </a:ext>
          </a:extLst>
        </xdr:cNvPr>
        <xdr:cNvSpPr/>
      </xdr:nvSpPr>
      <xdr:spPr>
        <a:xfrm>
          <a:off x="9486900" y="7787640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F4C4D18-2DE1-4A55-BFEC-A5535E16D115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0</xdr:colOff>
      <xdr:row>587</xdr:row>
      <xdr:rowOff>0</xdr:rowOff>
    </xdr:from>
    <xdr:to>
      <xdr:col>7</xdr:col>
      <xdr:colOff>7620</xdr:colOff>
      <xdr:row>589</xdr:row>
      <xdr:rowOff>7620</xdr:rowOff>
    </xdr:to>
    <xdr:sp macro="" textlink="PARAMETROS!$C$36">
      <xdr:nvSpPr>
        <xdr:cNvPr id="5131" name="Rectángulo: esquinas redondeadas 5130">
          <a:extLst>
            <a:ext uri="{FF2B5EF4-FFF2-40B4-BE49-F238E27FC236}">
              <a16:creationId xmlns:a16="http://schemas.microsoft.com/office/drawing/2014/main" id="{55478CA1-1608-4EAA-92B1-43856E1315C6}"/>
            </a:ext>
          </a:extLst>
        </xdr:cNvPr>
        <xdr:cNvSpPr/>
      </xdr:nvSpPr>
      <xdr:spPr>
        <a:xfrm>
          <a:off x="518160" y="8389620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E3FF8D-A2E7-4492-BB44-37B03147DC2C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Salir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121920</xdr:colOff>
      <xdr:row>587</xdr:row>
      <xdr:rowOff>0</xdr:rowOff>
    </xdr:from>
    <xdr:to>
      <xdr:col>19</xdr:col>
      <xdr:colOff>0</xdr:colOff>
      <xdr:row>589</xdr:row>
      <xdr:rowOff>7620</xdr:rowOff>
    </xdr:to>
    <xdr:sp macro="" textlink="PARAMETROS!$C$37">
      <xdr:nvSpPr>
        <xdr:cNvPr id="5132" name="Rectángulo: esquinas redondeadas 5131">
          <a:extLst>
            <a:ext uri="{FF2B5EF4-FFF2-40B4-BE49-F238E27FC236}">
              <a16:creationId xmlns:a16="http://schemas.microsoft.com/office/drawing/2014/main" id="{A3E0B004-447C-44A1-A939-1609B2384D57}"/>
            </a:ext>
          </a:extLst>
        </xdr:cNvPr>
        <xdr:cNvSpPr/>
      </xdr:nvSpPr>
      <xdr:spPr>
        <a:xfrm>
          <a:off x="9486900" y="83896200"/>
          <a:ext cx="3307080" cy="32766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65AD2D8-9B58-42DA-A7B1-FF9D3CDF45D2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Registrar</a:t>
          </a:fld>
          <a:endParaRPr lang="es-CO" sz="15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38100</xdr:rowOff>
    </xdr:from>
    <xdr:to>
      <xdr:col>8</xdr:col>
      <xdr:colOff>564528</xdr:colOff>
      <xdr:row>1</xdr:row>
      <xdr:rowOff>167640</xdr:rowOff>
    </xdr:to>
    <xdr:sp macro="" textlink="PARAMETROS!$C$47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52284EB-8D44-4F12-BFC3-0186EBAADCD6}"/>
            </a:ext>
          </a:extLst>
        </xdr:cNvPr>
        <xdr:cNvSpPr/>
      </xdr:nvSpPr>
      <xdr:spPr>
        <a:xfrm>
          <a:off x="8450580" y="38100"/>
          <a:ext cx="1136028" cy="32004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E26DE5-A65D-4BDB-B44F-C2283EFA7913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Volver</a:t>
          </a:fld>
          <a:endParaRPr lang="es-CO" sz="1500" b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0</xdr:colOff>
      <xdr:row>8</xdr:row>
      <xdr:rowOff>4042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B0B4C8-79DA-47AA-A9AF-BCD427C1613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7171"/>
        <a:stretch>
          <a:fillRect/>
        </a:stretch>
      </xdr:blipFill>
      <xdr:spPr bwMode="auto">
        <a:xfrm>
          <a:off x="0" y="0"/>
          <a:ext cx="12677093" cy="1459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390409</xdr:colOff>
      <xdr:row>10</xdr:row>
      <xdr:rowOff>2995</xdr:rowOff>
    </xdr:from>
    <xdr:to>
      <xdr:col>5</xdr:col>
      <xdr:colOff>229528</xdr:colOff>
      <xdr:row>15</xdr:row>
      <xdr:rowOff>2995</xdr:rowOff>
    </xdr:to>
    <xdr:sp macro="" textlink="PARAMETROS!$C$29">
      <xdr:nvSpPr>
        <xdr:cNvPr id="4" name="Rectángulo 3">
          <a:extLst>
            <a:ext uri="{FF2B5EF4-FFF2-40B4-BE49-F238E27FC236}">
              <a16:creationId xmlns:a16="http://schemas.microsoft.com/office/drawing/2014/main" id="{40B96E9E-F5A0-4455-B51C-460DED8E1703}"/>
            </a:ext>
          </a:extLst>
        </xdr:cNvPr>
        <xdr:cNvSpPr/>
      </xdr:nvSpPr>
      <xdr:spPr>
        <a:xfrm>
          <a:off x="1975369" y="1831795"/>
          <a:ext cx="2216559" cy="914400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467AF9-1805-4DCD-AF52-425E70714E72}" type="TxLink">
            <a:rPr lang="en-US" sz="1600" b="1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BORRAR PACIENTE</a:t>
          </a:fld>
          <a:endParaRPr lang="es-CO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388620</xdr:colOff>
      <xdr:row>10</xdr:row>
      <xdr:rowOff>2995</xdr:rowOff>
    </xdr:from>
    <xdr:to>
      <xdr:col>9</xdr:col>
      <xdr:colOff>227076</xdr:colOff>
      <xdr:row>15</xdr:row>
      <xdr:rowOff>2995</xdr:rowOff>
    </xdr:to>
    <xdr:sp macro="" textlink="PARAMETROS!$C$30">
      <xdr:nvSpPr>
        <xdr:cNvPr id="5" name="Rectángulo 4">
          <a:extLst>
            <a:ext uri="{FF2B5EF4-FFF2-40B4-BE49-F238E27FC236}">
              <a16:creationId xmlns:a16="http://schemas.microsoft.com/office/drawing/2014/main" id="{10958D83-0EB9-4A56-8791-932E0FC34374}"/>
            </a:ext>
          </a:extLst>
        </xdr:cNvPr>
        <xdr:cNvSpPr/>
      </xdr:nvSpPr>
      <xdr:spPr>
        <a:xfrm>
          <a:off x="5143500" y="1831795"/>
          <a:ext cx="2215896" cy="914400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6916FC-F5CF-4A35-9D9B-2405FA834FF8}" type="TxLink">
            <a:rPr lang="en-US" sz="1600" b="1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CAMBIAR IDIOMA</a:t>
          </a:fld>
          <a:endParaRPr lang="es-CO" sz="1600" b="1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10</xdr:col>
      <xdr:colOff>391668</xdr:colOff>
      <xdr:row>10</xdr:row>
      <xdr:rowOff>10615</xdr:rowOff>
    </xdr:from>
    <xdr:to>
      <xdr:col>13</xdr:col>
      <xdr:colOff>230124</xdr:colOff>
      <xdr:row>15</xdr:row>
      <xdr:rowOff>10615</xdr:rowOff>
    </xdr:to>
    <xdr:sp macro="" textlink="PARAMETROS!$C$31">
      <xdr:nvSpPr>
        <xdr:cNvPr id="6" name="Rectángulo 5">
          <a:extLst>
            <a:ext uri="{FF2B5EF4-FFF2-40B4-BE49-F238E27FC236}">
              <a16:creationId xmlns:a16="http://schemas.microsoft.com/office/drawing/2014/main" id="{640891AD-BCB8-430F-80A7-D9657F2D77BF}"/>
            </a:ext>
          </a:extLst>
        </xdr:cNvPr>
        <xdr:cNvSpPr/>
      </xdr:nvSpPr>
      <xdr:spPr>
        <a:xfrm>
          <a:off x="8316468" y="1839415"/>
          <a:ext cx="2215896" cy="914400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F51138D-0DDB-4270-B6B4-2423C3CEB789}" type="TxLink">
            <a:rPr lang="en-US" sz="1600" b="1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TABLA INSTITUCIONES</a:t>
          </a:fld>
          <a:endParaRPr lang="es-CO" sz="1600" b="1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10</xdr:col>
      <xdr:colOff>448375</xdr:colOff>
      <xdr:row>18</xdr:row>
      <xdr:rowOff>7302</xdr:rowOff>
    </xdr:from>
    <xdr:to>
      <xdr:col>13</xdr:col>
      <xdr:colOff>226942</xdr:colOff>
      <xdr:row>23</xdr:row>
      <xdr:rowOff>7301</xdr:rowOff>
    </xdr:to>
    <xdr:sp macro="" textlink="PARAMETROS!$C$34">
      <xdr:nvSpPr>
        <xdr:cNvPr id="7" name="Rectángulo 6">
          <a:extLst>
            <a:ext uri="{FF2B5EF4-FFF2-40B4-BE49-F238E27FC236}">
              <a16:creationId xmlns:a16="http://schemas.microsoft.com/office/drawing/2014/main" id="{0F54FEF6-5189-4DEE-B267-30D7DCB9F669}"/>
            </a:ext>
          </a:extLst>
        </xdr:cNvPr>
        <xdr:cNvSpPr/>
      </xdr:nvSpPr>
      <xdr:spPr>
        <a:xfrm>
          <a:off x="8373175" y="3299142"/>
          <a:ext cx="2156007" cy="914399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B534CA4-ED53-4EFD-8D2F-9B8FE8B0414F}" type="TxLink">
            <a:rPr lang="en-US" sz="1600" b="1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COPIA DE SEGURIDAD</a:t>
          </a:fld>
          <a:endParaRPr lang="es-CO" sz="1600" b="1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11</xdr:col>
      <xdr:colOff>80664</xdr:colOff>
      <xdr:row>1</xdr:row>
      <xdr:rowOff>76200</xdr:rowOff>
    </xdr:from>
    <xdr:to>
      <xdr:col>14</xdr:col>
      <xdr:colOff>118763</xdr:colOff>
      <xdr:row>6</xdr:row>
      <xdr:rowOff>114300</xdr:rowOff>
    </xdr:to>
    <xdr:sp macro="" textlink="PARAMETROS!$C$28">
      <xdr:nvSpPr>
        <xdr:cNvPr id="8" name="Rectángulo 7">
          <a:extLst>
            <a:ext uri="{FF2B5EF4-FFF2-40B4-BE49-F238E27FC236}">
              <a16:creationId xmlns:a16="http://schemas.microsoft.com/office/drawing/2014/main" id="{D0CE00CC-7D26-469A-A572-BBBA8B2014AD}"/>
            </a:ext>
          </a:extLst>
        </xdr:cNvPr>
        <xdr:cNvSpPr/>
      </xdr:nvSpPr>
      <xdr:spPr>
        <a:xfrm>
          <a:off x="8801331" y="260927"/>
          <a:ext cx="2416462" cy="9617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60E19BD1-1AFB-4693-8867-4552F99D6315}" type="TxLink">
            <a:rPr lang="en-US" sz="2000" b="1" i="0" u="none" strike="noStrike">
              <a:solidFill>
                <a:srgbClr val="3962AD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l"/>
            <a:t>ADMINISTRAR</a:t>
          </a:fld>
          <a:endParaRPr lang="es-CO" sz="2000" b="1">
            <a:solidFill>
              <a:srgbClr val="3962AD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495301</xdr:colOff>
      <xdr:row>1</xdr:row>
      <xdr:rowOff>71762</xdr:rowOff>
    </xdr:from>
    <xdr:to>
      <xdr:col>10</xdr:col>
      <xdr:colOff>769620</xdr:colOff>
      <xdr:row>6</xdr:row>
      <xdr:rowOff>99060</xdr:rowOff>
    </xdr:to>
    <xdr:sp macro="" textlink="PARAMETROS!$C$2">
      <xdr:nvSpPr>
        <xdr:cNvPr id="9" name="Rectángulo 8">
          <a:extLst>
            <a:ext uri="{FF2B5EF4-FFF2-40B4-BE49-F238E27FC236}">
              <a16:creationId xmlns:a16="http://schemas.microsoft.com/office/drawing/2014/main" id="{CDB8C7D9-29F9-44DA-B2B5-33475A92F2B2}"/>
            </a:ext>
          </a:extLst>
        </xdr:cNvPr>
        <xdr:cNvSpPr/>
      </xdr:nvSpPr>
      <xdr:spPr>
        <a:xfrm>
          <a:off x="495301" y="254642"/>
          <a:ext cx="8199119" cy="94169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36ED27-FEF3-42C2-994A-F04E75F9DB33}" type="TxLink">
            <a:rPr lang="en-US" sz="2000" b="1" i="0" u="none" strike="noStrike">
              <a:solidFill>
                <a:srgbClr val="3962AD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Herramienta de Seguimiento y Monitoreo de Pacientes Canguro</a:t>
          </a:fld>
          <a:endParaRPr lang="es-CO" sz="2000" b="1">
            <a:solidFill>
              <a:srgbClr val="3962AD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600594</xdr:colOff>
      <xdr:row>4</xdr:row>
      <xdr:rowOff>32071</xdr:rowOff>
    </xdr:from>
    <xdr:to>
      <xdr:col>11</xdr:col>
      <xdr:colOff>90054</xdr:colOff>
      <xdr:row>4</xdr:row>
      <xdr:rowOff>32071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F25208F-99EB-7628-8031-32B8FFB7795A}"/>
            </a:ext>
          </a:extLst>
        </xdr:cNvPr>
        <xdr:cNvCxnSpPr/>
      </xdr:nvCxnSpPr>
      <xdr:spPr>
        <a:xfrm>
          <a:off x="8528473" y="770980"/>
          <a:ext cx="282248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450032</xdr:colOff>
      <xdr:row>18</xdr:row>
      <xdr:rowOff>7303</xdr:rowOff>
    </xdr:from>
    <xdr:to>
      <xdr:col>5</xdr:col>
      <xdr:colOff>229262</xdr:colOff>
      <xdr:row>23</xdr:row>
      <xdr:rowOff>7302</xdr:rowOff>
    </xdr:to>
    <xdr:sp macro="" textlink="PARAMETROS!$C$32">
      <xdr:nvSpPr>
        <xdr:cNvPr id="16" name="Rectángulo 15">
          <a:extLst>
            <a:ext uri="{FF2B5EF4-FFF2-40B4-BE49-F238E27FC236}">
              <a16:creationId xmlns:a16="http://schemas.microsoft.com/office/drawing/2014/main" id="{D403256E-825D-4C3C-9A3E-BD46B4234FA8}"/>
            </a:ext>
          </a:extLst>
        </xdr:cNvPr>
        <xdr:cNvSpPr/>
      </xdr:nvSpPr>
      <xdr:spPr>
        <a:xfrm>
          <a:off x="2034992" y="3299143"/>
          <a:ext cx="2156670" cy="914399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D8DF269-083C-4E8E-BB90-B3073738417C}" type="TxLink">
            <a:rPr lang="en-US" sz="1600" b="1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EXPORTAR BASE</a:t>
          </a:fld>
          <a:endParaRPr lang="es-CO" sz="1600" b="1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6</xdr:col>
      <xdr:colOff>451026</xdr:colOff>
      <xdr:row>18</xdr:row>
      <xdr:rowOff>6308</xdr:rowOff>
    </xdr:from>
    <xdr:to>
      <xdr:col>9</xdr:col>
      <xdr:colOff>229593</xdr:colOff>
      <xdr:row>23</xdr:row>
      <xdr:rowOff>6307</xdr:rowOff>
    </xdr:to>
    <xdr:sp macro="" textlink="PARAMETROS!$C$33">
      <xdr:nvSpPr>
        <xdr:cNvPr id="17" name="Rectángulo 16">
          <a:extLst>
            <a:ext uri="{FF2B5EF4-FFF2-40B4-BE49-F238E27FC236}">
              <a16:creationId xmlns:a16="http://schemas.microsoft.com/office/drawing/2014/main" id="{9B6EA5D2-221A-453E-A01F-5C08CA800053}"/>
            </a:ext>
          </a:extLst>
        </xdr:cNvPr>
        <xdr:cNvSpPr/>
      </xdr:nvSpPr>
      <xdr:spPr>
        <a:xfrm>
          <a:off x="5205906" y="3298148"/>
          <a:ext cx="2156007" cy="914399"/>
        </a:xfrm>
        <a:prstGeom prst="rect">
          <a:avLst/>
        </a:prstGeom>
        <a:solidFill>
          <a:srgbClr val="3962AD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2346382-5F72-4399-A32E-476758B4832F}" type="TxLink">
            <a:rPr lang="en-US" sz="1600" b="1" i="0" u="none" strike="noStrike">
              <a:solidFill>
                <a:schemeClr val="bg1"/>
              </a:solidFill>
              <a:latin typeface="Segoe UI"/>
              <a:ea typeface="+mn-ea"/>
              <a:cs typeface="Segoe UI"/>
            </a:rPr>
            <a:pPr marL="0" indent="0" algn="ctr"/>
            <a:t>IMPORTAR BASE</a:t>
          </a:fld>
          <a:endParaRPr lang="es-CO" sz="1600" b="1" i="0" u="none" strike="noStrike">
            <a:solidFill>
              <a:schemeClr val="bg1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228600</xdr:colOff>
      <xdr:row>23</xdr:row>
      <xdr:rowOff>40005</xdr:rowOff>
    </xdr:from>
    <xdr:to>
      <xdr:col>15</xdr:col>
      <xdr:colOff>569010</xdr:colOff>
      <xdr:row>24</xdr:row>
      <xdr:rowOff>180751</xdr:rowOff>
    </xdr:to>
    <xdr:sp macro="" textlink="PARAMETROS!$C$47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9A8A812-78D3-4D8F-A233-3299A976FA1F}"/>
            </a:ext>
          </a:extLst>
        </xdr:cNvPr>
        <xdr:cNvSpPr/>
      </xdr:nvSpPr>
      <xdr:spPr>
        <a:xfrm>
          <a:off x="11323320" y="4246245"/>
          <a:ext cx="1132890" cy="323626"/>
        </a:xfrm>
        <a:prstGeom prst="roundRect">
          <a:avLst/>
        </a:prstGeom>
        <a:solidFill>
          <a:srgbClr val="3962A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E26DE5-A65D-4BDB-B44F-C2283EFA7913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Volver</a:t>
          </a:fld>
          <a:endParaRPr lang="es-CO" sz="1500" b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784860</xdr:colOff>
      <xdr:row>8</xdr:row>
      <xdr:rowOff>4042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F4B657B-AE00-4D71-8334-ABC5A18185F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7171"/>
        <a:stretch>
          <a:fillRect/>
        </a:stretch>
      </xdr:blipFill>
      <xdr:spPr bwMode="auto">
        <a:xfrm>
          <a:off x="0" y="0"/>
          <a:ext cx="11087100" cy="14670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103524</xdr:colOff>
      <xdr:row>1</xdr:row>
      <xdr:rowOff>76200</xdr:rowOff>
    </xdr:from>
    <xdr:to>
      <xdr:col>14</xdr:col>
      <xdr:colOff>22860</xdr:colOff>
      <xdr:row>6</xdr:row>
      <xdr:rowOff>114300</xdr:rowOff>
    </xdr:to>
    <xdr:sp macro="" textlink="PARAMETROS!$C$29">
      <xdr:nvSpPr>
        <xdr:cNvPr id="7" name="Rectángulo 6">
          <a:extLst>
            <a:ext uri="{FF2B5EF4-FFF2-40B4-BE49-F238E27FC236}">
              <a16:creationId xmlns:a16="http://schemas.microsoft.com/office/drawing/2014/main" id="{5B2BD6A7-B151-4003-9A8B-AC7CC214D1B3}"/>
            </a:ext>
          </a:extLst>
        </xdr:cNvPr>
        <xdr:cNvSpPr/>
      </xdr:nvSpPr>
      <xdr:spPr>
        <a:xfrm>
          <a:off x="8028324" y="259080"/>
          <a:ext cx="3089256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2182C70-645F-4E9F-BBC0-5620B9C402EB}" type="TxLink">
            <a:rPr lang="en-US" sz="2000" b="1" i="0" u="none" strike="noStrike">
              <a:solidFill>
                <a:srgbClr val="3962AD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pPr marL="0" indent="0" algn="ctr"/>
            <a:t>BORRAR PACIENTE</a:t>
          </a:fld>
          <a:endParaRPr lang="es-CO" sz="2000" b="1" i="0" u="none" strike="noStrike">
            <a:solidFill>
              <a:srgbClr val="3962AD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</xdr:colOff>
      <xdr:row>1</xdr:row>
      <xdr:rowOff>71762</xdr:rowOff>
    </xdr:from>
    <xdr:to>
      <xdr:col>10</xdr:col>
      <xdr:colOff>274320</xdr:colOff>
      <xdr:row>6</xdr:row>
      <xdr:rowOff>99060</xdr:rowOff>
    </xdr:to>
    <xdr:sp macro="" textlink="PARAMETROS!$C$2">
      <xdr:nvSpPr>
        <xdr:cNvPr id="8" name="Rectángulo 7">
          <a:extLst>
            <a:ext uri="{FF2B5EF4-FFF2-40B4-BE49-F238E27FC236}">
              <a16:creationId xmlns:a16="http://schemas.microsoft.com/office/drawing/2014/main" id="{52B077D1-B401-4B63-A178-4FEB1BA4A0DD}"/>
            </a:ext>
          </a:extLst>
        </xdr:cNvPr>
        <xdr:cNvSpPr/>
      </xdr:nvSpPr>
      <xdr:spPr>
        <a:xfrm>
          <a:off x="1" y="254642"/>
          <a:ext cx="8199119" cy="94169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36ED27-FEF3-42C2-994A-F04E75F9DB33}" type="TxLink">
            <a:rPr lang="en-US" sz="2000" b="1" i="0" u="none" strike="noStrike">
              <a:solidFill>
                <a:srgbClr val="3962AD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Herramienta de Seguimiento y Monitoreo de Pacientes Canguro</a:t>
          </a:fld>
          <a:endParaRPr lang="es-CO" sz="2000" b="1">
            <a:solidFill>
              <a:srgbClr val="3962AD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105294</xdr:colOff>
      <xdr:row>4</xdr:row>
      <xdr:rowOff>32071</xdr:rowOff>
    </xdr:from>
    <xdr:to>
      <xdr:col>10</xdr:col>
      <xdr:colOff>387234</xdr:colOff>
      <xdr:row>4</xdr:row>
      <xdr:rowOff>32071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B6769580-3D62-407F-B08A-36C06C84C61C}"/>
            </a:ext>
          </a:extLst>
        </xdr:cNvPr>
        <xdr:cNvCxnSpPr/>
      </xdr:nvCxnSpPr>
      <xdr:spPr>
        <a:xfrm>
          <a:off x="8030094" y="763591"/>
          <a:ext cx="281940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213360</xdr:colOff>
      <xdr:row>18</xdr:row>
      <xdr:rowOff>40005</xdr:rowOff>
    </xdr:from>
    <xdr:to>
      <xdr:col>13</xdr:col>
      <xdr:colOff>553770</xdr:colOff>
      <xdr:row>19</xdr:row>
      <xdr:rowOff>180751</xdr:rowOff>
    </xdr:to>
    <xdr:sp macro="" textlink="PARAMETROS!$C$47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A5C1554F-29A4-44E5-957D-164C13A26F80}"/>
            </a:ext>
          </a:extLst>
        </xdr:cNvPr>
        <xdr:cNvSpPr/>
      </xdr:nvSpPr>
      <xdr:spPr>
        <a:xfrm>
          <a:off x="9723120" y="3331845"/>
          <a:ext cx="1132890" cy="323626"/>
        </a:xfrm>
        <a:prstGeom prst="roundRect">
          <a:avLst/>
        </a:prstGeom>
        <a:solidFill>
          <a:srgbClr val="3962A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E26DE5-A65D-4BDB-B44F-C2283EFA7913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Volver</a:t>
          </a:fld>
          <a:endParaRPr lang="es-CO" sz="1500" b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350520</xdr:colOff>
      <xdr:row>14</xdr:row>
      <xdr:rowOff>121920</xdr:rowOff>
    </xdr:from>
    <xdr:to>
      <xdr:col>8</xdr:col>
      <xdr:colOff>487680</xdr:colOff>
      <xdr:row>16</xdr:row>
      <xdr:rowOff>83820</xdr:rowOff>
    </xdr:to>
    <xdr:sp macro="" textlink="PARAMETROS!$C$29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10B2E4A4-0E8D-442A-BD86-34CDA1664ACC}"/>
            </a:ext>
          </a:extLst>
        </xdr:cNvPr>
        <xdr:cNvSpPr/>
      </xdr:nvSpPr>
      <xdr:spPr>
        <a:xfrm>
          <a:off x="3520440" y="3048000"/>
          <a:ext cx="3307080" cy="327660"/>
        </a:xfrm>
        <a:prstGeom prst="roundRect">
          <a:avLst/>
        </a:prstGeom>
        <a:solidFill>
          <a:srgbClr val="DC35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B7012A0-49DB-425F-AC43-E28BD8E5F337}" type="TxLink">
            <a:rPr lang="en-US" sz="1600" b="1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BORRAR PACIENTE</a:t>
          </a:fld>
          <a:endParaRPr lang="es-CO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38100</xdr:rowOff>
    </xdr:from>
    <xdr:to>
      <xdr:col>4</xdr:col>
      <xdr:colOff>572148</xdr:colOff>
      <xdr:row>0</xdr:row>
      <xdr:rowOff>358140</xdr:rowOff>
    </xdr:to>
    <xdr:sp macro="" textlink="PARAMETROS!$C$47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A5C80-CA06-42B0-A419-19D00563A8E5}"/>
            </a:ext>
          </a:extLst>
        </xdr:cNvPr>
        <xdr:cNvSpPr/>
      </xdr:nvSpPr>
      <xdr:spPr>
        <a:xfrm>
          <a:off x="9906000" y="38100"/>
          <a:ext cx="1136028" cy="32004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E26DE5-A65D-4BDB-B44F-C2283EFA7913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Volver</a:t>
          </a:fld>
          <a:endParaRPr lang="es-CO" sz="1500" b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36638</xdr:colOff>
      <xdr:row>1</xdr:row>
      <xdr:rowOff>203726</xdr:rowOff>
    </xdr:from>
    <xdr:to>
      <xdr:col>13</xdr:col>
      <xdr:colOff>570686</xdr:colOff>
      <xdr:row>4</xdr:row>
      <xdr:rowOff>36086</xdr:rowOff>
    </xdr:to>
    <xdr:sp macro="" textlink="PARAMETROS!$C$47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05D31A5-D29F-4A5F-8FCA-8D4D09385FEE}"/>
            </a:ext>
          </a:extLst>
        </xdr:cNvPr>
        <xdr:cNvSpPr/>
      </xdr:nvSpPr>
      <xdr:spPr>
        <a:xfrm>
          <a:off x="9355898" y="325646"/>
          <a:ext cx="1136028" cy="320040"/>
        </a:xfrm>
        <a:prstGeom prst="roundRect">
          <a:avLst/>
        </a:prstGeom>
        <a:solidFill>
          <a:srgbClr val="0D6E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E26DE5-A65D-4BDB-B44F-C2283EFA7913}" type="TxLink">
            <a:rPr lang="en-US" sz="1500" b="0" i="0" u="none" strike="noStrike">
              <a:solidFill>
                <a:schemeClr val="bg1"/>
              </a:solidFill>
              <a:latin typeface="Segoe UI"/>
              <a:cs typeface="Segoe UI"/>
            </a:rPr>
            <a:pPr algn="ctr"/>
            <a:t>Volver</a:t>
          </a:fld>
          <a:endParaRPr lang="es-CO" sz="1500" b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7001D-7FFE-4847-94F3-A7CED6E0AAF3}">
  <sheetPr codeName="Hoja10"/>
  <dimension ref="A1:P31"/>
  <sheetViews>
    <sheetView showGridLines="0" tabSelected="1" zoomScaleNormal="100" workbookViewId="0"/>
  </sheetViews>
  <sheetFormatPr baseColWidth="10" defaultColWidth="0" defaultRowHeight="14.4" customHeight="1" zeroHeight="1" x14ac:dyDescent="0.3"/>
  <cols>
    <col min="1" max="16" width="11.5546875" style="5" customWidth="1"/>
    <col min="17" max="16384" width="11.5546875" style="5" hidden="1"/>
  </cols>
  <sheetData>
    <row r="1" ht="14.4" customHeight="1" x14ac:dyDescent="0.3"/>
    <row r="2" ht="14.4" customHeight="1" x14ac:dyDescent="0.3"/>
    <row r="3" ht="14.4" customHeight="1" x14ac:dyDescent="0.3"/>
    <row r="4" ht="14.4" customHeight="1" x14ac:dyDescent="0.3"/>
    <row r="5" ht="14.4" customHeight="1" x14ac:dyDescent="0.3"/>
    <row r="6" ht="14.4" customHeight="1" x14ac:dyDescent="0.3"/>
    <row r="7" ht="14.4" customHeight="1" x14ac:dyDescent="0.3"/>
    <row r="8" ht="14.4" customHeight="1" x14ac:dyDescent="0.3"/>
    <row r="9" ht="14.4" customHeight="1" x14ac:dyDescent="0.3"/>
    <row r="10" ht="14.4" customHeight="1" x14ac:dyDescent="0.3"/>
    <row r="11" ht="14.4" customHeight="1" x14ac:dyDescent="0.3"/>
    <row r="12" ht="14.4" customHeight="1" x14ac:dyDescent="0.3"/>
    <row r="13" ht="14.4" customHeight="1" x14ac:dyDescent="0.3"/>
    <row r="14" ht="14.4" customHeight="1" x14ac:dyDescent="0.3"/>
    <row r="15" ht="14.4" customHeight="1" x14ac:dyDescent="0.3"/>
    <row r="16" ht="14.4" customHeight="1" x14ac:dyDescent="0.3"/>
    <row r="17" ht="14.4" customHeight="1" x14ac:dyDescent="0.3"/>
    <row r="18" ht="14.4" customHeight="1" x14ac:dyDescent="0.3"/>
    <row r="19" ht="14.4" customHeight="1" x14ac:dyDescent="0.3"/>
    <row r="20" ht="14.4" customHeight="1" x14ac:dyDescent="0.3"/>
    <row r="21" ht="14.4" customHeight="1" x14ac:dyDescent="0.3"/>
    <row r="22" ht="14.4" customHeight="1" x14ac:dyDescent="0.3"/>
    <row r="23" ht="14.4" customHeight="1" x14ac:dyDescent="0.3"/>
    <row r="24" ht="14.4" customHeight="1" x14ac:dyDescent="0.3"/>
    <row r="25" ht="14.4" customHeight="1" x14ac:dyDescent="0.3"/>
    <row r="26" ht="14.4" customHeight="1" x14ac:dyDescent="0.3"/>
    <row r="27" ht="14.4" customHeight="1" x14ac:dyDescent="0.3"/>
    <row r="28" ht="14.4" customHeight="1" x14ac:dyDescent="0.3"/>
    <row r="29" ht="14.4" customHeight="1" x14ac:dyDescent="0.3"/>
    <row r="30" ht="14.4" customHeight="1" x14ac:dyDescent="0.3"/>
    <row r="31" ht="14.4" customHeight="1" x14ac:dyDescent="0.3"/>
  </sheetData>
  <sheetProtection algorithmName="SHA-512" hashValue="/7a+sXVEPAbIbDwfPj0xvt1pAuR1F5IgaTexSbQu8Bf9VwQgXP58edwdoFBGXqk2op8O3eSkwUJedC5hklx35w==" saltValue="jJ3CGopRrtogQL+4ruX+Ug==" spinCount="100000"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874A-A14A-4B67-ABB8-0DEDBBC49EF2}">
  <sheetPr codeName="Hoja16"/>
  <dimension ref="A1:U149"/>
  <sheetViews>
    <sheetView showGridLines="0" topLeftCell="A117" zoomScale="90" zoomScaleNormal="90" workbookViewId="0">
      <selection activeCell="C6" sqref="C6:H7"/>
    </sheetView>
  </sheetViews>
  <sheetFormatPr baseColWidth="10" defaultColWidth="0" defaultRowHeight="19.2" customHeight="1" zeroHeight="1" x14ac:dyDescent="0.3"/>
  <cols>
    <col min="1" max="2" width="3.77734375" style="81" customWidth="1"/>
    <col min="3" max="3" width="1.88671875" style="81" customWidth="1"/>
    <col min="4" max="18" width="11.5546875" style="81" customWidth="1"/>
    <col min="19" max="21" width="3.77734375" style="81" customWidth="1"/>
    <col min="22" max="16384" width="11.5546875" style="81" hidden="1"/>
  </cols>
  <sheetData>
    <row r="1" spans="2:20" ht="13.05" customHeight="1" x14ac:dyDescent="0.3">
      <c r="C1" s="116" t="str">
        <f>IF(ISBLANK(PARAMETROS!$C$391),"",PARAMETROS!$C$391)</f>
        <v>Formulario Información Clínica</v>
      </c>
      <c r="D1" s="116"/>
      <c r="E1" s="116"/>
      <c r="F1" s="116"/>
      <c r="G1" s="116"/>
    </row>
    <row r="2" spans="2:20" ht="13.05" customHeight="1" thickBot="1" x14ac:dyDescent="0.35">
      <c r="C2" s="117"/>
      <c r="D2" s="117"/>
      <c r="E2" s="117"/>
      <c r="F2" s="117"/>
      <c r="G2" s="117"/>
    </row>
    <row r="3" spans="2:20" ht="10.050000000000001" customHeight="1" x14ac:dyDescent="0.3">
      <c r="B3" s="82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4"/>
    </row>
    <row r="4" spans="2:20" ht="19.2" customHeight="1" x14ac:dyDescent="0.3">
      <c r="B4" s="85"/>
      <c r="C4" s="118" t="str">
        <f>IF(ISBLANK(PARAMETROS!$C$389),"",PARAMETROS!$C$389)</f>
        <v>ID Canguro:</v>
      </c>
      <c r="D4" s="118"/>
      <c r="E4" s="118"/>
      <c r="F4" s="118"/>
      <c r="G4" s="118"/>
      <c r="H4" s="118"/>
      <c r="I4" s="86"/>
      <c r="J4" s="118" t="str">
        <f>IF(ISBLANK(PARAMETROS!$C$390),"",PARAMETROS!$C$390)</f>
        <v>ID Nacional:</v>
      </c>
      <c r="K4" s="118"/>
      <c r="L4" s="118"/>
      <c r="M4" s="118"/>
      <c r="N4" s="86"/>
      <c r="O4" s="86"/>
      <c r="P4" s="86"/>
      <c r="Q4" s="86"/>
      <c r="R4" s="86"/>
      <c r="S4" s="86"/>
      <c r="T4" s="87"/>
    </row>
    <row r="5" spans="2:20" ht="10.050000000000001" customHeight="1" x14ac:dyDescent="0.3">
      <c r="B5" s="85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7"/>
    </row>
    <row r="6" spans="2:20" ht="13.05" customHeight="1" x14ac:dyDescent="0.3">
      <c r="B6" s="85"/>
      <c r="C6" s="195"/>
      <c r="D6" s="195"/>
      <c r="E6" s="195"/>
      <c r="F6" s="195"/>
      <c r="G6" s="195"/>
      <c r="H6" s="195"/>
      <c r="I6" s="86"/>
      <c r="J6" s="195"/>
      <c r="K6" s="195"/>
      <c r="L6" s="195"/>
      <c r="M6" s="195"/>
      <c r="N6" s="86"/>
      <c r="O6" s="86"/>
      <c r="P6" s="86"/>
      <c r="Q6" s="86"/>
      <c r="R6" s="86"/>
      <c r="S6" s="86"/>
      <c r="T6" s="87"/>
    </row>
    <row r="7" spans="2:20" ht="13.05" customHeight="1" x14ac:dyDescent="0.3">
      <c r="B7" s="85"/>
      <c r="C7" s="195"/>
      <c r="D7" s="195"/>
      <c r="E7" s="195"/>
      <c r="F7" s="195"/>
      <c r="G7" s="195"/>
      <c r="H7" s="195"/>
      <c r="I7" s="86"/>
      <c r="J7" s="195"/>
      <c r="K7" s="195"/>
      <c r="L7" s="195"/>
      <c r="M7" s="195"/>
      <c r="N7" s="86"/>
      <c r="O7" s="86"/>
      <c r="P7" s="86"/>
      <c r="Q7" s="86"/>
      <c r="R7" s="86"/>
      <c r="S7" s="86"/>
      <c r="T7" s="87"/>
    </row>
    <row r="8" spans="2:20" ht="10.050000000000001" customHeight="1" thickBot="1" x14ac:dyDescent="0.35">
      <c r="B8" s="88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90"/>
    </row>
    <row r="9" spans="2:20" ht="10.050000000000001" customHeight="1" thickBot="1" x14ac:dyDescent="0.35"/>
    <row r="10" spans="2:20" ht="10.050000000000001" customHeight="1" thickBot="1" x14ac:dyDescent="0.35">
      <c r="B10" s="82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4"/>
    </row>
    <row r="11" spans="2:20" ht="10.050000000000001" customHeight="1" x14ac:dyDescent="0.3">
      <c r="B11" s="85"/>
      <c r="C11" s="82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4"/>
      <c r="T11" s="87"/>
    </row>
    <row r="12" spans="2:20" ht="19.2" customHeight="1" x14ac:dyDescent="0.3">
      <c r="B12" s="85"/>
      <c r="C12" s="85"/>
      <c r="D12" s="115" t="str">
        <f>IF(ISBLANK(PARAMETROS!$C$392),"",PARAMETROS!$C$392)</f>
        <v>Institución Actual del Paciente</v>
      </c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87"/>
      <c r="T12" s="87"/>
    </row>
    <row r="13" spans="2:20" ht="10.050000000000001" customHeight="1" x14ac:dyDescent="0.3">
      <c r="B13" s="85"/>
      <c r="C13" s="85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7"/>
      <c r="T13" s="87"/>
    </row>
    <row r="14" spans="2:20" ht="19.2" customHeight="1" x14ac:dyDescent="0.3">
      <c r="B14" s="85"/>
      <c r="C14" s="85"/>
      <c r="D14" s="118" t="str">
        <f>IF(ISBLANK(PARAMETROS!$C$393),"",PARAMETROS!$C$393)</f>
        <v>Nombre de la institución:</v>
      </c>
      <c r="E14" s="118"/>
      <c r="F14" s="118"/>
      <c r="G14" s="118"/>
      <c r="H14" s="118"/>
      <c r="I14" s="118"/>
      <c r="J14" s="118"/>
      <c r="K14" s="86"/>
      <c r="L14" s="118" t="str">
        <f>IF(ISBLANK(PARAMETROS!$C$396),"",PARAMETROS!$C$396)</f>
        <v>¿Nació en la institución?:</v>
      </c>
      <c r="M14" s="118"/>
      <c r="N14" s="118"/>
      <c r="O14" s="118"/>
      <c r="P14" s="118"/>
      <c r="Q14" s="118"/>
      <c r="R14" s="118"/>
      <c r="S14" s="87"/>
      <c r="T14" s="87"/>
    </row>
    <row r="15" spans="2:20" ht="10.050000000000001" customHeight="1" x14ac:dyDescent="0.3">
      <c r="B15" s="85"/>
      <c r="C15" s="85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7"/>
      <c r="T15" s="87"/>
    </row>
    <row r="16" spans="2:20" ht="13.05" customHeight="1" x14ac:dyDescent="0.3">
      <c r="B16" s="85"/>
      <c r="C16" s="85"/>
      <c r="D16" s="195"/>
      <c r="E16" s="195"/>
      <c r="F16" s="195"/>
      <c r="G16" s="195"/>
      <c r="H16" s="195"/>
      <c r="I16" s="195"/>
      <c r="J16" s="195"/>
      <c r="K16" s="86"/>
      <c r="L16" s="195"/>
      <c r="M16" s="195"/>
      <c r="N16" s="195"/>
      <c r="O16" s="195"/>
      <c r="P16" s="195"/>
      <c r="Q16" s="195"/>
      <c r="R16" s="195"/>
      <c r="S16" s="87"/>
      <c r="T16" s="87"/>
    </row>
    <row r="17" spans="2:20" ht="13.05" customHeight="1" x14ac:dyDescent="0.3">
      <c r="B17" s="85"/>
      <c r="C17" s="85"/>
      <c r="D17" s="195"/>
      <c r="E17" s="195"/>
      <c r="F17" s="195"/>
      <c r="G17" s="195"/>
      <c r="H17" s="195"/>
      <c r="I17" s="195"/>
      <c r="J17" s="195"/>
      <c r="K17" s="86"/>
      <c r="L17" s="195"/>
      <c r="M17" s="195"/>
      <c r="N17" s="195"/>
      <c r="O17" s="195"/>
      <c r="P17" s="195"/>
      <c r="Q17" s="195"/>
      <c r="R17" s="195"/>
      <c r="S17" s="87"/>
      <c r="T17" s="87"/>
    </row>
    <row r="18" spans="2:20" ht="10.050000000000001" customHeight="1" x14ac:dyDescent="0.3">
      <c r="B18" s="85"/>
      <c r="C18" s="85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7"/>
      <c r="T18" s="87"/>
    </row>
    <row r="19" spans="2:20" ht="19.2" customHeight="1" x14ac:dyDescent="0.3">
      <c r="B19" s="85"/>
      <c r="C19" s="85"/>
      <c r="D19" s="119" t="str">
        <f>IF(ISBLANK(PARAMETROS!$C$394),"",PARAMETROS!$C$394)</f>
        <v>Número de la institución:</v>
      </c>
      <c r="E19" s="119"/>
      <c r="F19" s="119"/>
      <c r="G19" s="119"/>
      <c r="H19" s="119"/>
      <c r="I19" s="119"/>
      <c r="J19" s="119"/>
      <c r="K19" s="86"/>
      <c r="L19" s="91"/>
      <c r="M19" s="86"/>
      <c r="N19" s="86"/>
      <c r="O19" s="86"/>
      <c r="P19" s="86"/>
      <c r="Q19" s="86"/>
      <c r="R19" s="86"/>
      <c r="S19" s="87"/>
      <c r="T19" s="87"/>
    </row>
    <row r="20" spans="2:20" ht="10.050000000000001" customHeight="1" x14ac:dyDescent="0.3">
      <c r="B20" s="85"/>
      <c r="C20" s="85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7"/>
      <c r="T20" s="87"/>
    </row>
    <row r="21" spans="2:20" ht="13.05" customHeight="1" x14ac:dyDescent="0.3">
      <c r="B21" s="85"/>
      <c r="C21" s="85"/>
      <c r="D21" s="195"/>
      <c r="E21" s="195"/>
      <c r="F21" s="195"/>
      <c r="G21" s="195"/>
      <c r="H21" s="195"/>
      <c r="I21" s="195"/>
      <c r="J21" s="195"/>
      <c r="K21" s="86"/>
      <c r="L21" s="92"/>
      <c r="M21" s="86"/>
      <c r="N21" s="86"/>
      <c r="O21" s="86"/>
      <c r="P21" s="86"/>
      <c r="Q21" s="86"/>
      <c r="R21" s="86"/>
      <c r="S21" s="87"/>
      <c r="T21" s="87"/>
    </row>
    <row r="22" spans="2:20" ht="13.05" customHeight="1" x14ac:dyDescent="0.3">
      <c r="B22" s="85"/>
      <c r="C22" s="85"/>
      <c r="D22" s="195"/>
      <c r="E22" s="195"/>
      <c r="F22" s="195"/>
      <c r="G22" s="195"/>
      <c r="H22" s="195"/>
      <c r="I22" s="195"/>
      <c r="J22" s="195"/>
      <c r="K22" s="86"/>
      <c r="L22" s="86"/>
      <c r="M22" s="86"/>
      <c r="N22" s="86"/>
      <c r="O22" s="86"/>
      <c r="P22" s="86"/>
      <c r="Q22" s="86"/>
      <c r="R22" s="86"/>
      <c r="S22" s="87"/>
      <c r="T22" s="87"/>
    </row>
    <row r="23" spans="2:20" ht="10.050000000000001" customHeight="1" x14ac:dyDescent="0.3">
      <c r="B23" s="85"/>
      <c r="C23" s="85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7"/>
      <c r="T23" s="87"/>
    </row>
    <row r="24" spans="2:20" ht="19.2" customHeight="1" x14ac:dyDescent="0.3">
      <c r="B24" s="85"/>
      <c r="C24" s="85"/>
      <c r="D24" s="118" t="str">
        <f>IF(ISBLANK(PARAMETROS!$C$395),"",PARAMETROS!$C$395)</f>
        <v>Nivel de la institución:</v>
      </c>
      <c r="E24" s="118"/>
      <c r="F24" s="118"/>
      <c r="G24" s="118"/>
      <c r="H24" s="118"/>
      <c r="I24" s="118"/>
      <c r="J24" s="118"/>
      <c r="K24" s="86"/>
      <c r="L24" s="86"/>
      <c r="M24" s="86"/>
      <c r="N24" s="86"/>
      <c r="O24" s="86"/>
      <c r="P24" s="86"/>
      <c r="Q24" s="86"/>
      <c r="R24" s="86"/>
      <c r="S24" s="87"/>
      <c r="T24" s="87"/>
    </row>
    <row r="25" spans="2:20" ht="10.050000000000001" customHeight="1" x14ac:dyDescent="0.3">
      <c r="B25" s="85"/>
      <c r="C25" s="85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7"/>
      <c r="T25" s="87"/>
    </row>
    <row r="26" spans="2:20" ht="13.05" customHeight="1" x14ac:dyDescent="0.3">
      <c r="B26" s="85"/>
      <c r="C26" s="85"/>
      <c r="D26" s="195"/>
      <c r="E26" s="195"/>
      <c r="F26" s="195"/>
      <c r="G26" s="195"/>
      <c r="H26" s="195"/>
      <c r="I26" s="195"/>
      <c r="J26" s="195"/>
      <c r="K26" s="86"/>
      <c r="L26" s="86"/>
      <c r="M26" s="86"/>
      <c r="N26" s="86"/>
      <c r="O26" s="86"/>
      <c r="P26" s="86"/>
      <c r="Q26" s="86"/>
      <c r="R26" s="86"/>
      <c r="S26" s="87"/>
      <c r="T26" s="87"/>
    </row>
    <row r="27" spans="2:20" ht="13.05" customHeight="1" x14ac:dyDescent="0.3">
      <c r="B27" s="85"/>
      <c r="C27" s="85"/>
      <c r="D27" s="195"/>
      <c r="E27" s="195"/>
      <c r="F27" s="195"/>
      <c r="G27" s="195"/>
      <c r="H27" s="195"/>
      <c r="I27" s="195"/>
      <c r="J27" s="195"/>
      <c r="K27" s="86"/>
      <c r="L27" s="86"/>
      <c r="M27" s="86"/>
      <c r="N27" s="86"/>
      <c r="O27" s="86"/>
      <c r="P27" s="86"/>
      <c r="Q27" s="86"/>
      <c r="R27" s="86"/>
      <c r="S27" s="87"/>
      <c r="T27" s="87"/>
    </row>
    <row r="28" spans="2:20" ht="10.050000000000001" customHeight="1" x14ac:dyDescent="0.3">
      <c r="B28" s="85"/>
      <c r="C28" s="85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7"/>
      <c r="T28" s="87"/>
    </row>
    <row r="29" spans="2:20" ht="10.050000000000001" customHeight="1" thickBot="1" x14ac:dyDescent="0.35">
      <c r="B29" s="85"/>
      <c r="C29" s="88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90"/>
      <c r="T29" s="87"/>
    </row>
    <row r="30" spans="2:20" ht="10.050000000000001" customHeight="1" thickBot="1" x14ac:dyDescent="0.35">
      <c r="B30" s="85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7"/>
    </row>
    <row r="31" spans="2:20" ht="10.050000000000001" customHeight="1" x14ac:dyDescent="0.3">
      <c r="B31" s="85"/>
      <c r="C31" s="82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4"/>
      <c r="T31" s="87"/>
    </row>
    <row r="32" spans="2:20" ht="19.2" customHeight="1" x14ac:dyDescent="0.3">
      <c r="B32" s="85"/>
      <c r="C32" s="85"/>
      <c r="D32" s="115" t="str">
        <f>IF(ISBLANK(PARAMETROS!$C$397),"",PARAMETROS!$C$397)</f>
        <v>Institución de Nacimiento del Paciente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87"/>
      <c r="T32" s="87"/>
    </row>
    <row r="33" spans="2:20" ht="10.050000000000001" customHeight="1" x14ac:dyDescent="0.3">
      <c r="B33" s="85"/>
      <c r="C33" s="85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7"/>
      <c r="T33" s="87"/>
    </row>
    <row r="34" spans="2:20" ht="19.2" customHeight="1" x14ac:dyDescent="0.3">
      <c r="B34" s="85"/>
      <c r="C34" s="85"/>
      <c r="D34" s="118" t="str">
        <f>IF(ISBLANK(PARAMETROS!$C$398),"",PARAMETROS!$C$398)</f>
        <v>Nombre de la institución de nacimiento:</v>
      </c>
      <c r="E34" s="118"/>
      <c r="F34" s="118"/>
      <c r="G34" s="118"/>
      <c r="H34" s="118"/>
      <c r="I34" s="118"/>
      <c r="J34" s="118"/>
      <c r="K34" s="86"/>
      <c r="L34" s="118" t="str">
        <f>IF(ISBLANK(PARAMETROS!$C$402),"",PARAMETROS!$C$402)</f>
        <v>¿Ingresa a la institución en posición canguro?:</v>
      </c>
      <c r="M34" s="118"/>
      <c r="N34" s="118"/>
      <c r="O34" s="118"/>
      <c r="P34" s="118"/>
      <c r="Q34" s="118"/>
      <c r="R34" s="118"/>
      <c r="S34" s="87"/>
      <c r="T34" s="87"/>
    </row>
    <row r="35" spans="2:20" ht="10.050000000000001" customHeight="1" x14ac:dyDescent="0.3">
      <c r="B35" s="85"/>
      <c r="C35" s="85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7"/>
      <c r="T35" s="87"/>
    </row>
    <row r="36" spans="2:20" ht="13.05" customHeight="1" x14ac:dyDescent="0.3">
      <c r="B36" s="85"/>
      <c r="C36" s="85"/>
      <c r="D36" s="195"/>
      <c r="E36" s="195"/>
      <c r="F36" s="195"/>
      <c r="G36" s="195"/>
      <c r="H36" s="195"/>
      <c r="I36" s="195"/>
      <c r="J36" s="195"/>
      <c r="K36" s="86"/>
      <c r="L36" s="195"/>
      <c r="M36" s="195"/>
      <c r="N36" s="195"/>
      <c r="O36" s="195"/>
      <c r="P36" s="195"/>
      <c r="Q36" s="195"/>
      <c r="R36" s="195"/>
      <c r="S36" s="87"/>
      <c r="T36" s="87"/>
    </row>
    <row r="37" spans="2:20" ht="13.05" customHeight="1" x14ac:dyDescent="0.3">
      <c r="B37" s="85"/>
      <c r="C37" s="85"/>
      <c r="D37" s="195"/>
      <c r="E37" s="195"/>
      <c r="F37" s="195"/>
      <c r="G37" s="195"/>
      <c r="H37" s="195"/>
      <c r="I37" s="195"/>
      <c r="J37" s="195"/>
      <c r="K37" s="86"/>
      <c r="L37" s="195"/>
      <c r="M37" s="195"/>
      <c r="N37" s="195"/>
      <c r="O37" s="195"/>
      <c r="P37" s="195"/>
      <c r="Q37" s="195"/>
      <c r="R37" s="195"/>
      <c r="S37" s="87"/>
      <c r="T37" s="87"/>
    </row>
    <row r="38" spans="2:20" ht="10.050000000000001" customHeight="1" x14ac:dyDescent="0.3">
      <c r="B38" s="85"/>
      <c r="C38" s="85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7"/>
      <c r="T38" s="87"/>
    </row>
    <row r="39" spans="2:20" ht="19.2" customHeight="1" x14ac:dyDescent="0.3">
      <c r="B39" s="85"/>
      <c r="C39" s="85"/>
      <c r="D39" s="118" t="str">
        <f>IF(ISBLANK(PARAMETROS!$C$399),"",PARAMETROS!$C$399)</f>
        <v>Número asignado a la institución de nacimiento:</v>
      </c>
      <c r="E39" s="118"/>
      <c r="F39" s="118"/>
      <c r="G39" s="118"/>
      <c r="H39" s="118"/>
      <c r="I39" s="118"/>
      <c r="J39" s="118"/>
      <c r="K39" s="86"/>
      <c r="L39" s="118" t="str">
        <f>IF(ISBLANK(PARAMETROS!$C$400),"",PARAMETROS!$C$400)</f>
        <v>Nivel de la institución de nacimiento:</v>
      </c>
      <c r="M39" s="118"/>
      <c r="N39" s="118"/>
      <c r="O39" s="118"/>
      <c r="P39" s="118"/>
      <c r="Q39" s="118"/>
      <c r="R39" s="118"/>
      <c r="S39" s="87"/>
      <c r="T39" s="87"/>
    </row>
    <row r="40" spans="2:20" ht="10.050000000000001" customHeight="1" x14ac:dyDescent="0.3">
      <c r="B40" s="85"/>
      <c r="C40" s="85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7"/>
      <c r="T40" s="87"/>
    </row>
    <row r="41" spans="2:20" ht="13.05" customHeight="1" x14ac:dyDescent="0.3">
      <c r="B41" s="85"/>
      <c r="C41" s="85"/>
      <c r="D41" s="195"/>
      <c r="E41" s="195"/>
      <c r="F41" s="195"/>
      <c r="G41" s="195"/>
      <c r="H41" s="195"/>
      <c r="I41" s="195"/>
      <c r="J41" s="195"/>
      <c r="K41" s="86"/>
      <c r="L41" s="195"/>
      <c r="M41" s="195"/>
      <c r="N41" s="195"/>
      <c r="O41" s="195"/>
      <c r="P41" s="195"/>
      <c r="Q41" s="195"/>
      <c r="R41" s="195"/>
      <c r="S41" s="87"/>
      <c r="T41" s="87"/>
    </row>
    <row r="42" spans="2:20" ht="13.05" customHeight="1" x14ac:dyDescent="0.3">
      <c r="B42" s="85"/>
      <c r="C42" s="85"/>
      <c r="D42" s="195"/>
      <c r="E42" s="195"/>
      <c r="F42" s="195"/>
      <c r="G42" s="195"/>
      <c r="H42" s="195"/>
      <c r="I42" s="195"/>
      <c r="J42" s="195"/>
      <c r="K42" s="86"/>
      <c r="L42" s="195"/>
      <c r="M42" s="195"/>
      <c r="N42" s="195"/>
      <c r="O42" s="195"/>
      <c r="P42" s="195"/>
      <c r="Q42" s="195"/>
      <c r="R42" s="195"/>
      <c r="S42" s="87"/>
      <c r="T42" s="87"/>
    </row>
    <row r="43" spans="2:20" ht="10.050000000000001" customHeight="1" x14ac:dyDescent="0.3">
      <c r="B43" s="85"/>
      <c r="C43" s="85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7"/>
      <c r="T43" s="87"/>
    </row>
    <row r="44" spans="2:20" ht="19.2" customHeight="1" x14ac:dyDescent="0.3">
      <c r="B44" s="85"/>
      <c r="C44" s="85"/>
      <c r="D44" s="118" t="str">
        <f>IF(ISBLANK(PARAMETROS!$C$401),"",PARAMETROS!$C$401)</f>
        <v>Distancia (Km) desde el lugar de remisión hasta la institución:</v>
      </c>
      <c r="E44" s="118"/>
      <c r="F44" s="118"/>
      <c r="G44" s="118"/>
      <c r="H44" s="118"/>
      <c r="I44" s="118"/>
      <c r="J44" s="118"/>
      <c r="K44" s="86"/>
      <c r="L44" s="86"/>
      <c r="M44" s="86"/>
      <c r="N44" s="86"/>
      <c r="O44" s="86"/>
      <c r="P44" s="86"/>
      <c r="Q44" s="86"/>
      <c r="R44" s="86"/>
      <c r="S44" s="87"/>
      <c r="T44" s="87"/>
    </row>
    <row r="45" spans="2:20" ht="10.050000000000001" customHeight="1" x14ac:dyDescent="0.3">
      <c r="B45" s="85"/>
      <c r="C45" s="85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7"/>
      <c r="T45" s="87"/>
    </row>
    <row r="46" spans="2:20" ht="13.05" customHeight="1" x14ac:dyDescent="0.3">
      <c r="B46" s="85"/>
      <c r="C46" s="85"/>
      <c r="D46" s="195"/>
      <c r="E46" s="195"/>
      <c r="F46" s="195"/>
      <c r="G46" s="195"/>
      <c r="H46" s="195"/>
      <c r="I46" s="195"/>
      <c r="J46" s="195"/>
      <c r="K46" s="86"/>
      <c r="L46" s="86"/>
      <c r="M46" s="86"/>
      <c r="N46" s="86"/>
      <c r="O46" s="86"/>
      <c r="P46" s="86"/>
      <c r="Q46" s="86"/>
      <c r="R46" s="86"/>
      <c r="S46" s="87"/>
      <c r="T46" s="87"/>
    </row>
    <row r="47" spans="2:20" ht="13.05" customHeight="1" x14ac:dyDescent="0.3">
      <c r="B47" s="85"/>
      <c r="C47" s="85"/>
      <c r="D47" s="195"/>
      <c r="E47" s="195"/>
      <c r="F47" s="195"/>
      <c r="G47" s="195"/>
      <c r="H47" s="195"/>
      <c r="I47" s="195"/>
      <c r="J47" s="195"/>
      <c r="K47" s="86"/>
      <c r="L47" s="86"/>
      <c r="M47" s="86"/>
      <c r="N47" s="86"/>
      <c r="O47" s="86"/>
      <c r="P47" s="86"/>
      <c r="Q47" s="86"/>
      <c r="R47" s="86"/>
      <c r="S47" s="87"/>
      <c r="T47" s="87"/>
    </row>
    <row r="48" spans="2:20" ht="10.050000000000001" customHeight="1" x14ac:dyDescent="0.3">
      <c r="B48" s="85"/>
      <c r="C48" s="85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7"/>
      <c r="T48" s="87"/>
    </row>
    <row r="49" spans="2:20" ht="10.050000000000001" customHeight="1" thickBot="1" x14ac:dyDescent="0.35">
      <c r="B49" s="85"/>
      <c r="C49" s="88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90"/>
      <c r="T49" s="87"/>
    </row>
    <row r="50" spans="2:20" ht="10.050000000000001" customHeight="1" thickBot="1" x14ac:dyDescent="0.35">
      <c r="B50" s="85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7"/>
    </row>
    <row r="51" spans="2:20" ht="10.050000000000001" customHeight="1" x14ac:dyDescent="0.3">
      <c r="B51" s="85"/>
      <c r="C51" s="82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4"/>
      <c r="T51" s="87"/>
    </row>
    <row r="52" spans="2:20" ht="19.2" customHeight="1" x14ac:dyDescent="0.3">
      <c r="B52" s="85"/>
      <c r="C52" s="85"/>
      <c r="D52" s="115" t="str">
        <f>IF(ISBLANK(PARAMETROS!$C$403),"",PARAMETROS!$C$403)</f>
        <v>Información del Nacimiento</v>
      </c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87"/>
      <c r="T52" s="87"/>
    </row>
    <row r="53" spans="2:20" ht="10.050000000000001" customHeight="1" x14ac:dyDescent="0.3">
      <c r="B53" s="85"/>
      <c r="C53" s="85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7"/>
      <c r="T53" s="87"/>
    </row>
    <row r="54" spans="2:20" ht="19.2" customHeight="1" x14ac:dyDescent="0.3">
      <c r="B54" s="85"/>
      <c r="C54" s="85"/>
      <c r="D54" s="118" t="str">
        <f>IF(ISBLANK(PARAMETROS!$C$404),"",PARAMETROS!$C$404)</f>
        <v>Fecha de nacimiento:</v>
      </c>
      <c r="E54" s="118"/>
      <c r="F54" s="118"/>
      <c r="G54" s="118"/>
      <c r="H54" s="118"/>
      <c r="I54" s="118"/>
      <c r="J54" s="118"/>
      <c r="K54" s="86"/>
      <c r="L54" s="118" t="str">
        <f>IF(ISBLANK(PARAMETROS!$C$407),"",PARAMETROS!$C$407)</f>
        <v>Peso al nacer (gramos):</v>
      </c>
      <c r="M54" s="118"/>
      <c r="N54" s="118"/>
      <c r="O54" s="118"/>
      <c r="P54" s="118"/>
      <c r="Q54" s="118"/>
      <c r="R54" s="118"/>
      <c r="S54" s="87"/>
      <c r="T54" s="87"/>
    </row>
    <row r="55" spans="2:20" ht="10.050000000000001" customHeight="1" x14ac:dyDescent="0.3">
      <c r="B55" s="85"/>
      <c r="C55" s="85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7"/>
      <c r="T55" s="87"/>
    </row>
    <row r="56" spans="2:20" ht="13.05" customHeight="1" x14ac:dyDescent="0.3">
      <c r="B56" s="85"/>
      <c r="C56" s="85"/>
      <c r="D56" s="196"/>
      <c r="E56" s="196"/>
      <c r="F56" s="196"/>
      <c r="G56" s="196"/>
      <c r="H56" s="196"/>
      <c r="I56" s="196"/>
      <c r="J56" s="196"/>
      <c r="K56" s="86"/>
      <c r="L56" s="195"/>
      <c r="M56" s="195"/>
      <c r="N56" s="195"/>
      <c r="O56" s="195"/>
      <c r="P56" s="195"/>
      <c r="Q56" s="195"/>
      <c r="R56" s="195"/>
      <c r="S56" s="87"/>
      <c r="T56" s="87"/>
    </row>
    <row r="57" spans="2:20" ht="13.05" customHeight="1" x14ac:dyDescent="0.3">
      <c r="B57" s="85"/>
      <c r="C57" s="85"/>
      <c r="D57" s="196"/>
      <c r="E57" s="196"/>
      <c r="F57" s="196"/>
      <c r="G57" s="196"/>
      <c r="H57" s="196"/>
      <c r="I57" s="196"/>
      <c r="J57" s="196"/>
      <c r="K57" s="86"/>
      <c r="L57" s="195"/>
      <c r="M57" s="195"/>
      <c r="N57" s="195"/>
      <c r="O57" s="195"/>
      <c r="P57" s="195"/>
      <c r="Q57" s="195"/>
      <c r="R57" s="195"/>
      <c r="S57" s="87"/>
      <c r="T57" s="87"/>
    </row>
    <row r="58" spans="2:20" ht="10.050000000000001" customHeight="1" x14ac:dyDescent="0.3">
      <c r="B58" s="85"/>
      <c r="C58" s="85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7"/>
      <c r="T58" s="87"/>
    </row>
    <row r="59" spans="2:20" ht="19.2" customHeight="1" x14ac:dyDescent="0.3">
      <c r="B59" s="85"/>
      <c r="C59" s="85"/>
      <c r="D59" s="118" t="str">
        <f>IF(ISBLANK(PARAMETROS!$C$405),"",PARAMETROS!$C$405)</f>
        <v>Sexo:</v>
      </c>
      <c r="E59" s="118"/>
      <c r="F59" s="118"/>
      <c r="G59" s="118"/>
      <c r="H59" s="118"/>
      <c r="I59" s="118"/>
      <c r="J59" s="118"/>
      <c r="K59" s="86"/>
      <c r="L59" s="118" t="str">
        <f>IF(ISBLANK(PARAMETROS!$C$408),"",PARAMETROS!$C$408)</f>
        <v>Talla al nacer (cm):</v>
      </c>
      <c r="M59" s="118"/>
      <c r="N59" s="118"/>
      <c r="O59" s="118"/>
      <c r="P59" s="118"/>
      <c r="Q59" s="118"/>
      <c r="R59" s="118"/>
      <c r="S59" s="87"/>
      <c r="T59" s="87"/>
    </row>
    <row r="60" spans="2:20" ht="10.050000000000001" customHeight="1" x14ac:dyDescent="0.3">
      <c r="B60" s="85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7"/>
      <c r="T60" s="87"/>
    </row>
    <row r="61" spans="2:20" ht="13.05" customHeight="1" x14ac:dyDescent="0.3">
      <c r="B61" s="85"/>
      <c r="C61" s="85"/>
      <c r="D61" s="195"/>
      <c r="E61" s="195"/>
      <c r="F61" s="195"/>
      <c r="G61" s="195"/>
      <c r="H61" s="195"/>
      <c r="I61" s="195"/>
      <c r="J61" s="195"/>
      <c r="K61" s="86"/>
      <c r="L61" s="195"/>
      <c r="M61" s="195"/>
      <c r="N61" s="195"/>
      <c r="O61" s="195"/>
      <c r="P61" s="195"/>
      <c r="Q61" s="195"/>
      <c r="R61" s="195"/>
      <c r="S61" s="87"/>
      <c r="T61" s="87"/>
    </row>
    <row r="62" spans="2:20" ht="13.05" customHeight="1" x14ac:dyDescent="0.3">
      <c r="B62" s="85"/>
      <c r="C62" s="85"/>
      <c r="D62" s="195"/>
      <c r="E62" s="195"/>
      <c r="F62" s="195"/>
      <c r="G62" s="195"/>
      <c r="H62" s="195"/>
      <c r="I62" s="195"/>
      <c r="J62" s="195"/>
      <c r="K62" s="86"/>
      <c r="L62" s="195"/>
      <c r="M62" s="195"/>
      <c r="N62" s="195"/>
      <c r="O62" s="195"/>
      <c r="P62" s="195"/>
      <c r="Q62" s="195"/>
      <c r="R62" s="195"/>
      <c r="S62" s="87"/>
      <c r="T62" s="87"/>
    </row>
    <row r="63" spans="2:20" ht="10.050000000000001" customHeight="1" x14ac:dyDescent="0.3">
      <c r="B63" s="85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7"/>
      <c r="T63" s="87"/>
    </row>
    <row r="64" spans="2:20" ht="19.2" customHeight="1" x14ac:dyDescent="0.3">
      <c r="B64" s="85"/>
      <c r="C64" s="85"/>
      <c r="D64" s="118" t="str">
        <f>IF(ISBLANK(PARAMETROS!$C$406),"",PARAMETROS!$C$406)</f>
        <v>Edad gestacional al nacer (semanas):</v>
      </c>
      <c r="E64" s="118"/>
      <c r="F64" s="118"/>
      <c r="G64" s="118"/>
      <c r="H64" s="118"/>
      <c r="I64" s="118"/>
      <c r="J64" s="118"/>
      <c r="K64" s="86"/>
      <c r="L64" s="118" t="str">
        <f>IF(ISBLANK(PARAMETROS!$C$409),"",PARAMETROS!$C$409)</f>
        <v>Perímetro cefálico (cm):</v>
      </c>
      <c r="M64" s="118"/>
      <c r="N64" s="118"/>
      <c r="O64" s="118"/>
      <c r="P64" s="118"/>
      <c r="Q64" s="118"/>
      <c r="R64" s="118"/>
      <c r="S64" s="87"/>
      <c r="T64" s="87"/>
    </row>
    <row r="65" spans="2:20" ht="10.050000000000001" customHeight="1" x14ac:dyDescent="0.3">
      <c r="B65" s="85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7"/>
      <c r="T65" s="87"/>
    </row>
    <row r="66" spans="2:20" ht="13.05" customHeight="1" x14ac:dyDescent="0.3">
      <c r="B66" s="85"/>
      <c r="C66" s="85"/>
      <c r="D66" s="195"/>
      <c r="E66" s="195"/>
      <c r="F66" s="195"/>
      <c r="G66" s="195"/>
      <c r="H66" s="195"/>
      <c r="I66" s="195"/>
      <c r="J66" s="195"/>
      <c r="K66" s="86"/>
      <c r="L66" s="195"/>
      <c r="M66" s="195"/>
      <c r="N66" s="195"/>
      <c r="O66" s="195"/>
      <c r="P66" s="195"/>
      <c r="Q66" s="195"/>
      <c r="R66" s="195"/>
      <c r="S66" s="87"/>
      <c r="T66" s="87"/>
    </row>
    <row r="67" spans="2:20" ht="13.05" customHeight="1" x14ac:dyDescent="0.3">
      <c r="B67" s="85"/>
      <c r="C67" s="85"/>
      <c r="D67" s="195"/>
      <c r="E67" s="195"/>
      <c r="F67" s="195"/>
      <c r="G67" s="195"/>
      <c r="H67" s="195"/>
      <c r="I67" s="195"/>
      <c r="J67" s="195"/>
      <c r="K67" s="86"/>
      <c r="L67" s="195"/>
      <c r="M67" s="195"/>
      <c r="N67" s="195"/>
      <c r="O67" s="195"/>
      <c r="P67" s="195"/>
      <c r="Q67" s="195"/>
      <c r="R67" s="195"/>
      <c r="S67" s="87"/>
      <c r="T67" s="87"/>
    </row>
    <row r="68" spans="2:20" ht="10.050000000000001" customHeight="1" x14ac:dyDescent="0.3">
      <c r="B68" s="85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7"/>
      <c r="T68" s="87"/>
    </row>
    <row r="69" spans="2:20" ht="19.2" customHeight="1" x14ac:dyDescent="0.3">
      <c r="B69" s="85"/>
      <c r="C69" s="85"/>
      <c r="D69" s="86"/>
      <c r="E69" s="86"/>
      <c r="F69" s="86"/>
      <c r="G69" s="86"/>
      <c r="H69" s="86"/>
      <c r="I69" s="86"/>
      <c r="J69" s="86"/>
      <c r="K69" s="86"/>
      <c r="L69" s="118" t="str">
        <f>IF(ISBLANK(PARAMETROS!$C$410),"",PARAMETROS!$C$410)</f>
        <v>Presenta RCIU al nacer:</v>
      </c>
      <c r="M69" s="118"/>
      <c r="N69" s="118"/>
      <c r="O69" s="118"/>
      <c r="P69" s="118"/>
      <c r="Q69" s="118"/>
      <c r="R69" s="118"/>
      <c r="S69" s="87"/>
      <c r="T69" s="87"/>
    </row>
    <row r="70" spans="2:20" ht="10.050000000000001" customHeight="1" x14ac:dyDescent="0.3">
      <c r="B70" s="85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7"/>
      <c r="T70" s="87"/>
    </row>
    <row r="71" spans="2:20" ht="13.05" customHeight="1" x14ac:dyDescent="0.3">
      <c r="B71" s="85"/>
      <c r="C71" s="85"/>
      <c r="D71" s="86"/>
      <c r="E71" s="86"/>
      <c r="F71" s="86"/>
      <c r="G71" s="86"/>
      <c r="H71" s="86"/>
      <c r="I71" s="86"/>
      <c r="J71" s="86"/>
      <c r="K71" s="86"/>
      <c r="L71" s="195"/>
      <c r="M71" s="195"/>
      <c r="N71" s="195"/>
      <c r="O71" s="195"/>
      <c r="P71" s="195"/>
      <c r="Q71" s="195"/>
      <c r="R71" s="195"/>
      <c r="S71" s="87"/>
      <c r="T71" s="87"/>
    </row>
    <row r="72" spans="2:20" ht="13.05" customHeight="1" x14ac:dyDescent="0.3">
      <c r="B72" s="85"/>
      <c r="C72" s="85"/>
      <c r="D72" s="86"/>
      <c r="E72" s="86"/>
      <c r="F72" s="86"/>
      <c r="G72" s="86"/>
      <c r="H72" s="86"/>
      <c r="I72" s="86"/>
      <c r="J72" s="86"/>
      <c r="K72" s="86"/>
      <c r="L72" s="195"/>
      <c r="M72" s="195"/>
      <c r="N72" s="195"/>
      <c r="O72" s="195"/>
      <c r="P72" s="195"/>
      <c r="Q72" s="195"/>
      <c r="R72" s="195"/>
      <c r="S72" s="87"/>
      <c r="T72" s="87"/>
    </row>
    <row r="73" spans="2:20" ht="10.050000000000001" customHeight="1" x14ac:dyDescent="0.3">
      <c r="B73" s="85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7"/>
      <c r="T73" s="87"/>
    </row>
    <row r="74" spans="2:20" ht="10.050000000000001" customHeight="1" thickBot="1" x14ac:dyDescent="0.35">
      <c r="B74" s="85"/>
      <c r="C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90"/>
      <c r="T74" s="87"/>
    </row>
    <row r="75" spans="2:20" ht="10.050000000000001" customHeight="1" thickBot="1" x14ac:dyDescent="0.35">
      <c r="B75" s="85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7"/>
    </row>
    <row r="76" spans="2:20" ht="10.050000000000001" customHeight="1" x14ac:dyDescent="0.3">
      <c r="B76" s="85"/>
      <c r="C76" s="82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4"/>
      <c r="T76" s="87"/>
    </row>
    <row r="77" spans="2:20" ht="19.2" customHeight="1" x14ac:dyDescent="0.3">
      <c r="B77" s="85"/>
      <c r="C77" s="85"/>
      <c r="D77" s="115" t="str">
        <f>IF(ISBLANK(PARAMETROS!$C$411),"",PARAMETROS!$C$411)</f>
        <v>Información de la Madre</v>
      </c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87"/>
      <c r="T77" s="87"/>
    </row>
    <row r="78" spans="2:20" ht="10.050000000000001" customHeight="1" x14ac:dyDescent="0.3">
      <c r="B78" s="85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7"/>
      <c r="T78" s="87"/>
    </row>
    <row r="79" spans="2:20" ht="19.2" customHeight="1" x14ac:dyDescent="0.3">
      <c r="B79" s="85"/>
      <c r="C79" s="85"/>
      <c r="D79" s="118" t="str">
        <f>IF(ISBLANK(PARAMETROS!$C$412),"",PARAMETROS!$C$412)</f>
        <v>Edad materna en años:</v>
      </c>
      <c r="E79" s="118"/>
      <c r="F79" s="118"/>
      <c r="G79" s="118"/>
      <c r="H79" s="118"/>
      <c r="I79" s="118"/>
      <c r="J79" s="118"/>
      <c r="K79" s="86"/>
      <c r="L79" s="118" t="str">
        <f>IF(ISBLANK(PARAMETROS!$C$416),"",PARAMETROS!$C$416)</f>
        <v>¿Fue un embarazo deseado?:</v>
      </c>
      <c r="M79" s="118"/>
      <c r="N79" s="118"/>
      <c r="O79" s="118"/>
      <c r="P79" s="118"/>
      <c r="Q79" s="118"/>
      <c r="R79" s="118"/>
      <c r="S79" s="87"/>
      <c r="T79" s="87"/>
    </row>
    <row r="80" spans="2:20" ht="10.050000000000001" customHeight="1" x14ac:dyDescent="0.3">
      <c r="B80" s="85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7"/>
      <c r="T80" s="87"/>
    </row>
    <row r="81" spans="2:20" ht="13.05" customHeight="1" x14ac:dyDescent="0.3">
      <c r="B81" s="85"/>
      <c r="C81" s="85"/>
      <c r="D81" s="195"/>
      <c r="E81" s="195"/>
      <c r="F81" s="195"/>
      <c r="G81" s="195"/>
      <c r="H81" s="195"/>
      <c r="I81" s="195"/>
      <c r="J81" s="195"/>
      <c r="K81" s="86"/>
      <c r="L81" s="195"/>
      <c r="M81" s="195"/>
      <c r="N81" s="195"/>
      <c r="O81" s="195"/>
      <c r="P81" s="195"/>
      <c r="Q81" s="195"/>
      <c r="R81" s="195"/>
      <c r="S81" s="87"/>
      <c r="T81" s="87"/>
    </row>
    <row r="82" spans="2:20" ht="13.05" customHeight="1" x14ac:dyDescent="0.3">
      <c r="B82" s="85"/>
      <c r="C82" s="85"/>
      <c r="D82" s="195"/>
      <c r="E82" s="195"/>
      <c r="F82" s="195"/>
      <c r="G82" s="195"/>
      <c r="H82" s="195"/>
      <c r="I82" s="195"/>
      <c r="J82" s="195"/>
      <c r="K82" s="86"/>
      <c r="L82" s="195"/>
      <c r="M82" s="195"/>
      <c r="N82" s="195"/>
      <c r="O82" s="195"/>
      <c r="P82" s="195"/>
      <c r="Q82" s="195"/>
      <c r="R82" s="195"/>
      <c r="S82" s="87"/>
      <c r="T82" s="87"/>
    </row>
    <row r="83" spans="2:20" ht="10.050000000000001" customHeight="1" x14ac:dyDescent="0.3">
      <c r="B83" s="85"/>
      <c r="C83" s="85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7"/>
      <c r="T83" s="87"/>
    </row>
    <row r="84" spans="2:20" ht="19.2" customHeight="1" x14ac:dyDescent="0.3">
      <c r="B84" s="85"/>
      <c r="C84" s="85"/>
      <c r="D84" s="118" t="str">
        <f>IF(ISBLANK(PARAMETROS!$C$413),"",PARAMETROS!$C$413)</f>
        <v>Número de controles prenatales:</v>
      </c>
      <c r="E84" s="118"/>
      <c r="F84" s="118"/>
      <c r="G84" s="118"/>
      <c r="H84" s="118"/>
      <c r="I84" s="118"/>
      <c r="J84" s="118"/>
      <c r="K84" s="86"/>
      <c r="L84" s="118" t="str">
        <f>IF(ISBLANK(PARAMETROS!$C$417),"",PARAMETROS!$C$417)</f>
        <v>Madre con toxemia:</v>
      </c>
      <c r="M84" s="118"/>
      <c r="N84" s="118"/>
      <c r="O84" s="118"/>
      <c r="P84" s="118"/>
      <c r="Q84" s="118"/>
      <c r="R84" s="118"/>
      <c r="S84" s="87"/>
      <c r="T84" s="87"/>
    </row>
    <row r="85" spans="2:20" ht="10.050000000000001" customHeight="1" x14ac:dyDescent="0.3">
      <c r="B85" s="85"/>
      <c r="C85" s="85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7"/>
      <c r="T85" s="87"/>
    </row>
    <row r="86" spans="2:20" ht="13.05" customHeight="1" x14ac:dyDescent="0.3">
      <c r="B86" s="85"/>
      <c r="C86" s="85"/>
      <c r="D86" s="195"/>
      <c r="E86" s="195"/>
      <c r="F86" s="195"/>
      <c r="G86" s="195"/>
      <c r="H86" s="195"/>
      <c r="I86" s="195"/>
      <c r="J86" s="195"/>
      <c r="K86" s="86"/>
      <c r="L86" s="195"/>
      <c r="M86" s="195"/>
      <c r="N86" s="195"/>
      <c r="O86" s="195"/>
      <c r="P86" s="195"/>
      <c r="Q86" s="195"/>
      <c r="R86" s="195"/>
      <c r="S86" s="87"/>
      <c r="T86" s="87"/>
    </row>
    <row r="87" spans="2:20" ht="13.05" customHeight="1" x14ac:dyDescent="0.3">
      <c r="B87" s="85"/>
      <c r="C87" s="85"/>
      <c r="D87" s="195"/>
      <c r="E87" s="195"/>
      <c r="F87" s="195"/>
      <c r="G87" s="195"/>
      <c r="H87" s="195"/>
      <c r="I87" s="195"/>
      <c r="J87" s="195"/>
      <c r="K87" s="86"/>
      <c r="L87" s="195"/>
      <c r="M87" s="195"/>
      <c r="N87" s="195"/>
      <c r="O87" s="195"/>
      <c r="P87" s="195"/>
      <c r="Q87" s="195"/>
      <c r="R87" s="195"/>
      <c r="S87" s="87"/>
      <c r="T87" s="87"/>
    </row>
    <row r="88" spans="2:20" ht="10.050000000000001" customHeight="1" x14ac:dyDescent="0.3">
      <c r="B88" s="85"/>
      <c r="C88" s="85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7"/>
      <c r="T88" s="87"/>
    </row>
    <row r="89" spans="2:20" ht="19.2" customHeight="1" x14ac:dyDescent="0.3">
      <c r="B89" s="85"/>
      <c r="C89" s="85"/>
      <c r="D89" s="118" t="str">
        <f>IF(ISBLANK(PARAMETROS!$C$414),"",PARAMETROS!$C$414)</f>
        <v>Tipo de educación de la madre:</v>
      </c>
      <c r="E89" s="118"/>
      <c r="F89" s="118"/>
      <c r="G89" s="118"/>
      <c r="H89" s="118"/>
      <c r="I89" s="118"/>
      <c r="J89" s="118"/>
      <c r="K89" s="86"/>
      <c r="L89" s="118" t="str">
        <f>IF(ISBLANK(PARAMETROS!$C$418),"",PARAMETROS!$C$418)</f>
        <v>Madre consumidora de sustancias psicoactivas:</v>
      </c>
      <c r="M89" s="118"/>
      <c r="N89" s="118"/>
      <c r="O89" s="118"/>
      <c r="P89" s="118"/>
      <c r="Q89" s="118"/>
      <c r="R89" s="118"/>
      <c r="S89" s="87"/>
      <c r="T89" s="87"/>
    </row>
    <row r="90" spans="2:20" ht="10.050000000000001" customHeight="1" x14ac:dyDescent="0.3">
      <c r="B90" s="85"/>
      <c r="C90" s="85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7"/>
      <c r="T90" s="87"/>
    </row>
    <row r="91" spans="2:20" ht="13.05" customHeight="1" x14ac:dyDescent="0.3">
      <c r="B91" s="85"/>
      <c r="C91" s="85"/>
      <c r="D91" s="195"/>
      <c r="E91" s="195"/>
      <c r="F91" s="195"/>
      <c r="G91" s="195"/>
      <c r="H91" s="195"/>
      <c r="I91" s="195"/>
      <c r="J91" s="195"/>
      <c r="K91" s="86"/>
      <c r="L91" s="195"/>
      <c r="M91" s="195"/>
      <c r="N91" s="195"/>
      <c r="O91" s="195"/>
      <c r="P91" s="195"/>
      <c r="Q91" s="195"/>
      <c r="R91" s="195"/>
      <c r="S91" s="87"/>
      <c r="T91" s="87"/>
    </row>
    <row r="92" spans="2:20" ht="13.05" customHeight="1" x14ac:dyDescent="0.3">
      <c r="B92" s="85"/>
      <c r="C92" s="85"/>
      <c r="D92" s="195"/>
      <c r="E92" s="195"/>
      <c r="F92" s="195"/>
      <c r="G92" s="195"/>
      <c r="H92" s="195"/>
      <c r="I92" s="195"/>
      <c r="J92" s="195"/>
      <c r="K92" s="86"/>
      <c r="L92" s="195"/>
      <c r="M92" s="195"/>
      <c r="N92" s="195"/>
      <c r="O92" s="195"/>
      <c r="P92" s="195"/>
      <c r="Q92" s="195"/>
      <c r="R92" s="195"/>
      <c r="S92" s="87"/>
      <c r="T92" s="87"/>
    </row>
    <row r="93" spans="2:20" ht="10.050000000000001" customHeight="1" x14ac:dyDescent="0.3">
      <c r="B93" s="85"/>
      <c r="C93" s="85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7"/>
      <c r="T93" s="87"/>
    </row>
    <row r="94" spans="2:20" ht="19.2" customHeight="1" x14ac:dyDescent="0.3">
      <c r="B94" s="85"/>
      <c r="C94" s="85"/>
      <c r="D94" s="118" t="str">
        <f>IF(ISBLANK(PARAMETROS!$C$415),"",PARAMETROS!$C$415)</f>
        <v>Estado civil y red de apoyo:</v>
      </c>
      <c r="E94" s="118"/>
      <c r="F94" s="118"/>
      <c r="G94" s="118"/>
      <c r="H94" s="118"/>
      <c r="I94" s="118"/>
      <c r="J94" s="118"/>
      <c r="K94" s="86"/>
      <c r="L94" s="118" t="str">
        <f>IF(ISBLANK(PARAMETROS!$C$419),"",PARAMETROS!$C$419)</f>
        <v>Mortalidad materna:</v>
      </c>
      <c r="M94" s="118"/>
      <c r="N94" s="118"/>
      <c r="O94" s="118"/>
      <c r="P94" s="118"/>
      <c r="Q94" s="118"/>
      <c r="R94" s="118"/>
      <c r="S94" s="87"/>
      <c r="T94" s="87"/>
    </row>
    <row r="95" spans="2:20" ht="10.050000000000001" customHeight="1" x14ac:dyDescent="0.3">
      <c r="B95" s="85"/>
      <c r="C95" s="85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7"/>
      <c r="T95" s="87"/>
    </row>
    <row r="96" spans="2:20" ht="13.05" customHeight="1" x14ac:dyDescent="0.3">
      <c r="B96" s="85"/>
      <c r="C96" s="85"/>
      <c r="D96" s="195"/>
      <c r="E96" s="195"/>
      <c r="F96" s="195"/>
      <c r="G96" s="195"/>
      <c r="H96" s="195"/>
      <c r="I96" s="195"/>
      <c r="J96" s="195"/>
      <c r="K96" s="86"/>
      <c r="L96" s="195"/>
      <c r="M96" s="195"/>
      <c r="N96" s="195"/>
      <c r="O96" s="195"/>
      <c r="P96" s="195"/>
      <c r="Q96" s="195"/>
      <c r="R96" s="195"/>
      <c r="S96" s="87"/>
      <c r="T96" s="87"/>
    </row>
    <row r="97" spans="2:20" ht="13.05" customHeight="1" x14ac:dyDescent="0.3">
      <c r="B97" s="85"/>
      <c r="C97" s="85"/>
      <c r="D97" s="195"/>
      <c r="E97" s="195"/>
      <c r="F97" s="195"/>
      <c r="G97" s="195"/>
      <c r="H97" s="195"/>
      <c r="I97" s="195"/>
      <c r="J97" s="195"/>
      <c r="K97" s="86"/>
      <c r="L97" s="195"/>
      <c r="M97" s="195"/>
      <c r="N97" s="195"/>
      <c r="O97" s="195"/>
      <c r="P97" s="195"/>
      <c r="Q97" s="195"/>
      <c r="R97" s="195"/>
      <c r="S97" s="87"/>
      <c r="T97" s="87"/>
    </row>
    <row r="98" spans="2:20" ht="10.050000000000001" customHeight="1" x14ac:dyDescent="0.3">
      <c r="B98" s="85"/>
      <c r="C98" s="85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7"/>
      <c r="T98" s="87"/>
    </row>
    <row r="99" spans="2:20" ht="10.050000000000001" customHeight="1" thickBot="1" x14ac:dyDescent="0.35">
      <c r="B99" s="85"/>
      <c r="C99" s="88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90"/>
      <c r="T99" s="87"/>
    </row>
    <row r="100" spans="2:20" ht="10.050000000000001" customHeight="1" thickBot="1" x14ac:dyDescent="0.35">
      <c r="B100" s="85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7"/>
    </row>
    <row r="101" spans="2:20" ht="10.050000000000001" customHeight="1" x14ac:dyDescent="0.3">
      <c r="B101" s="85"/>
      <c r="C101" s="82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4"/>
      <c r="T101" s="87"/>
    </row>
    <row r="102" spans="2:20" ht="19.2" customHeight="1" x14ac:dyDescent="0.3">
      <c r="B102" s="85"/>
      <c r="C102" s="85"/>
      <c r="D102" s="115" t="str">
        <f>IF(ISBLANK(PARAMETROS!$C$420),"",PARAMETROS!$C$420)</f>
        <v>¿Será remitido a otro lugar?</v>
      </c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87"/>
      <c r="T102" s="87"/>
    </row>
    <row r="103" spans="2:20" ht="10.050000000000001" customHeight="1" x14ac:dyDescent="0.3">
      <c r="B103" s="85"/>
      <c r="C103" s="85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7"/>
      <c r="T103" s="87"/>
    </row>
    <row r="104" spans="2:20" ht="19.2" customHeight="1" x14ac:dyDescent="0.3">
      <c r="B104" s="85"/>
      <c r="C104" s="85"/>
      <c r="D104" s="120" t="str">
        <f>IF(ISBLANK(PARAMETROS!$C$421),"",PARAMETROS!$C$421)</f>
        <v>¿Será remitido a otra institución?:</v>
      </c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87"/>
      <c r="T104" s="87"/>
    </row>
    <row r="105" spans="2:20" ht="10.050000000000001" customHeight="1" x14ac:dyDescent="0.3">
      <c r="B105" s="85"/>
      <c r="C105" s="85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7"/>
      <c r="T105" s="87"/>
    </row>
    <row r="106" spans="2:20" ht="13.05" customHeight="1" x14ac:dyDescent="0.3">
      <c r="B106" s="85"/>
      <c r="C106" s="85"/>
      <c r="D106" s="195"/>
      <c r="E106" s="195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  <c r="Q106" s="195"/>
      <c r="R106" s="195"/>
      <c r="S106" s="87"/>
      <c r="T106" s="87"/>
    </row>
    <row r="107" spans="2:20" ht="13.05" customHeight="1" x14ac:dyDescent="0.3">
      <c r="B107" s="85"/>
      <c r="C107" s="85"/>
      <c r="D107" s="195"/>
      <c r="E107" s="195"/>
      <c r="F107" s="195"/>
      <c r="G107" s="195"/>
      <c r="H107" s="195"/>
      <c r="I107" s="195"/>
      <c r="J107" s="195"/>
      <c r="K107" s="195"/>
      <c r="L107" s="195"/>
      <c r="M107" s="195"/>
      <c r="N107" s="195"/>
      <c r="O107" s="195"/>
      <c r="P107" s="195"/>
      <c r="Q107" s="195"/>
      <c r="R107" s="195"/>
      <c r="S107" s="87"/>
      <c r="T107" s="87"/>
    </row>
    <row r="108" spans="2:20" ht="10.050000000000001" hidden="1" customHeight="1" x14ac:dyDescent="0.3">
      <c r="B108" s="85"/>
      <c r="C108" s="85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7"/>
      <c r="T108" s="87"/>
    </row>
    <row r="109" spans="2:20" ht="19.2" hidden="1" customHeight="1" x14ac:dyDescent="0.3">
      <c r="B109" s="85"/>
      <c r="C109" s="85"/>
      <c r="D109" s="120" t="str">
        <f>IF(ISBLANK(PARAMETROS!$C$422),"",PARAMETROS!$C$422)</f>
        <v>Nombre de la institución a donde será remitido:</v>
      </c>
      <c r="E109" s="120"/>
      <c r="F109" s="120"/>
      <c r="G109" s="120"/>
      <c r="H109" s="120"/>
      <c r="I109" s="120"/>
      <c r="J109" s="120"/>
      <c r="K109" s="86"/>
      <c r="L109" s="120" t="str">
        <f>IF(ISBLANK(PARAMETROS!$C$423),"",PARAMETROS!$C$423)</f>
        <v>Número asignado a la institución remitido:</v>
      </c>
      <c r="M109" s="120"/>
      <c r="N109" s="120"/>
      <c r="O109" s="120"/>
      <c r="P109" s="120"/>
      <c r="Q109" s="120"/>
      <c r="R109" s="120"/>
      <c r="S109" s="87"/>
      <c r="T109" s="87"/>
    </row>
    <row r="110" spans="2:20" ht="10.050000000000001" hidden="1" customHeight="1" x14ac:dyDescent="0.3">
      <c r="B110" s="85"/>
      <c r="C110" s="85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7"/>
      <c r="T110" s="87"/>
    </row>
    <row r="111" spans="2:20" ht="13.05" hidden="1" customHeight="1" x14ac:dyDescent="0.3">
      <c r="B111" s="85"/>
      <c r="C111" s="85"/>
      <c r="D111" s="193"/>
      <c r="E111" s="193"/>
      <c r="F111" s="193"/>
      <c r="G111" s="193"/>
      <c r="H111" s="193"/>
      <c r="I111" s="193"/>
      <c r="J111" s="193"/>
      <c r="K111" s="86"/>
      <c r="L111" s="193"/>
      <c r="M111" s="193"/>
      <c r="N111" s="193"/>
      <c r="O111" s="193"/>
      <c r="P111" s="193"/>
      <c r="Q111" s="193"/>
      <c r="R111" s="193"/>
      <c r="S111" s="87"/>
      <c r="T111" s="87"/>
    </row>
    <row r="112" spans="2:20" ht="13.05" hidden="1" customHeight="1" x14ac:dyDescent="0.3">
      <c r="B112" s="85"/>
      <c r="C112" s="85"/>
      <c r="D112" s="193"/>
      <c r="E112" s="193"/>
      <c r="F112" s="193"/>
      <c r="G112" s="193"/>
      <c r="H112" s="193"/>
      <c r="I112" s="193"/>
      <c r="J112" s="193"/>
      <c r="K112" s="86"/>
      <c r="L112" s="193"/>
      <c r="M112" s="193"/>
      <c r="N112" s="193"/>
      <c r="O112" s="193"/>
      <c r="P112" s="193"/>
      <c r="Q112" s="193"/>
      <c r="R112" s="193"/>
      <c r="S112" s="87"/>
      <c r="T112" s="87"/>
    </row>
    <row r="113" spans="2:20" ht="10.050000000000001" customHeight="1" x14ac:dyDescent="0.3">
      <c r="B113" s="85"/>
      <c r="C113" s="85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7"/>
      <c r="T113" s="87"/>
    </row>
    <row r="114" spans="2:20" ht="10.050000000000001" customHeight="1" thickBot="1" x14ac:dyDescent="0.35">
      <c r="B114" s="85"/>
      <c r="C114" s="88"/>
      <c r="D114" s="89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90"/>
      <c r="T114" s="87"/>
    </row>
    <row r="115" spans="2:20" ht="10.050000000000001" customHeight="1" thickBot="1" x14ac:dyDescent="0.35">
      <c r="B115" s="85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7"/>
    </row>
    <row r="116" spans="2:20" ht="10.050000000000001" customHeight="1" x14ac:dyDescent="0.3">
      <c r="B116" s="85"/>
      <c r="C116" s="82"/>
      <c r="D116" s="83"/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83"/>
      <c r="P116" s="83"/>
      <c r="Q116" s="83"/>
      <c r="R116" s="83"/>
      <c r="S116" s="84"/>
      <c r="T116" s="87"/>
    </row>
    <row r="117" spans="2:20" ht="19.2" customHeight="1" x14ac:dyDescent="0.3">
      <c r="B117" s="85"/>
      <c r="C117" s="85"/>
      <c r="D117" s="115" t="str">
        <f>IF(ISBLANK(PARAMETROS!$C$424),"",PARAMETROS!$C$424)</f>
        <v>Estado Vital</v>
      </c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87"/>
      <c r="T117" s="87"/>
    </row>
    <row r="118" spans="2:20" ht="10.050000000000001" customHeight="1" x14ac:dyDescent="0.3">
      <c r="B118" s="85"/>
      <c r="C118" s="85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7"/>
      <c r="T118" s="87"/>
    </row>
    <row r="119" spans="2:20" ht="19.2" customHeight="1" x14ac:dyDescent="0.3">
      <c r="B119" s="85"/>
      <c r="C119" s="85"/>
      <c r="D119" s="120" t="str">
        <f>IF(ISBLANK(PARAMETROS!$C$425),"",PARAMETROS!$C$425)</f>
        <v>Estado vital:</v>
      </c>
      <c r="E119" s="120"/>
      <c r="F119" s="120"/>
      <c r="G119" s="120"/>
      <c r="H119" s="120"/>
      <c r="I119" s="120"/>
      <c r="J119" s="120"/>
      <c r="K119" s="86"/>
      <c r="L119" s="86"/>
      <c r="M119" s="86"/>
      <c r="N119" s="86"/>
      <c r="O119" s="86"/>
      <c r="P119" s="86"/>
      <c r="Q119" s="86"/>
      <c r="R119" s="86"/>
      <c r="S119" s="87"/>
      <c r="T119" s="87"/>
    </row>
    <row r="120" spans="2:20" ht="10.050000000000001" customHeight="1" x14ac:dyDescent="0.3">
      <c r="B120" s="85"/>
      <c r="C120" s="85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7"/>
      <c r="T120" s="87"/>
    </row>
    <row r="121" spans="2:20" ht="13.05" customHeight="1" x14ac:dyDescent="0.3">
      <c r="B121" s="85"/>
      <c r="C121" s="85"/>
      <c r="D121" s="195"/>
      <c r="E121" s="195"/>
      <c r="F121" s="195"/>
      <c r="G121" s="195"/>
      <c r="H121" s="195"/>
      <c r="I121" s="195"/>
      <c r="J121" s="195"/>
      <c r="K121" s="86"/>
      <c r="L121" s="86"/>
      <c r="M121" s="86"/>
      <c r="N121" s="86"/>
      <c r="O121" s="86"/>
      <c r="P121" s="86"/>
      <c r="Q121" s="86"/>
      <c r="R121" s="86"/>
      <c r="S121" s="87"/>
      <c r="T121" s="87"/>
    </row>
    <row r="122" spans="2:20" ht="13.05" customHeight="1" x14ac:dyDescent="0.3">
      <c r="B122" s="85"/>
      <c r="C122" s="85"/>
      <c r="D122" s="195"/>
      <c r="E122" s="195"/>
      <c r="F122" s="195"/>
      <c r="G122" s="195"/>
      <c r="H122" s="195"/>
      <c r="I122" s="195"/>
      <c r="J122" s="195"/>
      <c r="K122" s="86"/>
      <c r="L122" s="86"/>
      <c r="M122" s="86"/>
      <c r="N122" s="86"/>
      <c r="O122" s="86"/>
      <c r="P122" s="86"/>
      <c r="Q122" s="86"/>
      <c r="R122" s="86"/>
      <c r="S122" s="87"/>
      <c r="T122" s="87"/>
    </row>
    <row r="123" spans="2:20" ht="10.050000000000001" hidden="1" customHeight="1" x14ac:dyDescent="0.3">
      <c r="B123" s="85"/>
      <c r="C123" s="85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7"/>
      <c r="T123" s="87"/>
    </row>
    <row r="124" spans="2:20" ht="19.2" hidden="1" customHeight="1" x14ac:dyDescent="0.3">
      <c r="B124" s="85"/>
      <c r="C124" s="85"/>
      <c r="D124" s="120" t="str">
        <f>IF(ISBLANK(PARAMETROS!$C$426),"",PARAMETROS!$C$426)</f>
        <v>Fecha de muerte:</v>
      </c>
      <c r="E124" s="120"/>
      <c r="F124" s="120"/>
      <c r="G124" s="120"/>
      <c r="H124" s="120"/>
      <c r="I124" s="120"/>
      <c r="J124" s="120"/>
      <c r="K124" s="86"/>
      <c r="L124" s="86"/>
      <c r="M124" s="86"/>
      <c r="N124" s="86"/>
      <c r="O124" s="86"/>
      <c r="P124" s="86"/>
      <c r="Q124" s="86"/>
      <c r="R124" s="86"/>
      <c r="S124" s="87"/>
      <c r="T124" s="87"/>
    </row>
    <row r="125" spans="2:20" ht="10.050000000000001" hidden="1" customHeight="1" x14ac:dyDescent="0.3">
      <c r="B125" s="85"/>
      <c r="C125" s="85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7"/>
      <c r="T125" s="87"/>
    </row>
    <row r="126" spans="2:20" ht="13.05" hidden="1" customHeight="1" x14ac:dyDescent="0.3">
      <c r="B126" s="85"/>
      <c r="C126" s="85"/>
      <c r="D126" s="194"/>
      <c r="E126" s="194"/>
      <c r="F126" s="194"/>
      <c r="G126" s="194"/>
      <c r="H126" s="194"/>
      <c r="I126" s="194"/>
      <c r="J126" s="194"/>
      <c r="K126" s="86"/>
      <c r="L126" s="86"/>
      <c r="M126" s="86"/>
      <c r="N126" s="86"/>
      <c r="O126" s="86"/>
      <c r="P126" s="86"/>
      <c r="Q126" s="86"/>
      <c r="R126" s="86"/>
      <c r="S126" s="87"/>
      <c r="T126" s="87"/>
    </row>
    <row r="127" spans="2:20" ht="13.05" hidden="1" customHeight="1" x14ac:dyDescent="0.3">
      <c r="B127" s="85"/>
      <c r="C127" s="85"/>
      <c r="D127" s="194"/>
      <c r="E127" s="194"/>
      <c r="F127" s="194"/>
      <c r="G127" s="194"/>
      <c r="H127" s="194"/>
      <c r="I127" s="194"/>
      <c r="J127" s="194"/>
      <c r="K127" s="86"/>
      <c r="L127" s="86"/>
      <c r="M127" s="86"/>
      <c r="N127" s="86"/>
      <c r="O127" s="86"/>
      <c r="P127" s="86"/>
      <c r="Q127" s="86"/>
      <c r="R127" s="86"/>
      <c r="S127" s="87"/>
      <c r="T127" s="87"/>
    </row>
    <row r="128" spans="2:20" ht="10.050000000000001" hidden="1" customHeight="1" x14ac:dyDescent="0.3">
      <c r="B128" s="85"/>
      <c r="C128" s="85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7"/>
      <c r="T128" s="87"/>
    </row>
    <row r="129" spans="2:20" ht="19.2" hidden="1" customHeight="1" x14ac:dyDescent="0.3">
      <c r="B129" s="85"/>
      <c r="C129" s="85"/>
      <c r="D129" s="120" t="str">
        <f>IF(ISBLANK(PARAMETROS!$C$427),"",PARAMETROS!$C$427)</f>
        <v>Lugar de la muerte:</v>
      </c>
      <c r="E129" s="120"/>
      <c r="F129" s="120"/>
      <c r="G129" s="120"/>
      <c r="H129" s="120"/>
      <c r="I129" s="120"/>
      <c r="J129" s="120"/>
      <c r="K129" s="86"/>
      <c r="L129" s="86"/>
      <c r="M129" s="86"/>
      <c r="N129" s="86"/>
      <c r="O129" s="86"/>
      <c r="P129" s="86"/>
      <c r="Q129" s="86"/>
      <c r="R129" s="86"/>
      <c r="S129" s="87"/>
      <c r="T129" s="87"/>
    </row>
    <row r="130" spans="2:20" ht="10.050000000000001" hidden="1" customHeight="1" x14ac:dyDescent="0.3">
      <c r="B130" s="85"/>
      <c r="C130" s="85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7"/>
      <c r="T130" s="87"/>
    </row>
    <row r="131" spans="2:20" ht="13.05" hidden="1" customHeight="1" x14ac:dyDescent="0.3">
      <c r="B131" s="85"/>
      <c r="C131" s="85"/>
      <c r="D131" s="193"/>
      <c r="E131" s="193"/>
      <c r="F131" s="193"/>
      <c r="G131" s="193"/>
      <c r="H131" s="193"/>
      <c r="I131" s="193"/>
      <c r="J131" s="193"/>
      <c r="K131" s="86"/>
      <c r="L131" s="86"/>
      <c r="M131" s="86"/>
      <c r="N131" s="86"/>
      <c r="O131" s="86"/>
      <c r="P131" s="86"/>
      <c r="Q131" s="86"/>
      <c r="R131" s="86"/>
      <c r="S131" s="87"/>
      <c r="T131" s="87"/>
    </row>
    <row r="132" spans="2:20" ht="13.05" hidden="1" customHeight="1" x14ac:dyDescent="0.3">
      <c r="B132" s="85"/>
      <c r="C132" s="85"/>
      <c r="D132" s="193"/>
      <c r="E132" s="193"/>
      <c r="F132" s="193"/>
      <c r="G132" s="193"/>
      <c r="H132" s="193"/>
      <c r="I132" s="193"/>
      <c r="J132" s="193"/>
      <c r="K132" s="86"/>
      <c r="L132" s="86"/>
      <c r="M132" s="86"/>
      <c r="N132" s="86"/>
      <c r="O132" s="86"/>
      <c r="P132" s="86"/>
      <c r="Q132" s="86"/>
      <c r="R132" s="86"/>
      <c r="S132" s="87"/>
      <c r="T132" s="87"/>
    </row>
    <row r="133" spans="2:20" ht="10.050000000000001" customHeight="1" x14ac:dyDescent="0.3">
      <c r="B133" s="85"/>
      <c r="C133" s="85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7"/>
      <c r="T133" s="87"/>
    </row>
    <row r="134" spans="2:20" ht="10.050000000000001" customHeight="1" thickBot="1" x14ac:dyDescent="0.35">
      <c r="B134" s="85"/>
      <c r="C134" s="88"/>
      <c r="D134" s="89"/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90"/>
      <c r="T134" s="87"/>
    </row>
    <row r="135" spans="2:20" ht="10.050000000000001" customHeight="1" thickBot="1" x14ac:dyDescent="0.35">
      <c r="B135" s="85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7"/>
    </row>
    <row r="136" spans="2:20" ht="10.050000000000001" customHeight="1" x14ac:dyDescent="0.3">
      <c r="B136" s="85"/>
      <c r="C136" s="82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/>
      <c r="P136" s="83"/>
      <c r="Q136" s="83"/>
      <c r="R136" s="83"/>
      <c r="S136" s="84"/>
      <c r="T136" s="87"/>
    </row>
    <row r="137" spans="2:20" ht="19.2" customHeight="1" x14ac:dyDescent="0.3">
      <c r="B137" s="85"/>
      <c r="C137" s="85"/>
      <c r="D137" s="115" t="str">
        <f>IF(ISBLANK(PARAMETROS!$C$428),"",PARAMETROS!$C$428)</f>
        <v>Seguimiento</v>
      </c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87"/>
      <c r="T137" s="87"/>
    </row>
    <row r="138" spans="2:20" ht="10.050000000000001" customHeight="1" x14ac:dyDescent="0.3">
      <c r="B138" s="85"/>
      <c r="C138" s="85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7"/>
      <c r="T138" s="87"/>
    </row>
    <row r="139" spans="2:20" ht="19.2" customHeight="1" x14ac:dyDescent="0.3">
      <c r="B139" s="85"/>
      <c r="C139" s="85"/>
      <c r="D139" s="118" t="str">
        <f>IF(ISBLANK(PARAMETROS!$C$429),"",PARAMETROS!$C$429)</f>
        <v>Seguimiento en el PMC:</v>
      </c>
      <c r="E139" s="118"/>
      <c r="F139" s="118"/>
      <c r="G139" s="118"/>
      <c r="H139" s="118"/>
      <c r="I139" s="118"/>
      <c r="J139" s="118"/>
      <c r="K139" s="86"/>
      <c r="L139" s="86"/>
      <c r="M139" s="86"/>
      <c r="N139" s="86"/>
      <c r="O139" s="86"/>
      <c r="P139" s="86"/>
      <c r="Q139" s="86"/>
      <c r="R139" s="86"/>
      <c r="S139" s="87"/>
      <c r="T139" s="87"/>
    </row>
    <row r="140" spans="2:20" ht="10.050000000000001" customHeight="1" x14ac:dyDescent="0.3">
      <c r="B140" s="85"/>
      <c r="C140" s="85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7"/>
      <c r="T140" s="87"/>
    </row>
    <row r="141" spans="2:20" ht="13.05" customHeight="1" x14ac:dyDescent="0.3">
      <c r="B141" s="85"/>
      <c r="C141" s="85"/>
      <c r="D141" s="195"/>
      <c r="E141" s="195"/>
      <c r="F141" s="195"/>
      <c r="G141" s="195"/>
      <c r="H141" s="195"/>
      <c r="I141" s="195"/>
      <c r="J141" s="195"/>
      <c r="K141" s="86"/>
      <c r="L141" s="86"/>
      <c r="M141" s="86"/>
      <c r="N141" s="86"/>
      <c r="O141" s="86"/>
      <c r="P141" s="86"/>
      <c r="Q141" s="86"/>
      <c r="R141" s="86"/>
      <c r="S141" s="87"/>
      <c r="T141" s="87"/>
    </row>
    <row r="142" spans="2:20" ht="13.05" customHeight="1" x14ac:dyDescent="0.3">
      <c r="B142" s="85"/>
      <c r="C142" s="85"/>
      <c r="D142" s="195"/>
      <c r="E142" s="195"/>
      <c r="F142" s="195"/>
      <c r="G142" s="195"/>
      <c r="H142" s="195"/>
      <c r="I142" s="195"/>
      <c r="J142" s="195"/>
      <c r="K142" s="86"/>
      <c r="L142" s="86"/>
      <c r="M142" s="86"/>
      <c r="N142" s="86"/>
      <c r="O142" s="86"/>
      <c r="P142" s="86"/>
      <c r="Q142" s="86"/>
      <c r="R142" s="86"/>
      <c r="S142" s="87"/>
      <c r="T142" s="87"/>
    </row>
    <row r="143" spans="2:20" ht="10.050000000000001" customHeight="1" x14ac:dyDescent="0.3">
      <c r="B143" s="85"/>
      <c r="C143" s="85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7"/>
      <c r="T143" s="87"/>
    </row>
    <row r="144" spans="2:20" ht="10.050000000000001" customHeight="1" thickBot="1" x14ac:dyDescent="0.35">
      <c r="B144" s="85"/>
      <c r="C144" s="88"/>
      <c r="D144" s="89"/>
      <c r="E144" s="89"/>
      <c r="F144" s="89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90"/>
      <c r="T144" s="87"/>
    </row>
    <row r="145" spans="2:20" ht="10.050000000000001" customHeight="1" x14ac:dyDescent="0.3">
      <c r="B145" s="85"/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7"/>
    </row>
    <row r="146" spans="2:20" ht="13.05" customHeight="1" x14ac:dyDescent="0.3">
      <c r="B146" s="85"/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7"/>
    </row>
    <row r="147" spans="2:20" ht="13.05" customHeight="1" x14ac:dyDescent="0.3">
      <c r="B147" s="85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7"/>
    </row>
    <row r="148" spans="2:20" ht="10.050000000000001" customHeight="1" thickBot="1" x14ac:dyDescent="0.35">
      <c r="B148" s="88"/>
      <c r="C148" s="89"/>
      <c r="D148" s="89"/>
      <c r="E148" s="89"/>
      <c r="F148" s="89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90"/>
    </row>
    <row r="149" spans="2:20" ht="19.2" customHeight="1" x14ac:dyDescent="0.3"/>
  </sheetData>
  <sheetProtection algorithmName="SHA-512" hashValue="G9RY0FWuuYD8OGFlwwt0g6tlinxfi7W6yoeYqCRrPr6VDEg2w9wwvtCdqb7Q8vVluTXdHqMJMiEEKt49TXSDZw==" saltValue="TsXRzUjelVTcO41L8sz+5w==" spinCount="100000" sheet="1" objects="1" scenarios="1" selectLockedCells="1"/>
  <mergeCells count="74">
    <mergeCell ref="D131:J132"/>
    <mergeCell ref="D137:R137"/>
    <mergeCell ref="D139:J139"/>
    <mergeCell ref="D141:J142"/>
    <mergeCell ref="D117:R117"/>
    <mergeCell ref="D119:J119"/>
    <mergeCell ref="D121:J122"/>
    <mergeCell ref="D124:J124"/>
    <mergeCell ref="D126:J127"/>
    <mergeCell ref="D129:J129"/>
    <mergeCell ref="D111:J112"/>
    <mergeCell ref="L111:R112"/>
    <mergeCell ref="D91:J92"/>
    <mergeCell ref="L91:R92"/>
    <mergeCell ref="D94:J94"/>
    <mergeCell ref="L94:R94"/>
    <mergeCell ref="D96:J97"/>
    <mergeCell ref="L96:R97"/>
    <mergeCell ref="D102:R102"/>
    <mergeCell ref="D104:R104"/>
    <mergeCell ref="D106:R107"/>
    <mergeCell ref="D109:J109"/>
    <mergeCell ref="L109:R109"/>
    <mergeCell ref="D84:J84"/>
    <mergeCell ref="L84:R84"/>
    <mergeCell ref="D86:J87"/>
    <mergeCell ref="L86:R87"/>
    <mergeCell ref="D89:J89"/>
    <mergeCell ref="L89:R89"/>
    <mergeCell ref="D81:J82"/>
    <mergeCell ref="L81:R82"/>
    <mergeCell ref="D61:J62"/>
    <mergeCell ref="L61:R62"/>
    <mergeCell ref="D64:J64"/>
    <mergeCell ref="L64:R64"/>
    <mergeCell ref="D66:J67"/>
    <mergeCell ref="L66:R67"/>
    <mergeCell ref="L69:R69"/>
    <mergeCell ref="L71:R72"/>
    <mergeCell ref="D77:R77"/>
    <mergeCell ref="D79:J79"/>
    <mergeCell ref="L79:R79"/>
    <mergeCell ref="D59:J59"/>
    <mergeCell ref="L59:R59"/>
    <mergeCell ref="D39:J39"/>
    <mergeCell ref="L39:R39"/>
    <mergeCell ref="D41:J42"/>
    <mergeCell ref="L41:R42"/>
    <mergeCell ref="D44:J44"/>
    <mergeCell ref="D46:J47"/>
    <mergeCell ref="D52:R52"/>
    <mergeCell ref="D54:J54"/>
    <mergeCell ref="L54:R54"/>
    <mergeCell ref="D56:J57"/>
    <mergeCell ref="L56:R57"/>
    <mergeCell ref="D36:J37"/>
    <mergeCell ref="L36:R37"/>
    <mergeCell ref="D14:J14"/>
    <mergeCell ref="L14:R14"/>
    <mergeCell ref="D16:J17"/>
    <mergeCell ref="L16:R17"/>
    <mergeCell ref="D19:J19"/>
    <mergeCell ref="D21:J22"/>
    <mergeCell ref="D24:J24"/>
    <mergeCell ref="D26:J27"/>
    <mergeCell ref="D32:R32"/>
    <mergeCell ref="D34:J34"/>
    <mergeCell ref="L34:R34"/>
    <mergeCell ref="D12:R12"/>
    <mergeCell ref="C1:G2"/>
    <mergeCell ref="C4:H4"/>
    <mergeCell ref="J4:M4"/>
    <mergeCell ref="C6:H7"/>
    <mergeCell ref="J6:M7"/>
  </mergeCells>
  <dataValidations count="9">
    <dataValidation type="list" allowBlank="1" showInputMessage="1" showErrorMessage="1" sqref="D141:J142" xr:uid="{2B0614A8-0F1D-4E39-9128-49726754917D}">
      <formula1>lista11</formula1>
    </dataValidation>
    <dataValidation type="list" allowBlank="1" showInputMessage="1" showErrorMessage="1" sqref="D131:J132" xr:uid="{E5E3A8B8-FA13-462D-942C-07BDCCF496A6}">
      <formula1>lista10</formula1>
    </dataValidation>
    <dataValidation type="list" allowBlank="1" showInputMessage="1" showErrorMessage="1" sqref="D121:J122" xr:uid="{4F1527BF-5047-4DB6-A1EE-069061B461DD}">
      <formula1>lista9</formula1>
    </dataValidation>
    <dataValidation type="list" allowBlank="1" showInputMessage="1" showErrorMessage="1" sqref="D96:J97" xr:uid="{CDFAF37C-7A1B-4C23-BF3D-407FFE69BCEF}">
      <formula1>lista8</formula1>
    </dataValidation>
    <dataValidation type="list" allowBlank="1" showInputMessage="1" showErrorMessage="1" sqref="D91:J92" xr:uid="{7503F2FE-00E1-4003-B68B-92F510A707E1}">
      <formula1>lista7</formula1>
    </dataValidation>
    <dataValidation type="list" allowBlank="1" showInputMessage="1" showErrorMessage="1" sqref="D61:J62" xr:uid="{302AFA7E-5F67-45D8-B3C5-283641A2E767}">
      <formula1>lista6</formula1>
    </dataValidation>
    <dataValidation type="list" allowBlank="1" showInputMessage="1" showErrorMessage="1" sqref="L41:R42" xr:uid="{AFF7267B-E832-46B3-B162-9246B0B61EAD}">
      <formula1>lista5</formula1>
    </dataValidation>
    <dataValidation type="list" allowBlank="1" showInputMessage="1" showErrorMessage="1" sqref="D106:R107 L36:R37 L71:R72 L81:R82 L86:R87 L91:R92 L96:R97 L16:R17" xr:uid="{22A346A3-9C27-4526-B9E4-3B766891C0B2}">
      <formula1>lista1</formula1>
    </dataValidation>
    <dataValidation type="list" allowBlank="1" showInputMessage="1" showErrorMessage="1" sqref="D26:J27" xr:uid="{D3DA65D1-569A-4CFC-88A9-414FB7E7FB3F}">
      <formula1>lista4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6E89-4D8E-44D6-A7C3-FBF55B7D88E9}">
  <sheetPr codeName="Hoja15"/>
  <dimension ref="A1:U591"/>
  <sheetViews>
    <sheetView showGridLines="0" zoomScaleNormal="100" workbookViewId="0">
      <selection activeCell="C6" sqref="C6:H7"/>
    </sheetView>
  </sheetViews>
  <sheetFormatPr baseColWidth="10" defaultColWidth="0" defaultRowHeight="19.2" customHeight="1" zeroHeight="1" x14ac:dyDescent="0.3"/>
  <cols>
    <col min="1" max="2" width="3.77734375" style="81" customWidth="1"/>
    <col min="3" max="3" width="1.88671875" style="81" customWidth="1"/>
    <col min="4" max="18" width="11.5546875" style="81" customWidth="1"/>
    <col min="19" max="21" width="3.77734375" style="81" customWidth="1"/>
    <col min="22" max="16384" width="11.5546875" style="81" hidden="1"/>
  </cols>
  <sheetData>
    <row r="1" spans="2:20" ht="13.05" customHeight="1" x14ac:dyDescent="0.3">
      <c r="C1" s="116" t="str">
        <f>IF(ISBLANK(PARAMETROS!$C$430),"",PARAMETROS!$C$430)</f>
        <v>Formulario de Seguimiento</v>
      </c>
      <c r="D1" s="116"/>
      <c r="E1" s="116"/>
      <c r="F1" s="116"/>
      <c r="G1" s="116"/>
    </row>
    <row r="2" spans="2:20" ht="13.05" customHeight="1" thickBot="1" x14ac:dyDescent="0.35">
      <c r="C2" s="117"/>
      <c r="D2" s="117"/>
      <c r="E2" s="117"/>
      <c r="F2" s="117"/>
      <c r="G2" s="117"/>
    </row>
    <row r="3" spans="2:20" ht="10.050000000000001" customHeight="1" x14ac:dyDescent="0.3">
      <c r="B3" s="82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4"/>
    </row>
    <row r="4" spans="2:20" ht="19.2" customHeight="1" x14ac:dyDescent="0.3">
      <c r="B4" s="85"/>
      <c r="C4" s="134" t="str">
        <f>IF(ISBLANK(PARAMETROS!$C$389),"",PARAMETROS!$C$389)</f>
        <v>ID Canguro:</v>
      </c>
      <c r="D4" s="134"/>
      <c r="E4" s="134"/>
      <c r="F4" s="134"/>
      <c r="G4" s="134"/>
      <c r="H4" s="134"/>
      <c r="I4" s="86"/>
      <c r="J4" s="134" t="str">
        <f>IF(ISBLANK(PARAMETROS!$C$390),"",PARAMETROS!$C$390)</f>
        <v>ID Nacional:</v>
      </c>
      <c r="K4" s="134"/>
      <c r="L4" s="134"/>
      <c r="M4" s="134"/>
      <c r="N4" s="86"/>
      <c r="O4" s="86"/>
      <c r="P4" s="86"/>
      <c r="Q4" s="86"/>
      <c r="R4" s="86"/>
      <c r="S4" s="86"/>
      <c r="T4" s="87"/>
    </row>
    <row r="5" spans="2:20" ht="10.050000000000001" customHeight="1" x14ac:dyDescent="0.3">
      <c r="B5" s="85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7"/>
    </row>
    <row r="6" spans="2:20" ht="13.05" customHeight="1" x14ac:dyDescent="0.3">
      <c r="B6" s="85"/>
      <c r="C6" s="121"/>
      <c r="D6" s="121"/>
      <c r="E6" s="121"/>
      <c r="F6" s="121"/>
      <c r="G6" s="121"/>
      <c r="H6" s="121"/>
      <c r="I6" s="86"/>
      <c r="J6" s="121"/>
      <c r="K6" s="121"/>
      <c r="L6" s="121"/>
      <c r="M6" s="121"/>
      <c r="N6" s="86"/>
      <c r="O6" s="86"/>
      <c r="P6" s="86"/>
      <c r="Q6" s="86"/>
      <c r="R6" s="86"/>
      <c r="S6" s="86"/>
      <c r="T6" s="87"/>
    </row>
    <row r="7" spans="2:20" ht="13.05" customHeight="1" x14ac:dyDescent="0.3">
      <c r="B7" s="85"/>
      <c r="C7" s="121"/>
      <c r="D7" s="121"/>
      <c r="E7" s="121"/>
      <c r="F7" s="121"/>
      <c r="G7" s="121"/>
      <c r="H7" s="121"/>
      <c r="I7" s="86"/>
      <c r="J7" s="121"/>
      <c r="K7" s="121"/>
      <c r="L7" s="121"/>
      <c r="M7" s="121"/>
      <c r="N7" s="86"/>
      <c r="O7" s="86"/>
      <c r="P7" s="86"/>
      <c r="Q7" s="86"/>
      <c r="R7" s="86"/>
      <c r="S7" s="86"/>
      <c r="T7" s="87"/>
    </row>
    <row r="8" spans="2:20" ht="10.050000000000001" customHeight="1" x14ac:dyDescent="0.3">
      <c r="B8" s="85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7"/>
    </row>
    <row r="9" spans="2:20" ht="13.05" customHeight="1" x14ac:dyDescent="0.3">
      <c r="B9" s="85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7"/>
    </row>
    <row r="10" spans="2:20" ht="13.05" customHeight="1" x14ac:dyDescent="0.3">
      <c r="B10" s="85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7"/>
    </row>
    <row r="11" spans="2:20" ht="10.050000000000001" customHeight="1" thickBot="1" x14ac:dyDescent="0.35">
      <c r="B11" s="88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90"/>
    </row>
    <row r="12" spans="2:20" ht="10.050000000000001" customHeight="1" thickBot="1" x14ac:dyDescent="0.35"/>
    <row r="13" spans="2:20" ht="13.05" customHeight="1" x14ac:dyDescent="0.3">
      <c r="B13" s="82"/>
      <c r="C13" s="83"/>
      <c r="D13" s="124" t="str">
        <f>IF(ISBLANK(PARAMETROS!$C$431),"",PARAMETROS!$C$431)</f>
        <v>Sala de Partos</v>
      </c>
      <c r="E13" s="124"/>
      <c r="F13" s="124"/>
      <c r="G13" s="124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</row>
    <row r="14" spans="2:20" ht="13.05" customHeight="1" thickBot="1" x14ac:dyDescent="0.35">
      <c r="B14" s="85"/>
      <c r="C14" s="89"/>
      <c r="D14" s="125"/>
      <c r="E14" s="125"/>
      <c r="F14" s="125"/>
      <c r="G14" s="125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7"/>
    </row>
    <row r="15" spans="2:20" ht="10.050000000000001" customHeight="1" x14ac:dyDescent="0.3">
      <c r="B15" s="85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4"/>
      <c r="T15" s="87"/>
    </row>
    <row r="16" spans="2:20" ht="19.2" customHeight="1" x14ac:dyDescent="0.3">
      <c r="B16" s="85"/>
      <c r="C16" s="85"/>
      <c r="D16" s="115" t="str">
        <f>IF(ISBLANK(PARAMETROS!$C$432),"",PARAMETROS!$C$432)</f>
        <v>Oxigenoterapia</v>
      </c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87"/>
      <c r="T16" s="87"/>
    </row>
    <row r="17" spans="2:20" ht="10.050000000000001" customHeight="1" x14ac:dyDescent="0.3">
      <c r="B17" s="85"/>
      <c r="C17" s="85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7"/>
      <c r="T17" s="87"/>
    </row>
    <row r="18" spans="2:20" ht="19.2" customHeight="1" x14ac:dyDescent="0.3">
      <c r="B18" s="85"/>
      <c r="C18" s="85"/>
      <c r="D18" s="120" t="str">
        <f>IF(ISBLANK(PARAMETROS!$C$433),"",PARAMETROS!$C$433)</f>
        <v>Requerimiento de oxígeno durante la adaptación:</v>
      </c>
      <c r="E18" s="120"/>
      <c r="F18" s="120"/>
      <c r="G18" s="120"/>
      <c r="H18" s="120"/>
      <c r="I18" s="120"/>
      <c r="J18" s="120"/>
      <c r="K18" s="86"/>
      <c r="L18" s="120" t="str">
        <f>IF(ISBLANK(PARAMETROS!$C$434),"",PARAMETROS!$C$434)</f>
        <v>¿Uso de oxígeno puro o cuenta con blender?:</v>
      </c>
      <c r="M18" s="120"/>
      <c r="N18" s="120"/>
      <c r="O18" s="120"/>
      <c r="P18" s="120"/>
      <c r="Q18" s="120"/>
      <c r="R18" s="120"/>
      <c r="S18" s="87"/>
      <c r="T18" s="87"/>
    </row>
    <row r="19" spans="2:20" ht="10.050000000000001" customHeight="1" x14ac:dyDescent="0.3">
      <c r="B19" s="85"/>
      <c r="C19" s="85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7"/>
      <c r="T19" s="87"/>
    </row>
    <row r="20" spans="2:20" ht="13.05" customHeight="1" x14ac:dyDescent="0.3">
      <c r="B20" s="85"/>
      <c r="C20" s="85"/>
      <c r="D20" s="121"/>
      <c r="E20" s="121"/>
      <c r="F20" s="121"/>
      <c r="G20" s="121"/>
      <c r="H20" s="121"/>
      <c r="I20" s="121"/>
      <c r="J20" s="121"/>
      <c r="K20" s="86"/>
      <c r="L20" s="135"/>
      <c r="M20" s="135"/>
      <c r="N20" s="135"/>
      <c r="O20" s="135"/>
      <c r="P20" s="135"/>
      <c r="Q20" s="135"/>
      <c r="R20" s="135"/>
      <c r="S20" s="87"/>
      <c r="T20" s="87"/>
    </row>
    <row r="21" spans="2:20" ht="13.05" customHeight="1" x14ac:dyDescent="0.3">
      <c r="B21" s="85"/>
      <c r="C21" s="85"/>
      <c r="D21" s="121"/>
      <c r="E21" s="121"/>
      <c r="F21" s="121"/>
      <c r="G21" s="121"/>
      <c r="H21" s="121"/>
      <c r="I21" s="121"/>
      <c r="J21" s="121"/>
      <c r="K21" s="86"/>
      <c r="L21" s="135"/>
      <c r="M21" s="135"/>
      <c r="N21" s="135"/>
      <c r="O21" s="135"/>
      <c r="P21" s="135"/>
      <c r="Q21" s="135"/>
      <c r="R21" s="135"/>
      <c r="S21" s="87"/>
      <c r="T21" s="87"/>
    </row>
    <row r="22" spans="2:20" ht="10.050000000000001" customHeight="1" x14ac:dyDescent="0.3">
      <c r="B22" s="85"/>
      <c r="C22" s="85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7"/>
      <c r="T22" s="87"/>
    </row>
    <row r="23" spans="2:20" ht="19.2" customHeight="1" x14ac:dyDescent="0.3">
      <c r="B23" s="85"/>
      <c r="C23" s="85"/>
      <c r="D23" s="118" t="str">
        <f>IF(ISBLANK(PARAMETROS!$C$435),"",PARAMETROS!$C$435)</f>
        <v>¿Requirió instalación de CPAP inmediato?:</v>
      </c>
      <c r="E23" s="118"/>
      <c r="F23" s="118"/>
      <c r="G23" s="118"/>
      <c r="H23" s="118"/>
      <c r="I23" s="118"/>
      <c r="J23" s="118"/>
      <c r="K23" s="86"/>
      <c r="L23" s="118" t="str">
        <f>IF(ISBLANK(PARAMETROS!$C$436),"",PARAMETROS!$C$436)</f>
        <v>Vía del parto:</v>
      </c>
      <c r="M23" s="118"/>
      <c r="N23" s="118"/>
      <c r="O23" s="118"/>
      <c r="P23" s="118"/>
      <c r="Q23" s="118"/>
      <c r="R23" s="118"/>
      <c r="S23" s="87"/>
      <c r="T23" s="87"/>
    </row>
    <row r="24" spans="2:20" ht="10.050000000000001" customHeight="1" x14ac:dyDescent="0.3">
      <c r="B24" s="85"/>
      <c r="C24" s="85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7"/>
      <c r="T24" s="87"/>
    </row>
    <row r="25" spans="2:20" ht="13.05" customHeight="1" x14ac:dyDescent="0.3">
      <c r="B25" s="85"/>
      <c r="C25" s="85"/>
      <c r="D25" s="121"/>
      <c r="E25" s="121"/>
      <c r="F25" s="121"/>
      <c r="G25" s="121"/>
      <c r="H25" s="121"/>
      <c r="I25" s="121"/>
      <c r="J25" s="121"/>
      <c r="K25" s="86"/>
      <c r="L25" s="121"/>
      <c r="M25" s="121"/>
      <c r="N25" s="121"/>
      <c r="O25" s="121"/>
      <c r="P25" s="121"/>
      <c r="Q25" s="121"/>
      <c r="R25" s="121"/>
      <c r="S25" s="87"/>
      <c r="T25" s="87"/>
    </row>
    <row r="26" spans="2:20" ht="13.05" customHeight="1" x14ac:dyDescent="0.3">
      <c r="B26" s="85"/>
      <c r="C26" s="85"/>
      <c r="D26" s="121"/>
      <c r="E26" s="121"/>
      <c r="F26" s="121"/>
      <c r="G26" s="121"/>
      <c r="H26" s="121"/>
      <c r="I26" s="121"/>
      <c r="J26" s="121"/>
      <c r="K26" s="86"/>
      <c r="L26" s="121"/>
      <c r="M26" s="121"/>
      <c r="N26" s="121"/>
      <c r="O26" s="121"/>
      <c r="P26" s="121"/>
      <c r="Q26" s="121"/>
      <c r="R26" s="121"/>
      <c r="S26" s="87"/>
      <c r="T26" s="87"/>
    </row>
    <row r="27" spans="2:20" ht="10.050000000000001" customHeight="1" x14ac:dyDescent="0.3">
      <c r="B27" s="85"/>
      <c r="C27" s="85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7"/>
      <c r="T27" s="87"/>
    </row>
    <row r="28" spans="2:20" ht="19.2" customHeight="1" x14ac:dyDescent="0.3">
      <c r="B28" s="85"/>
      <c r="C28" s="85"/>
      <c r="D28" s="118" t="str">
        <f>IF(ISBLANK(PARAMETROS!$C$437),"",PARAMETROS!$C$437)</f>
        <v>Tipo de adaptación neonatal:</v>
      </c>
      <c r="E28" s="118"/>
      <c r="F28" s="118"/>
      <c r="G28" s="118"/>
      <c r="H28" s="118"/>
      <c r="I28" s="118"/>
      <c r="J28" s="118"/>
      <c r="K28" s="86"/>
      <c r="L28" s="118" t="str">
        <f>IF(ISBLANK(PARAMETROS!$C$438),"",PARAMETROS!$C$438)</f>
        <v>Apgar 1 minuto:</v>
      </c>
      <c r="M28" s="118"/>
      <c r="N28" s="118"/>
      <c r="O28" s="118"/>
      <c r="P28" s="118"/>
      <c r="Q28" s="118"/>
      <c r="R28" s="118"/>
      <c r="S28" s="87"/>
      <c r="T28" s="87"/>
    </row>
    <row r="29" spans="2:20" ht="10.050000000000001" customHeight="1" x14ac:dyDescent="0.3">
      <c r="B29" s="85"/>
      <c r="C29" s="85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7"/>
      <c r="T29" s="87"/>
    </row>
    <row r="30" spans="2:20" ht="13.05" customHeight="1" x14ac:dyDescent="0.3">
      <c r="B30" s="85"/>
      <c r="C30" s="85"/>
      <c r="D30" s="121"/>
      <c r="E30" s="121"/>
      <c r="F30" s="121"/>
      <c r="G30" s="121"/>
      <c r="H30" s="121"/>
      <c r="I30" s="121"/>
      <c r="J30" s="121"/>
      <c r="K30" s="86"/>
      <c r="L30" s="121"/>
      <c r="M30" s="121"/>
      <c r="N30" s="121"/>
      <c r="O30" s="121"/>
      <c r="P30" s="121"/>
      <c r="Q30" s="121"/>
      <c r="R30" s="121"/>
      <c r="S30" s="87"/>
      <c r="T30" s="87"/>
    </row>
    <row r="31" spans="2:20" ht="13.05" customHeight="1" x14ac:dyDescent="0.3">
      <c r="B31" s="85"/>
      <c r="C31" s="85"/>
      <c r="D31" s="121"/>
      <c r="E31" s="121"/>
      <c r="F31" s="121"/>
      <c r="G31" s="121"/>
      <c r="H31" s="121"/>
      <c r="I31" s="121"/>
      <c r="J31" s="121"/>
      <c r="K31" s="86"/>
      <c r="L31" s="121"/>
      <c r="M31" s="121"/>
      <c r="N31" s="121"/>
      <c r="O31" s="121"/>
      <c r="P31" s="121"/>
      <c r="Q31" s="121"/>
      <c r="R31" s="121"/>
      <c r="S31" s="87"/>
      <c r="T31" s="87"/>
    </row>
    <row r="32" spans="2:20" ht="10.050000000000001" customHeight="1" x14ac:dyDescent="0.3">
      <c r="B32" s="85"/>
      <c r="C32" s="85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7"/>
      <c r="T32" s="87"/>
    </row>
    <row r="33" spans="2:20" ht="19.2" customHeight="1" x14ac:dyDescent="0.3">
      <c r="B33" s="85"/>
      <c r="C33" s="85"/>
      <c r="D33" s="118" t="str">
        <f>IF(ISBLANK(PARAMETROS!$C$439),"",PARAMETROS!$C$439)</f>
        <v>Apgar 5 minutos:</v>
      </c>
      <c r="E33" s="118"/>
      <c r="F33" s="118"/>
      <c r="G33" s="118"/>
      <c r="H33" s="118"/>
      <c r="I33" s="118"/>
      <c r="J33" s="118"/>
      <c r="K33" s="86"/>
      <c r="L33" s="86"/>
      <c r="M33" s="86"/>
      <c r="N33" s="86"/>
      <c r="O33" s="86"/>
      <c r="P33" s="86"/>
      <c r="Q33" s="86"/>
      <c r="R33" s="86"/>
      <c r="S33" s="87"/>
      <c r="T33" s="87"/>
    </row>
    <row r="34" spans="2:20" ht="10.050000000000001" customHeight="1" x14ac:dyDescent="0.3">
      <c r="B34" s="85"/>
      <c r="C34" s="85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7"/>
      <c r="T34" s="87"/>
    </row>
    <row r="35" spans="2:20" ht="13.05" customHeight="1" x14ac:dyDescent="0.3">
      <c r="B35" s="85"/>
      <c r="C35" s="85"/>
      <c r="D35" s="121"/>
      <c r="E35" s="121"/>
      <c r="F35" s="121"/>
      <c r="G35" s="121"/>
      <c r="H35" s="121"/>
      <c r="I35" s="121"/>
      <c r="J35" s="121"/>
      <c r="K35" s="86"/>
      <c r="L35" s="86"/>
      <c r="M35" s="86"/>
      <c r="N35" s="86"/>
      <c r="O35" s="86"/>
      <c r="P35" s="86"/>
      <c r="Q35" s="86"/>
      <c r="R35" s="86"/>
      <c r="S35" s="87"/>
      <c r="T35" s="87"/>
    </row>
    <row r="36" spans="2:20" ht="13.05" customHeight="1" x14ac:dyDescent="0.3">
      <c r="B36" s="85"/>
      <c r="C36" s="85"/>
      <c r="D36" s="121"/>
      <c r="E36" s="121"/>
      <c r="F36" s="121"/>
      <c r="G36" s="121"/>
      <c r="H36" s="121"/>
      <c r="I36" s="121"/>
      <c r="J36" s="121"/>
      <c r="K36" s="86"/>
      <c r="L36" s="86"/>
      <c r="M36" s="86"/>
      <c r="N36" s="86"/>
      <c r="O36" s="86"/>
      <c r="P36" s="86"/>
      <c r="Q36" s="86"/>
      <c r="R36" s="86"/>
      <c r="S36" s="87"/>
      <c r="T36" s="87"/>
    </row>
    <row r="37" spans="2:20" ht="10.050000000000001" customHeight="1" x14ac:dyDescent="0.3">
      <c r="B37" s="85"/>
      <c r="C37" s="85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7"/>
      <c r="T37" s="87"/>
    </row>
    <row r="38" spans="2:20" ht="10.050000000000001" customHeight="1" thickBot="1" x14ac:dyDescent="0.35">
      <c r="B38" s="85"/>
      <c r="C38" s="88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90"/>
      <c r="T38" s="87"/>
    </row>
    <row r="39" spans="2:20" ht="10.050000000000001" customHeight="1" thickBot="1" x14ac:dyDescent="0.35">
      <c r="B39" s="85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7"/>
    </row>
    <row r="40" spans="2:20" ht="10.050000000000001" customHeight="1" x14ac:dyDescent="0.3">
      <c r="B40" s="85"/>
      <c r="C40" s="82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4"/>
      <c r="T40" s="87"/>
    </row>
    <row r="41" spans="2:20" ht="19.2" customHeight="1" x14ac:dyDescent="0.3">
      <c r="B41" s="85"/>
      <c r="C41" s="85"/>
      <c r="D41" s="115" t="str">
        <f>IF(ISBLANK(PARAMETROS!$C$440),"",PARAMETROS!$C$440)</f>
        <v>MMC Inmediato y Transporte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87"/>
      <c r="T41" s="87"/>
    </row>
    <row r="42" spans="2:20" ht="10.050000000000001" customHeight="1" x14ac:dyDescent="0.3">
      <c r="B42" s="85"/>
      <c r="C42" s="85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7"/>
      <c r="T42" s="87"/>
    </row>
    <row r="43" spans="2:20" ht="19.2" customHeight="1" x14ac:dyDescent="0.3">
      <c r="B43" s="85"/>
      <c r="C43" s="85"/>
      <c r="D43" s="118" t="str">
        <f>IF(ISBLANK(PARAMETROS!$C$441),"",PARAMETROS!$C$441)</f>
        <v>¿Puesta en posición canguro inmediata?:</v>
      </c>
      <c r="E43" s="118"/>
      <c r="F43" s="118"/>
      <c r="G43" s="118"/>
      <c r="H43" s="118"/>
      <c r="I43" s="118"/>
      <c r="J43" s="118"/>
      <c r="K43" s="86"/>
      <c r="L43" s="118" t="str">
        <f>IF(ISBLANK(PARAMETROS!$C$442),"",PARAMETROS!$C$442)</f>
        <v>¿Duración de la posición canguro en el primer día de vida (horas)?:</v>
      </c>
      <c r="M43" s="118"/>
      <c r="N43" s="118"/>
      <c r="O43" s="118"/>
      <c r="P43" s="118"/>
      <c r="Q43" s="118"/>
      <c r="R43" s="118"/>
      <c r="S43" s="87"/>
      <c r="T43" s="87"/>
    </row>
    <row r="44" spans="2:20" ht="10.050000000000001" customHeight="1" x14ac:dyDescent="0.3">
      <c r="B44" s="85"/>
      <c r="C44" s="85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7"/>
      <c r="T44" s="87"/>
    </row>
    <row r="45" spans="2:20" ht="13.05" customHeight="1" x14ac:dyDescent="0.3">
      <c r="B45" s="85"/>
      <c r="C45" s="85"/>
      <c r="D45" s="121"/>
      <c r="E45" s="121"/>
      <c r="F45" s="121"/>
      <c r="G45" s="121"/>
      <c r="H45" s="121"/>
      <c r="I45" s="121"/>
      <c r="J45" s="121"/>
      <c r="K45" s="86"/>
      <c r="L45" s="121"/>
      <c r="M45" s="121"/>
      <c r="N45" s="121"/>
      <c r="O45" s="121"/>
      <c r="P45" s="121"/>
      <c r="Q45" s="121"/>
      <c r="R45" s="121"/>
      <c r="S45" s="87"/>
      <c r="T45" s="87"/>
    </row>
    <row r="46" spans="2:20" ht="13.05" customHeight="1" x14ac:dyDescent="0.3">
      <c r="B46" s="85"/>
      <c r="C46" s="85"/>
      <c r="D46" s="121"/>
      <c r="E46" s="121"/>
      <c r="F46" s="121"/>
      <c r="G46" s="121"/>
      <c r="H46" s="121"/>
      <c r="I46" s="121"/>
      <c r="J46" s="121"/>
      <c r="K46" s="86"/>
      <c r="L46" s="121"/>
      <c r="M46" s="121"/>
      <c r="N46" s="121"/>
      <c r="O46" s="121"/>
      <c r="P46" s="121"/>
      <c r="Q46" s="121"/>
      <c r="R46" s="121"/>
      <c r="S46" s="87"/>
      <c r="T46" s="87"/>
    </row>
    <row r="47" spans="2:20" ht="10.050000000000001" customHeight="1" x14ac:dyDescent="0.3">
      <c r="B47" s="85"/>
      <c r="C47" s="85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7"/>
      <c r="T47" s="87"/>
    </row>
    <row r="48" spans="2:20" ht="19.2" customHeight="1" x14ac:dyDescent="0.3">
      <c r="B48" s="85"/>
      <c r="C48" s="85"/>
      <c r="D48" s="118" t="str">
        <f>IF(ISBLANK(PARAMETROS!$C$443),"",PARAMETROS!$C$443)</f>
        <v>¿Recibió lactancia materna en la primera hora de vida?:</v>
      </c>
      <c r="E48" s="118"/>
      <c r="F48" s="118"/>
      <c r="G48" s="118"/>
      <c r="H48" s="118"/>
      <c r="I48" s="118"/>
      <c r="J48" s="118"/>
      <c r="K48" s="86"/>
      <c r="L48" s="118" t="str">
        <f>IF(ISBLANK(PARAMETROS!$C$444),"",PARAMETROS!$C$444)</f>
        <v>¿Se realiza transporte en posición canguro a URN/alojamiento?:</v>
      </c>
      <c r="M48" s="118"/>
      <c r="N48" s="118"/>
      <c r="O48" s="118"/>
      <c r="P48" s="118"/>
      <c r="Q48" s="118"/>
      <c r="R48" s="118"/>
      <c r="S48" s="87"/>
      <c r="T48" s="87"/>
    </row>
    <row r="49" spans="2:20" ht="10.050000000000001" customHeight="1" x14ac:dyDescent="0.3">
      <c r="B49" s="85"/>
      <c r="C49" s="85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7"/>
      <c r="T49" s="87"/>
    </row>
    <row r="50" spans="2:20" ht="13.05" customHeight="1" x14ac:dyDescent="0.3">
      <c r="B50" s="85"/>
      <c r="C50" s="85"/>
      <c r="D50" s="121"/>
      <c r="E50" s="121"/>
      <c r="F50" s="121"/>
      <c r="G50" s="121"/>
      <c r="H50" s="121"/>
      <c r="I50" s="121"/>
      <c r="J50" s="121"/>
      <c r="K50" s="86"/>
      <c r="L50" s="121"/>
      <c r="M50" s="121"/>
      <c r="N50" s="121"/>
      <c r="O50" s="121"/>
      <c r="P50" s="121"/>
      <c r="Q50" s="121"/>
      <c r="R50" s="121"/>
      <c r="S50" s="87"/>
      <c r="T50" s="87"/>
    </row>
    <row r="51" spans="2:20" ht="13.05" customHeight="1" x14ac:dyDescent="0.3">
      <c r="B51" s="85"/>
      <c r="C51" s="85"/>
      <c r="D51" s="121"/>
      <c r="E51" s="121"/>
      <c r="F51" s="121"/>
      <c r="G51" s="121"/>
      <c r="H51" s="121"/>
      <c r="I51" s="121"/>
      <c r="J51" s="121"/>
      <c r="K51" s="86"/>
      <c r="L51" s="121"/>
      <c r="M51" s="121"/>
      <c r="N51" s="121"/>
      <c r="O51" s="121"/>
      <c r="P51" s="121"/>
      <c r="Q51" s="121"/>
      <c r="R51" s="121"/>
      <c r="S51" s="87"/>
      <c r="T51" s="87"/>
    </row>
    <row r="52" spans="2:20" ht="10.050000000000001" customHeight="1" x14ac:dyDescent="0.3">
      <c r="B52" s="85"/>
      <c r="C52" s="85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7"/>
      <c r="T52" s="87"/>
    </row>
    <row r="53" spans="2:20" ht="19.2" customHeight="1" x14ac:dyDescent="0.3">
      <c r="B53" s="85"/>
      <c r="C53" s="85"/>
      <c r="D53" s="118" t="str">
        <f>IF(ISBLANK(PARAMETROS!$C$445),"",PARAMETROS!$C$445)</f>
        <v>¿Se realiza transporte en posición canguro para las remisiones a otra institución?:</v>
      </c>
      <c r="E53" s="118"/>
      <c r="F53" s="118"/>
      <c r="G53" s="118"/>
      <c r="H53" s="118"/>
      <c r="I53" s="118"/>
      <c r="J53" s="118"/>
      <c r="K53" s="86"/>
      <c r="L53" s="86"/>
      <c r="M53" s="86"/>
      <c r="N53" s="86"/>
      <c r="O53" s="86"/>
      <c r="P53" s="86"/>
      <c r="Q53" s="86"/>
      <c r="R53" s="86"/>
      <c r="S53" s="87"/>
      <c r="T53" s="87"/>
    </row>
    <row r="54" spans="2:20" ht="10.050000000000001" customHeight="1" x14ac:dyDescent="0.3">
      <c r="B54" s="85"/>
      <c r="C54" s="85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7"/>
      <c r="T54" s="87"/>
    </row>
    <row r="55" spans="2:20" ht="13.05" customHeight="1" x14ac:dyDescent="0.3">
      <c r="B55" s="85"/>
      <c r="C55" s="85"/>
      <c r="D55" s="121"/>
      <c r="E55" s="121"/>
      <c r="F55" s="121"/>
      <c r="G55" s="121"/>
      <c r="H55" s="121"/>
      <c r="I55" s="121"/>
      <c r="J55" s="121"/>
      <c r="K55" s="86"/>
      <c r="L55" s="86"/>
      <c r="M55" s="86"/>
      <c r="N55" s="86"/>
      <c r="O55" s="86"/>
      <c r="P55" s="86"/>
      <c r="Q55" s="86"/>
      <c r="R55" s="86"/>
      <c r="S55" s="87"/>
      <c r="T55" s="87"/>
    </row>
    <row r="56" spans="2:20" ht="13.05" customHeight="1" x14ac:dyDescent="0.3">
      <c r="B56" s="85"/>
      <c r="C56" s="85"/>
      <c r="D56" s="121"/>
      <c r="E56" s="121"/>
      <c r="F56" s="121"/>
      <c r="G56" s="121"/>
      <c r="H56" s="121"/>
      <c r="I56" s="121"/>
      <c r="J56" s="121"/>
      <c r="K56" s="86"/>
      <c r="L56" s="86"/>
      <c r="M56" s="86"/>
      <c r="N56" s="86"/>
      <c r="O56" s="86"/>
      <c r="P56" s="86"/>
      <c r="Q56" s="86"/>
      <c r="R56" s="86"/>
      <c r="S56" s="87"/>
      <c r="T56" s="87"/>
    </row>
    <row r="57" spans="2:20" ht="10.050000000000001" customHeight="1" x14ac:dyDescent="0.3">
      <c r="B57" s="85"/>
      <c r="C57" s="85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7"/>
      <c r="T57" s="87"/>
    </row>
    <row r="58" spans="2:20" ht="10.050000000000001" customHeight="1" thickBot="1" x14ac:dyDescent="0.35">
      <c r="B58" s="85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90"/>
      <c r="T58" s="87"/>
    </row>
    <row r="59" spans="2:20" ht="10.050000000000001" customHeight="1" thickBot="1" x14ac:dyDescent="0.35">
      <c r="B59" s="85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7"/>
    </row>
    <row r="60" spans="2:20" ht="10.050000000000001" customHeight="1" x14ac:dyDescent="0.3">
      <c r="B60" s="85"/>
      <c r="C60" s="82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4"/>
      <c r="T60" s="87"/>
    </row>
    <row r="61" spans="2:20" ht="19.2" customHeight="1" x14ac:dyDescent="0.3">
      <c r="B61" s="85"/>
      <c r="C61" s="85"/>
      <c r="D61" s="115" t="str">
        <f>IF(ISBLANK(PARAMETROS!$C$446),"",PARAMETROS!$C$446)</f>
        <v>Destino del Paciente</v>
      </c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87"/>
      <c r="T61" s="87"/>
    </row>
    <row r="62" spans="2:20" ht="10.050000000000001" customHeight="1" x14ac:dyDescent="0.3">
      <c r="B62" s="85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7"/>
      <c r="T62" s="87"/>
    </row>
    <row r="63" spans="2:20" ht="19.2" customHeight="1" x14ac:dyDescent="0.3">
      <c r="B63" s="85"/>
      <c r="C63" s="85"/>
      <c r="D63" s="118" t="str">
        <f>IF(ISBLANK(PARAMETROS!$C$447),"",PARAMETROS!$C$447)</f>
        <v>Destino del paciente posterior a sala de partos:</v>
      </c>
      <c r="E63" s="118"/>
      <c r="F63" s="118"/>
      <c r="G63" s="118"/>
      <c r="H63" s="118"/>
      <c r="I63" s="118"/>
      <c r="J63" s="118"/>
      <c r="K63" s="86"/>
      <c r="L63" s="118" t="str">
        <f>IF(ISBLANK(PARAMETROS!$C$448),"",PARAMETROS!$C$448)</f>
        <v>Fecha de salida desde la sala de partos:</v>
      </c>
      <c r="M63" s="118"/>
      <c r="N63" s="118"/>
      <c r="O63" s="118"/>
      <c r="P63" s="118"/>
      <c r="Q63" s="118"/>
      <c r="R63" s="118"/>
      <c r="S63" s="87"/>
      <c r="T63" s="87"/>
    </row>
    <row r="64" spans="2:20" ht="10.050000000000001" customHeight="1" x14ac:dyDescent="0.3">
      <c r="B64" s="85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7"/>
      <c r="T64" s="87"/>
    </row>
    <row r="65" spans="2:20" ht="13.05" customHeight="1" x14ac:dyDescent="0.3">
      <c r="B65" s="85"/>
      <c r="C65" s="85"/>
      <c r="D65" s="121"/>
      <c r="E65" s="121"/>
      <c r="F65" s="121"/>
      <c r="G65" s="121"/>
      <c r="H65" s="121"/>
      <c r="I65" s="121"/>
      <c r="J65" s="121"/>
      <c r="K65" s="86"/>
      <c r="L65" s="123"/>
      <c r="M65" s="123"/>
      <c r="N65" s="123"/>
      <c r="O65" s="123"/>
      <c r="P65" s="123"/>
      <c r="Q65" s="123"/>
      <c r="R65" s="123"/>
      <c r="S65" s="87"/>
      <c r="T65" s="87"/>
    </row>
    <row r="66" spans="2:20" ht="13.05" customHeight="1" x14ac:dyDescent="0.3">
      <c r="B66" s="85"/>
      <c r="C66" s="85"/>
      <c r="D66" s="121"/>
      <c r="E66" s="121"/>
      <c r="F66" s="121"/>
      <c r="G66" s="121"/>
      <c r="H66" s="121"/>
      <c r="I66" s="121"/>
      <c r="J66" s="121"/>
      <c r="K66" s="86"/>
      <c r="L66" s="123"/>
      <c r="M66" s="123"/>
      <c r="N66" s="123"/>
      <c r="O66" s="123"/>
      <c r="P66" s="123"/>
      <c r="Q66" s="123"/>
      <c r="R66" s="123"/>
      <c r="S66" s="87"/>
      <c r="T66" s="87"/>
    </row>
    <row r="67" spans="2:20" ht="10.050000000000001" customHeight="1" x14ac:dyDescent="0.3">
      <c r="B67" s="85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7"/>
      <c r="T67" s="87"/>
    </row>
    <row r="68" spans="2:20" ht="10.050000000000001" customHeight="1" thickBot="1" x14ac:dyDescent="0.35">
      <c r="B68" s="85"/>
      <c r="C68" s="88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90"/>
      <c r="T68" s="87"/>
    </row>
    <row r="69" spans="2:20" ht="10.050000000000001" customHeight="1" x14ac:dyDescent="0.3">
      <c r="B69" s="85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7"/>
    </row>
    <row r="70" spans="2:20" ht="13.05" customHeight="1" x14ac:dyDescent="0.3">
      <c r="B70" s="8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7"/>
    </row>
    <row r="71" spans="2:20" ht="13.05" customHeight="1" x14ac:dyDescent="0.3">
      <c r="B71" s="85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7"/>
    </row>
    <row r="72" spans="2:20" ht="10.050000000000001" customHeight="1" thickBot="1" x14ac:dyDescent="0.35">
      <c r="B72" s="88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90"/>
    </row>
    <row r="73" spans="2:20" ht="19.2" customHeight="1" x14ac:dyDescent="0.3"/>
    <row r="74" spans="2:20" ht="10.050000000000001" customHeight="1" x14ac:dyDescent="0.3">
      <c r="B74" s="85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7"/>
    </row>
    <row r="75" spans="2:20" ht="13.05" customHeight="1" x14ac:dyDescent="0.3">
      <c r="B75" s="85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7"/>
    </row>
    <row r="76" spans="2:20" ht="13.05" customHeight="1" x14ac:dyDescent="0.3">
      <c r="B76" s="85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7"/>
    </row>
    <row r="77" spans="2:20" ht="10.050000000000001" customHeight="1" thickBot="1" x14ac:dyDescent="0.35">
      <c r="B77" s="88"/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90"/>
    </row>
    <row r="78" spans="2:20" ht="10.050000000000001" customHeight="1" thickBot="1" x14ac:dyDescent="0.35"/>
    <row r="79" spans="2:20" ht="13.05" customHeight="1" x14ac:dyDescent="0.3">
      <c r="B79" s="82"/>
      <c r="C79" s="83"/>
      <c r="D79" s="124" t="str">
        <f>IF(ISBLANK(PARAMETROS!$C$449),"",PARAMETROS!$C$449)</f>
        <v>Alojamiento Conjunto</v>
      </c>
      <c r="E79" s="124"/>
      <c r="F79" s="124"/>
      <c r="G79" s="124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4"/>
    </row>
    <row r="80" spans="2:20" ht="13.05" customHeight="1" thickBot="1" x14ac:dyDescent="0.35">
      <c r="B80" s="85"/>
      <c r="C80" s="89"/>
      <c r="D80" s="125"/>
      <c r="E80" s="125"/>
      <c r="F80" s="125"/>
      <c r="G80" s="125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7"/>
    </row>
    <row r="81" spans="2:20" ht="10.050000000000001" customHeight="1" x14ac:dyDescent="0.3">
      <c r="B81" s="85"/>
      <c r="C81" s="82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4"/>
      <c r="T81" s="87"/>
    </row>
    <row r="82" spans="2:20" ht="19.2" customHeight="1" x14ac:dyDescent="0.3">
      <c r="B82" s="85"/>
      <c r="C82" s="85"/>
      <c r="D82" s="115" t="str">
        <f>IF(ISBLANK(PARAMETROS!$C$450),"",PARAMETROS!$C$450)</f>
        <v>Admisión</v>
      </c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87"/>
      <c r="T82" s="87"/>
    </row>
    <row r="83" spans="2:20" ht="10.050000000000001" customHeight="1" x14ac:dyDescent="0.3">
      <c r="B83" s="85"/>
      <c r="C83" s="85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7"/>
      <c r="T83" s="87"/>
    </row>
    <row r="84" spans="2:20" ht="19.2" customHeight="1" x14ac:dyDescent="0.3">
      <c r="B84" s="85"/>
      <c r="C84" s="85"/>
      <c r="D84" s="118" t="str">
        <f>IF(ISBLANK(PARAMETROS!$C$451),"",PARAMETROS!$C$451)</f>
        <v>Fecha de entrada al alojamiento conjunto:</v>
      </c>
      <c r="E84" s="118"/>
      <c r="F84" s="118"/>
      <c r="G84" s="118"/>
      <c r="H84" s="118"/>
      <c r="I84" s="118"/>
      <c r="J84" s="118"/>
      <c r="K84" s="86"/>
      <c r="L84" s="118" t="str">
        <f>IF(ISBLANK(PARAMETROS!$C$452),"",PARAMETROS!$C$452)</f>
        <v>De dónde viene el niño canguro:</v>
      </c>
      <c r="M84" s="118"/>
      <c r="N84" s="118"/>
      <c r="O84" s="118"/>
      <c r="P84" s="118"/>
      <c r="Q84" s="118"/>
      <c r="R84" s="118"/>
      <c r="S84" s="87"/>
      <c r="T84" s="87"/>
    </row>
    <row r="85" spans="2:20" ht="10.050000000000001" customHeight="1" x14ac:dyDescent="0.3">
      <c r="B85" s="85"/>
      <c r="C85" s="85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7"/>
      <c r="T85" s="87"/>
    </row>
    <row r="86" spans="2:20" ht="13.05" customHeight="1" x14ac:dyDescent="0.3">
      <c r="B86" s="85"/>
      <c r="C86" s="85"/>
      <c r="D86" s="123"/>
      <c r="E86" s="123"/>
      <c r="F86" s="123"/>
      <c r="G86" s="123"/>
      <c r="H86" s="123"/>
      <c r="I86" s="123"/>
      <c r="J86" s="123"/>
      <c r="K86" s="86"/>
      <c r="L86" s="121"/>
      <c r="M86" s="121"/>
      <c r="N86" s="121"/>
      <c r="O86" s="121"/>
      <c r="P86" s="121"/>
      <c r="Q86" s="121"/>
      <c r="R86" s="121"/>
      <c r="S86" s="87"/>
      <c r="T86" s="87"/>
    </row>
    <row r="87" spans="2:20" ht="13.05" customHeight="1" x14ac:dyDescent="0.3">
      <c r="B87" s="85"/>
      <c r="C87" s="85"/>
      <c r="D87" s="123"/>
      <c r="E87" s="123"/>
      <c r="F87" s="123"/>
      <c r="G87" s="123"/>
      <c r="H87" s="123"/>
      <c r="I87" s="123"/>
      <c r="J87" s="123"/>
      <c r="K87" s="86"/>
      <c r="L87" s="121"/>
      <c r="M87" s="121"/>
      <c r="N87" s="121"/>
      <c r="O87" s="121"/>
      <c r="P87" s="121"/>
      <c r="Q87" s="121"/>
      <c r="R87" s="121"/>
      <c r="S87" s="87"/>
      <c r="T87" s="87"/>
    </row>
    <row r="88" spans="2:20" ht="10.050000000000001" customHeight="1" x14ac:dyDescent="0.3">
      <c r="B88" s="85"/>
      <c r="C88" s="85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7"/>
      <c r="T88" s="87"/>
    </row>
    <row r="89" spans="2:20" ht="19.2" customHeight="1" x14ac:dyDescent="0.3">
      <c r="B89" s="85"/>
      <c r="C89" s="85"/>
      <c r="D89" s="118" t="str">
        <f>IF(ISBLANK(PARAMETROS!$C$453),"",PARAMETROS!$C$453)</f>
        <v>Duración de la estadía en el alojamiento conjunto (días):</v>
      </c>
      <c r="E89" s="118"/>
      <c r="F89" s="118"/>
      <c r="G89" s="118"/>
      <c r="H89" s="118"/>
      <c r="I89" s="118"/>
      <c r="J89" s="118"/>
      <c r="K89" s="86"/>
      <c r="L89" s="118" t="str">
        <f>IF(ISBLANK(PARAMETROS!$C$454),"",PARAMETROS!$C$454)</f>
        <v>Peso a la admisión de alojamiento conjunto (gramos):</v>
      </c>
      <c r="M89" s="118"/>
      <c r="N89" s="118"/>
      <c r="O89" s="118"/>
      <c r="P89" s="118"/>
      <c r="Q89" s="118"/>
      <c r="R89" s="118"/>
      <c r="S89" s="87"/>
      <c r="T89" s="87"/>
    </row>
    <row r="90" spans="2:20" ht="10.050000000000001" customHeight="1" x14ac:dyDescent="0.3">
      <c r="B90" s="85"/>
      <c r="C90" s="85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7"/>
      <c r="T90" s="87"/>
    </row>
    <row r="91" spans="2:20" ht="13.05" customHeight="1" x14ac:dyDescent="0.3">
      <c r="B91" s="85"/>
      <c r="C91" s="85"/>
      <c r="D91" s="121"/>
      <c r="E91" s="121"/>
      <c r="F91" s="121"/>
      <c r="G91" s="121"/>
      <c r="H91" s="121"/>
      <c r="I91" s="121"/>
      <c r="J91" s="121"/>
      <c r="K91" s="86"/>
      <c r="L91" s="121"/>
      <c r="M91" s="121"/>
      <c r="N91" s="121"/>
      <c r="O91" s="121"/>
      <c r="P91" s="121"/>
      <c r="Q91" s="121"/>
      <c r="R91" s="121"/>
      <c r="S91" s="87"/>
      <c r="T91" s="87"/>
    </row>
    <row r="92" spans="2:20" ht="13.05" customHeight="1" x14ac:dyDescent="0.3">
      <c r="B92" s="85"/>
      <c r="C92" s="85"/>
      <c r="D92" s="121"/>
      <c r="E92" s="121"/>
      <c r="F92" s="121"/>
      <c r="G92" s="121"/>
      <c r="H92" s="121"/>
      <c r="I92" s="121"/>
      <c r="J92" s="121"/>
      <c r="K92" s="86"/>
      <c r="L92" s="121"/>
      <c r="M92" s="121"/>
      <c r="N92" s="121"/>
      <c r="O92" s="121"/>
      <c r="P92" s="121"/>
      <c r="Q92" s="121"/>
      <c r="R92" s="121"/>
      <c r="S92" s="87"/>
      <c r="T92" s="87"/>
    </row>
    <row r="93" spans="2:20" ht="10.050000000000001" customHeight="1" x14ac:dyDescent="0.3">
      <c r="B93" s="85"/>
      <c r="C93" s="85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7"/>
      <c r="T93" s="87"/>
    </row>
    <row r="94" spans="2:20" ht="19.2" customHeight="1" x14ac:dyDescent="0.3">
      <c r="B94" s="85"/>
      <c r="C94" s="85"/>
      <c r="D94" s="118" t="str">
        <f>IF(ISBLANK(PARAMETROS!$C$455),"",PARAMETROS!$C$455)</f>
        <v>Talla a la admisión de alojamiento conjunto (cm):</v>
      </c>
      <c r="E94" s="118"/>
      <c r="F94" s="118"/>
      <c r="G94" s="118"/>
      <c r="H94" s="118"/>
      <c r="I94" s="118"/>
      <c r="J94" s="118"/>
      <c r="K94" s="86"/>
      <c r="L94" s="118" t="str">
        <f>IF(ISBLANK(PARAMETROS!$C$456),"",PARAMETROS!$C$456)</f>
        <v>Perímetro cefálico a la admisión de alojamiento conjunto (cm):</v>
      </c>
      <c r="M94" s="118"/>
      <c r="N94" s="118"/>
      <c r="O94" s="118"/>
      <c r="P94" s="118"/>
      <c r="Q94" s="118"/>
      <c r="R94" s="118"/>
      <c r="S94" s="87"/>
      <c r="T94" s="87"/>
    </row>
    <row r="95" spans="2:20" ht="10.050000000000001" customHeight="1" x14ac:dyDescent="0.3">
      <c r="B95" s="85"/>
      <c r="C95" s="85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7"/>
      <c r="T95" s="87"/>
    </row>
    <row r="96" spans="2:20" ht="13.05" customHeight="1" x14ac:dyDescent="0.3">
      <c r="B96" s="85"/>
      <c r="C96" s="85"/>
      <c r="D96" s="121"/>
      <c r="E96" s="121"/>
      <c r="F96" s="121"/>
      <c r="G96" s="121"/>
      <c r="H96" s="121"/>
      <c r="I96" s="121"/>
      <c r="J96" s="121"/>
      <c r="K96" s="86"/>
      <c r="L96" s="121"/>
      <c r="M96" s="121"/>
      <c r="N96" s="121"/>
      <c r="O96" s="121"/>
      <c r="P96" s="121"/>
      <c r="Q96" s="121"/>
      <c r="R96" s="121"/>
      <c r="S96" s="87"/>
      <c r="T96" s="87"/>
    </row>
    <row r="97" spans="2:20" ht="13.05" customHeight="1" x14ac:dyDescent="0.3">
      <c r="B97" s="85"/>
      <c r="C97" s="85"/>
      <c r="D97" s="121"/>
      <c r="E97" s="121"/>
      <c r="F97" s="121"/>
      <c r="G97" s="121"/>
      <c r="H97" s="121"/>
      <c r="I97" s="121"/>
      <c r="J97" s="121"/>
      <c r="K97" s="86"/>
      <c r="L97" s="121"/>
      <c r="M97" s="121"/>
      <c r="N97" s="121"/>
      <c r="O97" s="121"/>
      <c r="P97" s="121"/>
      <c r="Q97" s="121"/>
      <c r="R97" s="121"/>
      <c r="S97" s="87"/>
      <c r="T97" s="87"/>
    </row>
    <row r="98" spans="2:20" ht="10.050000000000001" customHeight="1" x14ac:dyDescent="0.3">
      <c r="B98" s="85"/>
      <c r="C98" s="85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7"/>
      <c r="T98" s="87"/>
    </row>
    <row r="99" spans="2:20" ht="10.050000000000001" customHeight="1" thickBot="1" x14ac:dyDescent="0.35">
      <c r="B99" s="85"/>
      <c r="C99" s="88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90"/>
      <c r="T99" s="87"/>
    </row>
    <row r="100" spans="2:20" ht="10.050000000000001" customHeight="1" thickBot="1" x14ac:dyDescent="0.35">
      <c r="B100" s="85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7"/>
    </row>
    <row r="101" spans="2:20" ht="10.050000000000001" customHeight="1" x14ac:dyDescent="0.3">
      <c r="B101" s="85"/>
      <c r="C101" s="82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4"/>
      <c r="T101" s="87"/>
    </row>
    <row r="102" spans="2:20" ht="19.2" customHeight="1" x14ac:dyDescent="0.3">
      <c r="B102" s="85"/>
      <c r="C102" s="85"/>
      <c r="D102" s="115" t="str">
        <f>IF(ISBLANK(PARAMETROS!$C$457),"",PARAMETROS!$C$457)</f>
        <v>Recuperación de Peso al Nacer</v>
      </c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87"/>
      <c r="T102" s="87"/>
    </row>
    <row r="103" spans="2:20" ht="10.050000000000001" customHeight="1" x14ac:dyDescent="0.3">
      <c r="B103" s="85"/>
      <c r="C103" s="85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7"/>
      <c r="T103" s="87"/>
    </row>
    <row r="104" spans="2:20" ht="19.2" customHeight="1" x14ac:dyDescent="0.3">
      <c r="B104" s="85"/>
      <c r="C104" s="85"/>
      <c r="D104" s="118" t="str">
        <f>IF(ISBLANK(PARAMETROS!$C$458),"",PARAMETROS!$C$458)</f>
        <v>Edad cronológica en la que el niño canguro recupera su peso de nacimiento (días):</v>
      </c>
      <c r="E104" s="118"/>
      <c r="F104" s="118"/>
      <c r="G104" s="118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87"/>
      <c r="T104" s="87"/>
    </row>
    <row r="105" spans="2:20" ht="10.050000000000001" customHeight="1" x14ac:dyDescent="0.3">
      <c r="B105" s="85"/>
      <c r="C105" s="85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7"/>
      <c r="T105" s="87"/>
    </row>
    <row r="106" spans="2:20" ht="13.05" customHeight="1" x14ac:dyDescent="0.3">
      <c r="B106" s="85"/>
      <c r="C106" s="85"/>
      <c r="D106" s="121"/>
      <c r="E106" s="121"/>
      <c r="F106" s="121"/>
      <c r="G106" s="121"/>
      <c r="H106" s="121"/>
      <c r="I106" s="121"/>
      <c r="J106" s="121"/>
      <c r="K106" s="86"/>
      <c r="L106" s="86"/>
      <c r="M106" s="86"/>
      <c r="N106" s="86"/>
      <c r="O106" s="86"/>
      <c r="P106" s="86"/>
      <c r="Q106" s="86"/>
      <c r="R106" s="86"/>
      <c r="S106" s="87"/>
      <c r="T106" s="87"/>
    </row>
    <row r="107" spans="2:20" ht="13.05" customHeight="1" x14ac:dyDescent="0.3">
      <c r="B107" s="85"/>
      <c r="C107" s="85"/>
      <c r="D107" s="121"/>
      <c r="E107" s="121"/>
      <c r="F107" s="121"/>
      <c r="G107" s="121"/>
      <c r="H107" s="121"/>
      <c r="I107" s="121"/>
      <c r="J107" s="121"/>
      <c r="K107" s="86"/>
      <c r="L107" s="86"/>
      <c r="M107" s="86"/>
      <c r="N107" s="86"/>
      <c r="O107" s="86"/>
      <c r="P107" s="86"/>
      <c r="Q107" s="86"/>
      <c r="R107" s="86"/>
      <c r="S107" s="87"/>
      <c r="T107" s="87"/>
    </row>
    <row r="108" spans="2:20" ht="10.050000000000001" customHeight="1" x14ac:dyDescent="0.3">
      <c r="B108" s="85"/>
      <c r="C108" s="85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7"/>
      <c r="T108" s="87"/>
    </row>
    <row r="109" spans="2:20" ht="10.050000000000001" customHeight="1" thickBot="1" x14ac:dyDescent="0.35">
      <c r="B109" s="85"/>
      <c r="C109" s="88"/>
      <c r="D109" s="89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90"/>
      <c r="T109" s="87"/>
    </row>
    <row r="110" spans="2:20" ht="10.050000000000001" customHeight="1" thickBot="1" x14ac:dyDescent="0.35">
      <c r="B110" s="85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7"/>
    </row>
    <row r="111" spans="2:20" ht="10.050000000000001" customHeight="1" x14ac:dyDescent="0.3">
      <c r="B111" s="85"/>
      <c r="C111" s="82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4"/>
      <c r="T111" s="87"/>
    </row>
    <row r="112" spans="2:20" ht="19.2" customHeight="1" x14ac:dyDescent="0.3">
      <c r="B112" s="85"/>
      <c r="C112" s="85"/>
      <c r="D112" s="115" t="str">
        <f>IF(ISBLANK(PARAMETROS!$C$459),"",PARAMETROS!$C$459)</f>
        <v>Finalización de Posición Canguro</v>
      </c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87"/>
      <c r="T112" s="87"/>
    </row>
    <row r="113" spans="2:20" ht="10.050000000000001" customHeight="1" x14ac:dyDescent="0.3">
      <c r="B113" s="85"/>
      <c r="C113" s="85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7"/>
      <c r="T113" s="87"/>
    </row>
    <row r="114" spans="2:20" ht="19.2" customHeight="1" x14ac:dyDescent="0.3">
      <c r="B114" s="85"/>
      <c r="C114" s="85"/>
      <c r="D114" s="118" t="str">
        <f>IF(ISBLANK(PARAMETROS!$C$460),"",PARAMETROS!$C$460)</f>
        <v>Edad cronológica en la que el niño abandona la posición canguro (días):</v>
      </c>
      <c r="E114" s="118"/>
      <c r="F114" s="118"/>
      <c r="G114" s="118"/>
      <c r="H114" s="118"/>
      <c r="I114" s="118"/>
      <c r="J114" s="118"/>
      <c r="K114" s="86"/>
      <c r="L114" s="118" t="str">
        <f>IF(ISBLANK(PARAMETROS!$C$462),"",PARAMETROS!$C$462)</f>
        <v>Peso cuando el niño abandona la posición canguro (gramos):</v>
      </c>
      <c r="M114" s="118"/>
      <c r="N114" s="118"/>
      <c r="O114" s="118"/>
      <c r="P114" s="118"/>
      <c r="Q114" s="118"/>
      <c r="R114" s="118"/>
      <c r="S114" s="87"/>
      <c r="T114" s="87"/>
    </row>
    <row r="115" spans="2:20" ht="10.050000000000001" customHeight="1" x14ac:dyDescent="0.3">
      <c r="B115" s="85"/>
      <c r="C115" s="85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7"/>
      <c r="T115" s="87"/>
    </row>
    <row r="116" spans="2:20" ht="13.05" customHeight="1" x14ac:dyDescent="0.3">
      <c r="B116" s="85"/>
      <c r="C116" s="85"/>
      <c r="D116" s="121"/>
      <c r="E116" s="121"/>
      <c r="F116" s="121"/>
      <c r="G116" s="121"/>
      <c r="H116" s="121"/>
      <c r="I116" s="121"/>
      <c r="J116" s="121"/>
      <c r="K116" s="86"/>
      <c r="L116" s="121"/>
      <c r="M116" s="121"/>
      <c r="N116" s="121"/>
      <c r="O116" s="121"/>
      <c r="P116" s="121"/>
      <c r="Q116" s="121"/>
      <c r="R116" s="121"/>
      <c r="S116" s="87"/>
      <c r="T116" s="87"/>
    </row>
    <row r="117" spans="2:20" ht="13.05" customHeight="1" x14ac:dyDescent="0.3">
      <c r="B117" s="85"/>
      <c r="C117" s="85"/>
      <c r="D117" s="121"/>
      <c r="E117" s="121"/>
      <c r="F117" s="121"/>
      <c r="G117" s="121"/>
      <c r="H117" s="121"/>
      <c r="I117" s="121"/>
      <c r="J117" s="121"/>
      <c r="K117" s="86"/>
      <c r="L117" s="121"/>
      <c r="M117" s="121"/>
      <c r="N117" s="121"/>
      <c r="O117" s="121"/>
      <c r="P117" s="121"/>
      <c r="Q117" s="121"/>
      <c r="R117" s="121"/>
      <c r="S117" s="87"/>
      <c r="T117" s="87"/>
    </row>
    <row r="118" spans="2:20" ht="10.050000000000001" customHeight="1" x14ac:dyDescent="0.3">
      <c r="B118" s="85"/>
      <c r="C118" s="85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7"/>
      <c r="T118" s="87"/>
    </row>
    <row r="119" spans="2:20" ht="19.2" customHeight="1" x14ac:dyDescent="0.3">
      <c r="B119" s="85"/>
      <c r="C119" s="85"/>
      <c r="D119" s="118" t="str">
        <f>IF(ISBLANK(PARAMETROS!$C$461),"",PARAMETROS!$C$461)</f>
        <v>Talla cuando el niño abandona la posición canguro (cm):</v>
      </c>
      <c r="E119" s="118"/>
      <c r="F119" s="118"/>
      <c r="G119" s="118"/>
      <c r="H119" s="118"/>
      <c r="I119" s="118"/>
      <c r="J119" s="118"/>
      <c r="K119" s="86"/>
      <c r="L119" s="118" t="str">
        <f>IF(ISBLANK(PARAMETROS!$C$463),"",PARAMETROS!$C$463)</f>
        <v>Perímetro cefálico cuando el niño abandona la posición canguro (cm):</v>
      </c>
      <c r="M119" s="118"/>
      <c r="N119" s="118"/>
      <c r="O119" s="118"/>
      <c r="P119" s="118"/>
      <c r="Q119" s="118"/>
      <c r="R119" s="118"/>
      <c r="S119" s="87"/>
      <c r="T119" s="87"/>
    </row>
    <row r="120" spans="2:20" ht="10.050000000000001" customHeight="1" x14ac:dyDescent="0.3">
      <c r="B120" s="85"/>
      <c r="C120" s="85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7"/>
      <c r="T120" s="87"/>
    </row>
    <row r="121" spans="2:20" ht="13.05" customHeight="1" x14ac:dyDescent="0.3">
      <c r="B121" s="85"/>
      <c r="C121" s="85"/>
      <c r="D121" s="121"/>
      <c r="E121" s="121"/>
      <c r="F121" s="121"/>
      <c r="G121" s="121"/>
      <c r="H121" s="121"/>
      <c r="I121" s="121"/>
      <c r="J121" s="121"/>
      <c r="K121" s="86"/>
      <c r="L121" s="121"/>
      <c r="M121" s="121"/>
      <c r="N121" s="121"/>
      <c r="O121" s="121"/>
      <c r="P121" s="121"/>
      <c r="Q121" s="121"/>
      <c r="R121" s="121"/>
      <c r="S121" s="87"/>
      <c r="T121" s="87"/>
    </row>
    <row r="122" spans="2:20" ht="13.05" customHeight="1" x14ac:dyDescent="0.3">
      <c r="B122" s="85"/>
      <c r="C122" s="85"/>
      <c r="D122" s="121"/>
      <c r="E122" s="121"/>
      <c r="F122" s="121"/>
      <c r="G122" s="121"/>
      <c r="H122" s="121"/>
      <c r="I122" s="121"/>
      <c r="J122" s="121"/>
      <c r="K122" s="86"/>
      <c r="L122" s="121"/>
      <c r="M122" s="121"/>
      <c r="N122" s="121"/>
      <c r="O122" s="121"/>
      <c r="P122" s="121"/>
      <c r="Q122" s="121"/>
      <c r="R122" s="121"/>
      <c r="S122" s="87"/>
      <c r="T122" s="87"/>
    </row>
    <row r="123" spans="2:20" ht="10.050000000000001" customHeight="1" x14ac:dyDescent="0.3">
      <c r="B123" s="85"/>
      <c r="C123" s="85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7"/>
      <c r="T123" s="87"/>
    </row>
    <row r="124" spans="2:20" ht="10.050000000000001" customHeight="1" thickBot="1" x14ac:dyDescent="0.35">
      <c r="B124" s="85"/>
      <c r="C124" s="88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90"/>
      <c r="T124" s="87"/>
    </row>
    <row r="125" spans="2:20" ht="10.050000000000001" customHeight="1" thickBot="1" x14ac:dyDescent="0.35">
      <c r="B125" s="85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7"/>
    </row>
    <row r="126" spans="2:20" ht="10.050000000000001" customHeight="1" x14ac:dyDescent="0.3">
      <c r="B126" s="85"/>
      <c r="C126" s="82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83"/>
      <c r="P126" s="83"/>
      <c r="Q126" s="83"/>
      <c r="R126" s="83"/>
      <c r="S126" s="84"/>
      <c r="T126" s="87"/>
    </row>
    <row r="127" spans="2:20" ht="19.2" customHeight="1" x14ac:dyDescent="0.3">
      <c r="B127" s="85"/>
      <c r="C127" s="85"/>
      <c r="D127" s="115" t="str">
        <f>IF(ISBLANK(PARAMETROS!$C$464),"",PARAMETROS!$C$464)</f>
        <v>Salida</v>
      </c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87"/>
      <c r="T127" s="87"/>
    </row>
    <row r="128" spans="2:20" ht="10.050000000000001" customHeight="1" x14ac:dyDescent="0.3">
      <c r="B128" s="85"/>
      <c r="C128" s="85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7"/>
      <c r="T128" s="87"/>
    </row>
    <row r="129" spans="2:20" ht="19.2" customHeight="1" x14ac:dyDescent="0.3">
      <c r="B129" s="85"/>
      <c r="C129" s="85"/>
      <c r="D129" s="118" t="str">
        <f>IF(ISBLANK(PARAMETROS!$C$465),"",PARAMETROS!$C$465)</f>
        <v>Peso a la salida del alojamiento conjunto (gramos):</v>
      </c>
      <c r="E129" s="118"/>
      <c r="F129" s="118"/>
      <c r="G129" s="118"/>
      <c r="H129" s="118"/>
      <c r="I129" s="118"/>
      <c r="J129" s="118"/>
      <c r="K129" s="86"/>
      <c r="L129" s="118" t="str">
        <f>IF(ISBLANK(PARAMETROS!$C$466),"",PARAMETROS!$C$466)</f>
        <v>Talla a la salida del alojamiento conjunto (cm):</v>
      </c>
      <c r="M129" s="118"/>
      <c r="N129" s="118"/>
      <c r="O129" s="118"/>
      <c r="P129" s="118"/>
      <c r="Q129" s="118"/>
      <c r="R129" s="118"/>
      <c r="S129" s="87"/>
      <c r="T129" s="87"/>
    </row>
    <row r="130" spans="2:20" ht="10.050000000000001" customHeight="1" x14ac:dyDescent="0.3">
      <c r="B130" s="85"/>
      <c r="C130" s="85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7"/>
      <c r="T130" s="87"/>
    </row>
    <row r="131" spans="2:20" ht="13.05" customHeight="1" x14ac:dyDescent="0.3">
      <c r="B131" s="85"/>
      <c r="C131" s="85"/>
      <c r="D131" s="121"/>
      <c r="E131" s="121"/>
      <c r="F131" s="121"/>
      <c r="G131" s="121"/>
      <c r="H131" s="121"/>
      <c r="I131" s="121"/>
      <c r="J131" s="121"/>
      <c r="K131" s="86"/>
      <c r="L131" s="121"/>
      <c r="M131" s="121"/>
      <c r="N131" s="121"/>
      <c r="O131" s="121"/>
      <c r="P131" s="121"/>
      <c r="Q131" s="121"/>
      <c r="R131" s="121"/>
      <c r="S131" s="87"/>
      <c r="T131" s="87"/>
    </row>
    <row r="132" spans="2:20" ht="13.05" customHeight="1" x14ac:dyDescent="0.3">
      <c r="B132" s="85"/>
      <c r="C132" s="85"/>
      <c r="D132" s="121"/>
      <c r="E132" s="121"/>
      <c r="F132" s="121"/>
      <c r="G132" s="121"/>
      <c r="H132" s="121"/>
      <c r="I132" s="121"/>
      <c r="J132" s="121"/>
      <c r="K132" s="86"/>
      <c r="L132" s="121"/>
      <c r="M132" s="121"/>
      <c r="N132" s="121"/>
      <c r="O132" s="121"/>
      <c r="P132" s="121"/>
      <c r="Q132" s="121"/>
      <c r="R132" s="121"/>
      <c r="S132" s="87"/>
      <c r="T132" s="87"/>
    </row>
    <row r="133" spans="2:20" ht="10.050000000000001" customHeight="1" x14ac:dyDescent="0.3">
      <c r="B133" s="85"/>
      <c r="C133" s="85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7"/>
      <c r="T133" s="87"/>
    </row>
    <row r="134" spans="2:20" ht="19.2" customHeight="1" x14ac:dyDescent="0.3">
      <c r="B134" s="85"/>
      <c r="C134" s="85"/>
      <c r="D134" s="118" t="str">
        <f>IF(ISBLANK(PARAMETROS!$C$467),"",PARAMETROS!$C$467)</f>
        <v>Perímetro cefálico a la salida del alojamiento conjunto (cm):</v>
      </c>
      <c r="E134" s="118"/>
      <c r="F134" s="118"/>
      <c r="G134" s="118"/>
      <c r="H134" s="118"/>
      <c r="I134" s="118"/>
      <c r="J134" s="118"/>
      <c r="K134" s="86"/>
      <c r="L134" s="118" t="str">
        <f>IF(ISBLANK(PARAMETROS!$C$468),"",PARAMETROS!$C$468)</f>
        <v>¿La madre abandona el alojamiento canguro solicitando la salida voluntaria?:</v>
      </c>
      <c r="M134" s="118"/>
      <c r="N134" s="118"/>
      <c r="O134" s="118"/>
      <c r="P134" s="118"/>
      <c r="Q134" s="118"/>
      <c r="R134" s="118"/>
      <c r="S134" s="87"/>
      <c r="T134" s="87"/>
    </row>
    <row r="135" spans="2:20" ht="10.050000000000001" customHeight="1" x14ac:dyDescent="0.3">
      <c r="B135" s="85"/>
      <c r="C135" s="85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7"/>
      <c r="T135" s="87"/>
    </row>
    <row r="136" spans="2:20" ht="13.05" customHeight="1" x14ac:dyDescent="0.3">
      <c r="B136" s="85"/>
      <c r="C136" s="85"/>
      <c r="D136" s="121"/>
      <c r="E136" s="121"/>
      <c r="F136" s="121"/>
      <c r="G136" s="121"/>
      <c r="H136" s="121"/>
      <c r="I136" s="121"/>
      <c r="J136" s="121"/>
      <c r="K136" s="86"/>
      <c r="L136" s="121"/>
      <c r="M136" s="121"/>
      <c r="N136" s="121"/>
      <c r="O136" s="121"/>
      <c r="P136" s="121"/>
      <c r="Q136" s="121"/>
      <c r="R136" s="121"/>
      <c r="S136" s="87"/>
      <c r="T136" s="87"/>
    </row>
    <row r="137" spans="2:20" ht="13.05" customHeight="1" x14ac:dyDescent="0.3">
      <c r="B137" s="85"/>
      <c r="C137" s="85"/>
      <c r="D137" s="121"/>
      <c r="E137" s="121"/>
      <c r="F137" s="121"/>
      <c r="G137" s="121"/>
      <c r="H137" s="121"/>
      <c r="I137" s="121"/>
      <c r="J137" s="121"/>
      <c r="K137" s="86"/>
      <c r="L137" s="121"/>
      <c r="M137" s="121"/>
      <c r="N137" s="121"/>
      <c r="O137" s="121"/>
      <c r="P137" s="121"/>
      <c r="Q137" s="121"/>
      <c r="R137" s="121"/>
      <c r="S137" s="87"/>
      <c r="T137" s="87"/>
    </row>
    <row r="138" spans="2:20" ht="10.050000000000001" customHeight="1" x14ac:dyDescent="0.3">
      <c r="B138" s="85"/>
      <c r="C138" s="85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7"/>
      <c r="T138" s="87"/>
    </row>
    <row r="139" spans="2:20" ht="19.2" customHeight="1" x14ac:dyDescent="0.3">
      <c r="B139" s="85"/>
      <c r="C139" s="85"/>
      <c r="D139" s="118" t="str">
        <f>IF(ISBLANK(PARAMETROS!$C$469),"",PARAMETROS!$C$469)</f>
        <v>Tipo de alimentación directa a la salida del alojamiento conjunto:</v>
      </c>
      <c r="E139" s="118"/>
      <c r="F139" s="118"/>
      <c r="G139" s="118"/>
      <c r="H139" s="118"/>
      <c r="I139" s="118"/>
      <c r="J139" s="118"/>
      <c r="K139" s="86"/>
      <c r="L139" s="118" t="str">
        <f>IF(ISBLANK(PARAMETROS!$C$470),"",PARAMETROS!$C$470)</f>
        <v>¿El niño canguro egresa a casa en posición canguro?:</v>
      </c>
      <c r="M139" s="118"/>
      <c r="N139" s="118"/>
      <c r="O139" s="118"/>
      <c r="P139" s="118"/>
      <c r="Q139" s="118"/>
      <c r="R139" s="118"/>
      <c r="S139" s="87"/>
      <c r="T139" s="87"/>
    </row>
    <row r="140" spans="2:20" ht="10.050000000000001" customHeight="1" x14ac:dyDescent="0.3">
      <c r="B140" s="85"/>
      <c r="C140" s="85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7"/>
      <c r="T140" s="87"/>
    </row>
    <row r="141" spans="2:20" ht="13.05" customHeight="1" x14ac:dyDescent="0.3">
      <c r="B141" s="85"/>
      <c r="C141" s="85"/>
      <c r="D141" s="121"/>
      <c r="E141" s="121"/>
      <c r="F141" s="121"/>
      <c r="G141" s="121"/>
      <c r="H141" s="121"/>
      <c r="I141" s="121"/>
      <c r="J141" s="121"/>
      <c r="K141" s="86"/>
      <c r="L141" s="121"/>
      <c r="M141" s="121"/>
      <c r="N141" s="121"/>
      <c r="O141" s="121"/>
      <c r="P141" s="121"/>
      <c r="Q141" s="121"/>
      <c r="R141" s="121"/>
      <c r="S141" s="87"/>
      <c r="T141" s="87"/>
    </row>
    <row r="142" spans="2:20" ht="13.05" customHeight="1" x14ac:dyDescent="0.3">
      <c r="B142" s="85"/>
      <c r="C142" s="85"/>
      <c r="D142" s="121"/>
      <c r="E142" s="121"/>
      <c r="F142" s="121"/>
      <c r="G142" s="121"/>
      <c r="H142" s="121"/>
      <c r="I142" s="121"/>
      <c r="J142" s="121"/>
      <c r="K142" s="86"/>
      <c r="L142" s="121"/>
      <c r="M142" s="121"/>
      <c r="N142" s="121"/>
      <c r="O142" s="121"/>
      <c r="P142" s="121"/>
      <c r="Q142" s="121"/>
      <c r="R142" s="121"/>
      <c r="S142" s="87"/>
      <c r="T142" s="87"/>
    </row>
    <row r="143" spans="2:20" ht="10.050000000000001" customHeight="1" x14ac:dyDescent="0.3">
      <c r="B143" s="85"/>
      <c r="C143" s="85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7"/>
      <c r="T143" s="87"/>
    </row>
    <row r="144" spans="2:20" ht="19.2" customHeight="1" x14ac:dyDescent="0.3">
      <c r="B144" s="85"/>
      <c r="C144" s="85"/>
      <c r="D144" s="118" t="str">
        <f>IF(ISBLANK(PARAMETROS!$C$471),"",PARAMETROS!$C$471)</f>
        <v>¿Se entrenó otro cuidador en MMC?:</v>
      </c>
      <c r="E144" s="118"/>
      <c r="F144" s="118"/>
      <c r="G144" s="118"/>
      <c r="H144" s="118"/>
      <c r="I144" s="118"/>
      <c r="J144" s="118"/>
      <c r="K144" s="86"/>
      <c r="L144" s="118" t="str">
        <f>IF(ISBLANK(PARAMETROS!$C$472),"",PARAMETROS!$C$472)</f>
        <v>Destino del paciente posterior a alojamiento canguro:</v>
      </c>
      <c r="M144" s="118"/>
      <c r="N144" s="118"/>
      <c r="O144" s="118"/>
      <c r="P144" s="118"/>
      <c r="Q144" s="118"/>
      <c r="R144" s="118"/>
      <c r="S144" s="87"/>
      <c r="T144" s="87"/>
    </row>
    <row r="145" spans="2:20" ht="10.050000000000001" customHeight="1" x14ac:dyDescent="0.3">
      <c r="B145" s="85"/>
      <c r="C145" s="85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7"/>
      <c r="T145" s="87"/>
    </row>
    <row r="146" spans="2:20" ht="13.05" customHeight="1" x14ac:dyDescent="0.3">
      <c r="B146" s="85"/>
      <c r="C146" s="85"/>
      <c r="D146" s="121"/>
      <c r="E146" s="121"/>
      <c r="F146" s="121"/>
      <c r="G146" s="121"/>
      <c r="H146" s="121"/>
      <c r="I146" s="121"/>
      <c r="J146" s="121"/>
      <c r="K146" s="86"/>
      <c r="L146" s="121"/>
      <c r="M146" s="121"/>
      <c r="N146" s="121"/>
      <c r="O146" s="121"/>
      <c r="P146" s="121"/>
      <c r="Q146" s="121"/>
      <c r="R146" s="121"/>
      <c r="S146" s="87"/>
      <c r="T146" s="87"/>
    </row>
    <row r="147" spans="2:20" ht="13.05" customHeight="1" x14ac:dyDescent="0.3">
      <c r="B147" s="85"/>
      <c r="C147" s="85"/>
      <c r="D147" s="121"/>
      <c r="E147" s="121"/>
      <c r="F147" s="121"/>
      <c r="G147" s="121"/>
      <c r="H147" s="121"/>
      <c r="I147" s="121"/>
      <c r="J147" s="121"/>
      <c r="K147" s="86"/>
      <c r="L147" s="121"/>
      <c r="M147" s="121"/>
      <c r="N147" s="121"/>
      <c r="O147" s="121"/>
      <c r="P147" s="121"/>
      <c r="Q147" s="121"/>
      <c r="R147" s="121"/>
      <c r="S147" s="87"/>
      <c r="T147" s="87"/>
    </row>
    <row r="148" spans="2:20" ht="10.050000000000001" customHeight="1" x14ac:dyDescent="0.3">
      <c r="B148" s="85"/>
      <c r="C148" s="85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7"/>
      <c r="T148" s="87"/>
    </row>
    <row r="149" spans="2:20" ht="10.050000000000001" customHeight="1" thickBot="1" x14ac:dyDescent="0.35">
      <c r="B149" s="85"/>
      <c r="C149" s="88"/>
      <c r="D149" s="89"/>
      <c r="E149" s="89"/>
      <c r="F149" s="89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90"/>
      <c r="T149" s="87"/>
    </row>
    <row r="150" spans="2:20" ht="10.050000000000001" customHeight="1" x14ac:dyDescent="0.3">
      <c r="B150" s="85"/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7"/>
    </row>
    <row r="151" spans="2:20" ht="13.05" customHeight="1" x14ac:dyDescent="0.3">
      <c r="B151" s="85"/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7"/>
    </row>
    <row r="152" spans="2:20" ht="13.05" customHeight="1" x14ac:dyDescent="0.3">
      <c r="B152" s="85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7"/>
    </row>
    <row r="153" spans="2:20" ht="10.050000000000001" customHeight="1" thickBot="1" x14ac:dyDescent="0.35">
      <c r="B153" s="88"/>
      <c r="C153" s="89"/>
      <c r="D153" s="89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90"/>
    </row>
    <row r="154" spans="2:20" ht="19.2" customHeight="1" x14ac:dyDescent="0.3"/>
    <row r="155" spans="2:20" ht="10.050000000000001" customHeight="1" x14ac:dyDescent="0.3">
      <c r="B155" s="85"/>
      <c r="C155" s="86"/>
      <c r="D155" s="86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7"/>
    </row>
    <row r="156" spans="2:20" ht="13.05" customHeight="1" x14ac:dyDescent="0.3">
      <c r="B156" s="85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7"/>
    </row>
    <row r="157" spans="2:20" ht="13.05" customHeight="1" x14ac:dyDescent="0.3">
      <c r="B157" s="85"/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7"/>
    </row>
    <row r="158" spans="2:20" ht="10.050000000000001" customHeight="1" thickBot="1" x14ac:dyDescent="0.35">
      <c r="B158" s="88"/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90"/>
    </row>
    <row r="159" spans="2:20" ht="10.050000000000001" customHeight="1" thickBot="1" x14ac:dyDescent="0.35"/>
    <row r="160" spans="2:20" ht="13.05" customHeight="1" x14ac:dyDescent="0.3">
      <c r="B160" s="82"/>
      <c r="C160" s="83"/>
      <c r="D160" s="124" t="str">
        <f>IF(ISBLANK(PARAMETROS!$C$473),"",PARAMETROS!$C$473)</f>
        <v>URN</v>
      </c>
      <c r="E160" s="124"/>
      <c r="F160" s="124"/>
      <c r="G160" s="124"/>
      <c r="H160" s="83"/>
      <c r="I160" s="83"/>
      <c r="J160" s="83"/>
      <c r="K160" s="83"/>
      <c r="L160" s="83"/>
      <c r="M160" s="83"/>
      <c r="N160" s="83"/>
      <c r="O160" s="83"/>
      <c r="P160" s="83"/>
      <c r="Q160" s="83"/>
      <c r="R160" s="83"/>
      <c r="S160" s="83"/>
      <c r="T160" s="84"/>
    </row>
    <row r="161" spans="2:20" ht="13.05" customHeight="1" thickBot="1" x14ac:dyDescent="0.35">
      <c r="B161" s="85"/>
      <c r="C161" s="89"/>
      <c r="D161" s="125"/>
      <c r="E161" s="125"/>
      <c r="F161" s="125"/>
      <c r="G161" s="125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7"/>
    </row>
    <row r="162" spans="2:20" ht="10.050000000000001" customHeight="1" x14ac:dyDescent="0.3">
      <c r="B162" s="85"/>
      <c r="C162" s="82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83"/>
      <c r="P162" s="83"/>
      <c r="Q162" s="83"/>
      <c r="R162" s="83"/>
      <c r="S162" s="84"/>
      <c r="T162" s="87"/>
    </row>
    <row r="163" spans="2:20" ht="19.2" customHeight="1" x14ac:dyDescent="0.3">
      <c r="B163" s="85"/>
      <c r="C163" s="85"/>
      <c r="D163" s="115" t="str">
        <f>IF(ISBLANK(PARAMETROS!$C$474),"""",PARAMETROS!$C$474)</f>
        <v>Admisión</v>
      </c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87"/>
      <c r="T163" s="87"/>
    </row>
    <row r="164" spans="2:20" ht="10.050000000000001" customHeight="1" x14ac:dyDescent="0.3">
      <c r="B164" s="85"/>
      <c r="C164" s="85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7"/>
      <c r="T164" s="87"/>
    </row>
    <row r="165" spans="2:20" ht="19.2" customHeight="1" x14ac:dyDescent="0.3">
      <c r="B165" s="85"/>
      <c r="C165" s="85"/>
      <c r="D165" s="118" t="str">
        <f>IF(ISBLANK(PARAMETROS!$C$475),"",PARAMETROS!$C$475)</f>
        <v>Fecha de entrada en la URN:</v>
      </c>
      <c r="E165" s="118"/>
      <c r="F165" s="118"/>
      <c r="G165" s="118"/>
      <c r="H165" s="118"/>
      <c r="I165" s="118"/>
      <c r="J165" s="118"/>
      <c r="K165" s="86"/>
      <c r="L165" s="118" t="str">
        <f>IF(ISBLANK(PARAMETROS!$C$476),"",PARAMETROS!$C$476)</f>
        <v>Lugar de procedencia:</v>
      </c>
      <c r="M165" s="118"/>
      <c r="N165" s="118"/>
      <c r="O165" s="118"/>
      <c r="P165" s="118"/>
      <c r="Q165" s="118"/>
      <c r="R165" s="118"/>
      <c r="S165" s="87"/>
      <c r="T165" s="87"/>
    </row>
    <row r="166" spans="2:20" ht="10.050000000000001" customHeight="1" x14ac:dyDescent="0.3">
      <c r="B166" s="85"/>
      <c r="C166" s="85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7"/>
      <c r="T166" s="87"/>
    </row>
    <row r="167" spans="2:20" ht="13.05" customHeight="1" x14ac:dyDescent="0.3">
      <c r="B167" s="85"/>
      <c r="C167" s="85"/>
      <c r="D167" s="123"/>
      <c r="E167" s="123"/>
      <c r="F167" s="123"/>
      <c r="G167" s="123"/>
      <c r="H167" s="123"/>
      <c r="I167" s="123"/>
      <c r="J167" s="123"/>
      <c r="K167" s="86"/>
      <c r="L167" s="121"/>
      <c r="M167" s="121"/>
      <c r="N167" s="121"/>
      <c r="O167" s="121"/>
      <c r="P167" s="121"/>
      <c r="Q167" s="121"/>
      <c r="R167" s="121"/>
      <c r="S167" s="87"/>
      <c r="T167" s="87"/>
    </row>
    <row r="168" spans="2:20" ht="13.05" customHeight="1" x14ac:dyDescent="0.3">
      <c r="B168" s="85"/>
      <c r="C168" s="85"/>
      <c r="D168" s="123"/>
      <c r="E168" s="123"/>
      <c r="F168" s="123"/>
      <c r="G168" s="123"/>
      <c r="H168" s="123"/>
      <c r="I168" s="123"/>
      <c r="J168" s="123"/>
      <c r="K168" s="86"/>
      <c r="L168" s="121"/>
      <c r="M168" s="121"/>
      <c r="N168" s="121"/>
      <c r="O168" s="121"/>
      <c r="P168" s="121"/>
      <c r="Q168" s="121"/>
      <c r="R168" s="121"/>
      <c r="S168" s="87"/>
      <c r="T168" s="87"/>
    </row>
    <row r="169" spans="2:20" ht="10.050000000000001" customHeight="1" x14ac:dyDescent="0.3">
      <c r="B169" s="85"/>
      <c r="C169" s="85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7"/>
      <c r="T169" s="87"/>
    </row>
    <row r="170" spans="2:20" ht="19.2" customHeight="1" x14ac:dyDescent="0.3">
      <c r="B170" s="85"/>
      <c r="C170" s="85"/>
      <c r="D170" s="118" t="str">
        <f>IF(ISBLANK(PARAMETROS!$C$477),"",PARAMETROS!$C$477)</f>
        <v>Peso de entrada a la URN (gramos):</v>
      </c>
      <c r="E170" s="118"/>
      <c r="F170" s="118"/>
      <c r="G170" s="118"/>
      <c r="H170" s="118"/>
      <c r="I170" s="118"/>
      <c r="J170" s="118"/>
      <c r="K170" s="86"/>
      <c r="L170" s="118" t="str">
        <f>IF(ISBLANK(PARAMETROS!$C$478),"",PARAMETROS!$C$478)</f>
        <v>Talla de entrada a la URN (cm):</v>
      </c>
      <c r="M170" s="118"/>
      <c r="N170" s="118"/>
      <c r="O170" s="118"/>
      <c r="P170" s="118"/>
      <c r="Q170" s="118"/>
      <c r="R170" s="118"/>
      <c r="S170" s="87"/>
      <c r="T170" s="87"/>
    </row>
    <row r="171" spans="2:20" ht="10.050000000000001" customHeight="1" x14ac:dyDescent="0.3">
      <c r="B171" s="85"/>
      <c r="C171" s="85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7"/>
      <c r="T171" s="87"/>
    </row>
    <row r="172" spans="2:20" ht="13.05" customHeight="1" x14ac:dyDescent="0.3">
      <c r="B172" s="85"/>
      <c r="C172" s="85"/>
      <c r="D172" s="121"/>
      <c r="E172" s="121"/>
      <c r="F172" s="121"/>
      <c r="G172" s="121"/>
      <c r="H172" s="121"/>
      <c r="I172" s="121"/>
      <c r="J172" s="121"/>
      <c r="K172" s="86"/>
      <c r="L172" s="121"/>
      <c r="M172" s="121"/>
      <c r="N172" s="121"/>
      <c r="O172" s="121"/>
      <c r="P172" s="121"/>
      <c r="Q172" s="121"/>
      <c r="R172" s="121"/>
      <c r="S172" s="87"/>
      <c r="T172" s="87"/>
    </row>
    <row r="173" spans="2:20" ht="13.05" customHeight="1" x14ac:dyDescent="0.3">
      <c r="B173" s="85"/>
      <c r="C173" s="85"/>
      <c r="D173" s="121"/>
      <c r="E173" s="121"/>
      <c r="F173" s="121"/>
      <c r="G173" s="121"/>
      <c r="H173" s="121"/>
      <c r="I173" s="121"/>
      <c r="J173" s="121"/>
      <c r="K173" s="86"/>
      <c r="L173" s="121"/>
      <c r="M173" s="121"/>
      <c r="N173" s="121"/>
      <c r="O173" s="121"/>
      <c r="P173" s="121"/>
      <c r="Q173" s="121"/>
      <c r="R173" s="121"/>
      <c r="S173" s="87"/>
      <c r="T173" s="87"/>
    </row>
    <row r="174" spans="2:20" ht="10.050000000000001" customHeight="1" x14ac:dyDescent="0.3">
      <c r="B174" s="85"/>
      <c r="C174" s="85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7"/>
      <c r="T174" s="87"/>
    </row>
    <row r="175" spans="2:20" ht="19.2" customHeight="1" x14ac:dyDescent="0.3">
      <c r="B175" s="85"/>
      <c r="C175" s="85"/>
      <c r="D175" s="118" t="str">
        <f>IF(ISBLANK(PARAMETROS!$C$479),"",PARAMETROS!$C$479)</f>
        <v>Perímetro cefálico de entrada a la URN (cm):</v>
      </c>
      <c r="E175" s="118"/>
      <c r="F175" s="118"/>
      <c r="G175" s="118"/>
      <c r="H175" s="118"/>
      <c r="I175" s="118"/>
      <c r="J175" s="118"/>
      <c r="K175" s="86"/>
      <c r="L175" s="86"/>
      <c r="M175" s="86"/>
      <c r="N175" s="86"/>
      <c r="O175" s="86"/>
      <c r="P175" s="86"/>
      <c r="Q175" s="86"/>
      <c r="R175" s="86"/>
      <c r="S175" s="87"/>
      <c r="T175" s="87"/>
    </row>
    <row r="176" spans="2:20" ht="10.050000000000001" customHeight="1" x14ac:dyDescent="0.3">
      <c r="B176" s="85"/>
      <c r="C176" s="85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7"/>
      <c r="T176" s="87"/>
    </row>
    <row r="177" spans="2:20" ht="13.05" customHeight="1" x14ac:dyDescent="0.3">
      <c r="B177" s="85"/>
      <c r="C177" s="85"/>
      <c r="D177" s="121"/>
      <c r="E177" s="121"/>
      <c r="F177" s="121"/>
      <c r="G177" s="121"/>
      <c r="H177" s="121"/>
      <c r="I177" s="121"/>
      <c r="J177" s="121"/>
      <c r="K177" s="86"/>
      <c r="L177" s="86"/>
      <c r="M177" s="86"/>
      <c r="N177" s="86"/>
      <c r="O177" s="86"/>
      <c r="P177" s="86"/>
      <c r="Q177" s="86"/>
      <c r="R177" s="86"/>
      <c r="S177" s="87"/>
      <c r="T177" s="87"/>
    </row>
    <row r="178" spans="2:20" ht="13.05" customHeight="1" x14ac:dyDescent="0.3">
      <c r="B178" s="85"/>
      <c r="C178" s="85"/>
      <c r="D178" s="121"/>
      <c r="E178" s="121"/>
      <c r="F178" s="121"/>
      <c r="G178" s="121"/>
      <c r="H178" s="121"/>
      <c r="I178" s="121"/>
      <c r="J178" s="121"/>
      <c r="K178" s="86"/>
      <c r="L178" s="86"/>
      <c r="M178" s="86"/>
      <c r="N178" s="86"/>
      <c r="O178" s="86"/>
      <c r="P178" s="86"/>
      <c r="Q178" s="86"/>
      <c r="R178" s="86"/>
      <c r="S178" s="87"/>
      <c r="T178" s="87"/>
    </row>
    <row r="179" spans="2:20" ht="10.050000000000001" customHeight="1" x14ac:dyDescent="0.3">
      <c r="B179" s="85"/>
      <c r="C179" s="85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7"/>
      <c r="T179" s="87"/>
    </row>
    <row r="180" spans="2:20" ht="10.050000000000001" customHeight="1" thickBot="1" x14ac:dyDescent="0.35">
      <c r="B180" s="85"/>
      <c r="C180" s="88"/>
      <c r="D180" s="89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90"/>
      <c r="T180" s="87"/>
    </row>
    <row r="181" spans="2:20" ht="10.050000000000001" customHeight="1" thickBot="1" x14ac:dyDescent="0.35">
      <c r="B181" s="85"/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7"/>
    </row>
    <row r="182" spans="2:20" ht="10.050000000000001" customHeight="1" x14ac:dyDescent="0.3">
      <c r="B182" s="85"/>
      <c r="C182" s="82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/>
      <c r="P182" s="83"/>
      <c r="Q182" s="83"/>
      <c r="R182" s="83"/>
      <c r="S182" s="84"/>
      <c r="T182" s="87"/>
    </row>
    <row r="183" spans="2:20" ht="19.2" customHeight="1" x14ac:dyDescent="0.3">
      <c r="B183" s="85"/>
      <c r="C183" s="85"/>
      <c r="D183" s="115" t="str">
        <f>IF(ISBLANK(PARAMETROS!$C$480),"",PARAMETROS!$C$480)</f>
        <v>Manejo Neonatal</v>
      </c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87"/>
      <c r="T183" s="87"/>
    </row>
    <row r="184" spans="2:20" ht="10.050000000000001" customHeight="1" x14ac:dyDescent="0.3">
      <c r="B184" s="85"/>
      <c r="C184" s="85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7"/>
      <c r="T184" s="87"/>
    </row>
    <row r="185" spans="2:20" ht="19.2" customHeight="1" x14ac:dyDescent="0.3">
      <c r="B185" s="85"/>
      <c r="C185" s="85"/>
      <c r="D185" s="118" t="str">
        <f>IF(ISBLANK(PARAMETROS!$C$481),"",PARAMETROS!$C$481)</f>
        <v>¿El niño canguro necesitó antibiótico?:</v>
      </c>
      <c r="E185" s="118"/>
      <c r="F185" s="118"/>
      <c r="G185" s="118"/>
      <c r="H185" s="118"/>
      <c r="I185" s="118"/>
      <c r="J185" s="118"/>
      <c r="K185" s="86"/>
      <c r="L185" s="118" t="str">
        <f>IF(ISBLANK(PARAMETROS!$C$482),"",PARAMETROS!$C$482)</f>
        <v>¿Recibió ciclo de antibiótico de última generación?:</v>
      </c>
      <c r="M185" s="118"/>
      <c r="N185" s="118"/>
      <c r="O185" s="118"/>
      <c r="P185" s="118"/>
      <c r="Q185" s="118"/>
      <c r="R185" s="118"/>
      <c r="S185" s="87"/>
      <c r="T185" s="87"/>
    </row>
    <row r="186" spans="2:20" ht="10.050000000000001" customHeight="1" x14ac:dyDescent="0.3">
      <c r="B186" s="85"/>
      <c r="C186" s="85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7"/>
      <c r="T186" s="87"/>
    </row>
    <row r="187" spans="2:20" ht="13.05" customHeight="1" x14ac:dyDescent="0.3">
      <c r="B187" s="85"/>
      <c r="C187" s="85"/>
      <c r="D187" s="121"/>
      <c r="E187" s="121"/>
      <c r="F187" s="121"/>
      <c r="G187" s="121"/>
      <c r="H187" s="121"/>
      <c r="I187" s="121"/>
      <c r="J187" s="121"/>
      <c r="K187" s="86"/>
      <c r="L187" s="121"/>
      <c r="M187" s="121"/>
      <c r="N187" s="121"/>
      <c r="O187" s="121"/>
      <c r="P187" s="121"/>
      <c r="Q187" s="121"/>
      <c r="R187" s="121"/>
      <c r="S187" s="87"/>
      <c r="T187" s="87"/>
    </row>
    <row r="188" spans="2:20" ht="13.05" customHeight="1" x14ac:dyDescent="0.3">
      <c r="B188" s="85"/>
      <c r="C188" s="85"/>
      <c r="D188" s="121"/>
      <c r="E188" s="121"/>
      <c r="F188" s="121"/>
      <c r="G188" s="121"/>
      <c r="H188" s="121"/>
      <c r="I188" s="121"/>
      <c r="J188" s="121"/>
      <c r="K188" s="86"/>
      <c r="L188" s="121"/>
      <c r="M188" s="121"/>
      <c r="N188" s="121"/>
      <c r="O188" s="121"/>
      <c r="P188" s="121"/>
      <c r="Q188" s="121"/>
      <c r="R188" s="121"/>
      <c r="S188" s="87"/>
      <c r="T188" s="87"/>
    </row>
    <row r="189" spans="2:20" ht="10.050000000000001" customHeight="1" x14ac:dyDescent="0.3">
      <c r="B189" s="85"/>
      <c r="C189" s="85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7"/>
      <c r="T189" s="87"/>
    </row>
    <row r="190" spans="2:20" ht="19.2" customHeight="1" x14ac:dyDescent="0.3">
      <c r="B190" s="85"/>
      <c r="C190" s="85"/>
      <c r="D190" s="134" t="str">
        <f>IF(ISBLANK(PARAMETROS!$C$483),"",PARAMETROS!$C$483)</f>
        <v>¿Recibió nutrición parenteral?:</v>
      </c>
      <c r="E190" s="134"/>
      <c r="F190" s="134"/>
      <c r="G190" s="134"/>
      <c r="H190" s="134"/>
      <c r="I190" s="134"/>
      <c r="J190" s="134"/>
      <c r="K190" s="86"/>
      <c r="L190" s="86"/>
      <c r="M190" s="86"/>
      <c r="N190" s="86"/>
      <c r="O190" s="86"/>
      <c r="P190" s="86"/>
      <c r="Q190" s="86"/>
      <c r="R190" s="86"/>
      <c r="S190" s="87"/>
      <c r="T190" s="87"/>
    </row>
    <row r="191" spans="2:20" ht="10.050000000000001" customHeight="1" x14ac:dyDescent="0.3">
      <c r="B191" s="85"/>
      <c r="C191" s="85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7"/>
      <c r="T191" s="87"/>
    </row>
    <row r="192" spans="2:20" ht="13.05" customHeight="1" x14ac:dyDescent="0.3">
      <c r="B192" s="85"/>
      <c r="C192" s="85"/>
      <c r="D192" s="121"/>
      <c r="E192" s="121"/>
      <c r="F192" s="121"/>
      <c r="G192" s="121"/>
      <c r="H192" s="121"/>
      <c r="I192" s="121"/>
      <c r="J192" s="121"/>
      <c r="K192" s="122" t="b">
        <v>0</v>
      </c>
      <c r="L192" s="132" t="str">
        <f>IF(ISBLANK(PARAMETROS!$C$484),"",PARAMETROS!$C$484)</f>
        <v>Diagnóstico sepsis neonatal temprana ( más de 72 horas)</v>
      </c>
      <c r="M192" s="132"/>
      <c r="N192" s="132"/>
      <c r="O192" s="122" t="b">
        <v>0</v>
      </c>
      <c r="P192" s="132" t="str">
        <f>IF(ISBLANK(PARAMETROS!$C$490),"",PARAMETROS!$C$490)</f>
        <v>Diagnóstico ictericia</v>
      </c>
      <c r="Q192" s="132"/>
      <c r="R192" s="132"/>
      <c r="S192" s="87"/>
      <c r="T192" s="87"/>
    </row>
    <row r="193" spans="2:20" ht="13.05" customHeight="1" x14ac:dyDescent="0.3">
      <c r="B193" s="85"/>
      <c r="C193" s="85"/>
      <c r="D193" s="121"/>
      <c r="E193" s="121"/>
      <c r="F193" s="121"/>
      <c r="G193" s="121"/>
      <c r="H193" s="121"/>
      <c r="I193" s="121"/>
      <c r="J193" s="121"/>
      <c r="K193" s="122"/>
      <c r="L193" s="132"/>
      <c r="M193" s="132"/>
      <c r="N193" s="132"/>
      <c r="O193" s="122"/>
      <c r="P193" s="132"/>
      <c r="Q193" s="132"/>
      <c r="R193" s="132"/>
      <c r="S193" s="87"/>
      <c r="T193" s="87"/>
    </row>
    <row r="194" spans="2:20" ht="10.050000000000001" customHeight="1" x14ac:dyDescent="0.3">
      <c r="B194" s="85"/>
      <c r="C194" s="85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7"/>
      <c r="T194" s="87"/>
    </row>
    <row r="195" spans="2:20" ht="13.05" customHeight="1" x14ac:dyDescent="0.3">
      <c r="B195" s="85"/>
      <c r="C195" s="85"/>
      <c r="D195" s="86"/>
      <c r="E195" s="86"/>
      <c r="F195" s="86"/>
      <c r="G195" s="86"/>
      <c r="H195" s="86"/>
      <c r="I195" s="86"/>
      <c r="J195" s="86"/>
      <c r="K195" s="122" t="b">
        <v>0</v>
      </c>
      <c r="L195" s="132" t="str">
        <f>IF(ISBLANK(PARAMETROS!$C$485),"",PARAMETROS!$C$485)</f>
        <v>Diagnóstico sepsis neonatal tardía (&gt;72 horas)</v>
      </c>
      <c r="M195" s="132"/>
      <c r="N195" s="132"/>
      <c r="O195" s="122" t="b">
        <v>0</v>
      </c>
      <c r="P195" s="132" t="str">
        <f>IF(ISBLANK(PARAMETROS!$C$491),"",PARAMETROS!$C$491)</f>
        <v>Diagnóstico anemia</v>
      </c>
      <c r="Q195" s="132"/>
      <c r="R195" s="132"/>
      <c r="S195" s="87"/>
      <c r="T195" s="87"/>
    </row>
    <row r="196" spans="2:20" ht="13.05" customHeight="1" x14ac:dyDescent="0.3">
      <c r="B196" s="85"/>
      <c r="C196" s="85"/>
      <c r="D196" s="86"/>
      <c r="E196" s="86"/>
      <c r="F196" s="86"/>
      <c r="G196" s="86"/>
      <c r="H196" s="86"/>
      <c r="I196" s="86"/>
      <c r="J196" s="86"/>
      <c r="K196" s="122"/>
      <c r="L196" s="132"/>
      <c r="M196" s="132"/>
      <c r="N196" s="132"/>
      <c r="O196" s="122"/>
      <c r="P196" s="132"/>
      <c r="Q196" s="132"/>
      <c r="R196" s="132"/>
      <c r="S196" s="87"/>
      <c r="T196" s="87"/>
    </row>
    <row r="197" spans="2:20" ht="10.050000000000001" customHeight="1" x14ac:dyDescent="0.3">
      <c r="B197" s="85"/>
      <c r="C197" s="85"/>
      <c r="D197" s="86"/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7"/>
      <c r="T197" s="87"/>
    </row>
    <row r="198" spans="2:20" ht="13.05" customHeight="1" x14ac:dyDescent="0.3">
      <c r="B198" s="85"/>
      <c r="C198" s="85"/>
      <c r="D198" s="86"/>
      <c r="E198" s="86"/>
      <c r="F198" s="86"/>
      <c r="G198" s="86"/>
      <c r="H198" s="86"/>
      <c r="I198" s="86"/>
      <c r="J198" s="86"/>
      <c r="K198" s="122" t="b">
        <v>0</v>
      </c>
      <c r="L198" s="132" t="str">
        <f>IF(ISBLANK(PARAMETROS!$C$486),"",PARAMETROS!$C$486)</f>
        <v>Diagnóstico hipotermia</v>
      </c>
      <c r="M198" s="132"/>
      <c r="N198" s="132"/>
      <c r="O198" s="122" t="b">
        <v>0</v>
      </c>
      <c r="P198" s="132" t="str">
        <f>IF(ISBLANK(PARAMETROS!$C$492),"",PARAMETROS!$C$492)</f>
        <v>Diagnóstico enterocolitis necrosante</v>
      </c>
      <c r="Q198" s="132"/>
      <c r="R198" s="132"/>
      <c r="S198" s="87"/>
      <c r="T198" s="87"/>
    </row>
    <row r="199" spans="2:20" ht="13.05" customHeight="1" x14ac:dyDescent="0.3">
      <c r="B199" s="85"/>
      <c r="C199" s="85"/>
      <c r="D199" s="86"/>
      <c r="E199" s="86"/>
      <c r="F199" s="86"/>
      <c r="G199" s="86"/>
      <c r="H199" s="86"/>
      <c r="I199" s="86"/>
      <c r="J199" s="86"/>
      <c r="K199" s="122"/>
      <c r="L199" s="132"/>
      <c r="M199" s="132"/>
      <c r="N199" s="132"/>
      <c r="O199" s="122"/>
      <c r="P199" s="132"/>
      <c r="Q199" s="132"/>
      <c r="R199" s="132"/>
      <c r="S199" s="87"/>
      <c r="T199" s="87"/>
    </row>
    <row r="200" spans="2:20" ht="10.050000000000001" customHeight="1" x14ac:dyDescent="0.3">
      <c r="B200" s="85"/>
      <c r="C200" s="85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7"/>
      <c r="T200" s="87"/>
    </row>
    <row r="201" spans="2:20" ht="12.6" customHeight="1" x14ac:dyDescent="0.3">
      <c r="B201" s="85"/>
      <c r="C201" s="85"/>
      <c r="D201" s="86"/>
      <c r="E201" s="86"/>
      <c r="F201" s="86"/>
      <c r="G201" s="86"/>
      <c r="H201" s="86"/>
      <c r="I201" s="86"/>
      <c r="J201" s="86"/>
      <c r="K201" s="122" t="b">
        <v>0</v>
      </c>
      <c r="L201" s="132" t="str">
        <f>IF(ISBLANK(PARAMETROS!$C$487),"",PARAMETROS!$C$487)</f>
        <v>Diagnóstico síndrome de dificultad respiratoria</v>
      </c>
      <c r="M201" s="132"/>
      <c r="N201" s="132"/>
      <c r="O201" s="122" t="b">
        <v>0</v>
      </c>
      <c r="P201" s="132" t="str">
        <f>IF(ISBLANK(PARAMETROS!$C$493),"",PARAMETROS!$C$493)</f>
        <v>Diagnóstico hemorragia intraventricular</v>
      </c>
      <c r="Q201" s="132"/>
      <c r="R201" s="132"/>
      <c r="S201" s="87"/>
      <c r="T201" s="87"/>
    </row>
    <row r="202" spans="2:20" ht="13.05" customHeight="1" x14ac:dyDescent="0.3">
      <c r="B202" s="85"/>
      <c r="C202" s="85"/>
      <c r="D202" s="86"/>
      <c r="E202" s="86"/>
      <c r="F202" s="86"/>
      <c r="G202" s="86"/>
      <c r="H202" s="86"/>
      <c r="I202" s="86"/>
      <c r="J202" s="86"/>
      <c r="K202" s="122"/>
      <c r="L202" s="132"/>
      <c r="M202" s="132"/>
      <c r="N202" s="132"/>
      <c r="O202" s="122"/>
      <c r="P202" s="132"/>
      <c r="Q202" s="132"/>
      <c r="R202" s="132"/>
      <c r="S202" s="87"/>
      <c r="T202" s="87"/>
    </row>
    <row r="203" spans="2:20" ht="10.050000000000001" customHeight="1" x14ac:dyDescent="0.3">
      <c r="B203" s="85"/>
      <c r="C203" s="85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7"/>
      <c r="T203" s="87"/>
    </row>
    <row r="204" spans="2:20" ht="13.05" customHeight="1" x14ac:dyDescent="0.3">
      <c r="B204" s="85"/>
      <c r="C204" s="85"/>
      <c r="D204" s="120" t="str">
        <f>IF(ISBLANK(PARAMETROS!$C$496),"",PARAMETROS!$C$496)</f>
        <v>Cual:</v>
      </c>
      <c r="E204" s="120"/>
      <c r="F204" s="120"/>
      <c r="G204" s="120"/>
      <c r="H204" s="120"/>
      <c r="I204" s="120"/>
      <c r="J204" s="120"/>
      <c r="K204" s="122" t="b">
        <v>0</v>
      </c>
      <c r="L204" s="132" t="str">
        <f>IF(ISBLANK(PARAMETROS!$C$488),"",PARAMETROS!$C$488)</f>
        <v>Diagnóstico hipoglucemia</v>
      </c>
      <c r="M204" s="132"/>
      <c r="N204" s="132"/>
      <c r="O204" s="122" t="b">
        <v>0</v>
      </c>
      <c r="P204" s="132" t="str">
        <f>IF(ISBLANK(PARAMETROS!$C$494),"",PARAMETROS!$C$494)</f>
        <v>Diagnóstico de DBP</v>
      </c>
      <c r="Q204" s="132"/>
      <c r="R204" s="132"/>
      <c r="S204" s="87"/>
      <c r="T204" s="87"/>
    </row>
    <row r="205" spans="2:20" ht="13.05" customHeight="1" x14ac:dyDescent="0.3">
      <c r="B205" s="85"/>
      <c r="C205" s="85"/>
      <c r="D205" s="120"/>
      <c r="E205" s="120"/>
      <c r="F205" s="120"/>
      <c r="G205" s="120"/>
      <c r="H205" s="120"/>
      <c r="I205" s="120"/>
      <c r="J205" s="120"/>
      <c r="K205" s="122"/>
      <c r="L205" s="132"/>
      <c r="M205" s="132"/>
      <c r="N205" s="132"/>
      <c r="O205" s="122"/>
      <c r="P205" s="132"/>
      <c r="Q205" s="132"/>
      <c r="R205" s="132"/>
      <c r="S205" s="87"/>
      <c r="T205" s="87"/>
    </row>
    <row r="206" spans="2:20" ht="10.050000000000001" customHeight="1" x14ac:dyDescent="0.3">
      <c r="B206" s="85"/>
      <c r="C206" s="85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7"/>
      <c r="T206" s="87"/>
    </row>
    <row r="207" spans="2:20" ht="13.05" customHeight="1" x14ac:dyDescent="0.3">
      <c r="B207" s="85"/>
      <c r="C207" s="85"/>
      <c r="D207" s="121"/>
      <c r="E207" s="121"/>
      <c r="F207" s="121"/>
      <c r="G207" s="121"/>
      <c r="H207" s="121"/>
      <c r="I207" s="121"/>
      <c r="J207" s="121"/>
      <c r="K207" s="122" t="b">
        <v>0</v>
      </c>
      <c r="L207" s="132" t="str">
        <f>IF(ISBLANK(PARAMETROS!$C$489),"",PARAMETROS!$C$489)</f>
        <v>Diagnóstico asfixia neonatal</v>
      </c>
      <c r="M207" s="132"/>
      <c r="N207" s="132"/>
      <c r="O207" s="122" t="b">
        <v>0</v>
      </c>
      <c r="P207" s="133" t="str">
        <f>IF(ISBLANK(PARAMETROS!$C$495),"",PARAMETROS!$C$495)</f>
        <v>Diagnóstico otro</v>
      </c>
      <c r="Q207" s="133"/>
      <c r="R207" s="133"/>
      <c r="S207" s="87"/>
      <c r="T207" s="87"/>
    </row>
    <row r="208" spans="2:20" ht="13.05" customHeight="1" x14ac:dyDescent="0.3">
      <c r="B208" s="85"/>
      <c r="C208" s="85"/>
      <c r="D208" s="121"/>
      <c r="E208" s="121"/>
      <c r="F208" s="121"/>
      <c r="G208" s="121"/>
      <c r="H208" s="121"/>
      <c r="I208" s="121"/>
      <c r="J208" s="121"/>
      <c r="K208" s="122"/>
      <c r="L208" s="132"/>
      <c r="M208" s="132"/>
      <c r="N208" s="132"/>
      <c r="O208" s="122"/>
      <c r="P208" s="133"/>
      <c r="Q208" s="133"/>
      <c r="R208" s="133"/>
      <c r="S208" s="87"/>
      <c r="T208" s="87"/>
    </row>
    <row r="209" spans="2:20" ht="10.050000000000001" customHeight="1" x14ac:dyDescent="0.3">
      <c r="B209" s="85"/>
      <c r="C209" s="85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7"/>
      <c r="T209" s="87"/>
    </row>
    <row r="210" spans="2:20" ht="10.050000000000001" customHeight="1" thickBot="1" x14ac:dyDescent="0.35">
      <c r="B210" s="85"/>
      <c r="C210" s="88"/>
      <c r="D210" s="89"/>
      <c r="E210" s="89"/>
      <c r="F210" s="89"/>
      <c r="G210" s="89"/>
      <c r="H210" s="89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90"/>
      <c r="T210" s="87"/>
    </row>
    <row r="211" spans="2:20" ht="10.050000000000001" customHeight="1" thickBot="1" x14ac:dyDescent="0.35">
      <c r="B211" s="85"/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7"/>
    </row>
    <row r="212" spans="2:20" ht="10.050000000000001" customHeight="1" x14ac:dyDescent="0.3">
      <c r="B212" s="85"/>
      <c r="C212" s="82"/>
      <c r="D212" s="83"/>
      <c r="E212" s="83"/>
      <c r="F212" s="83"/>
      <c r="G212" s="83"/>
      <c r="H212" s="83"/>
      <c r="I212" s="83"/>
      <c r="J212" s="83"/>
      <c r="K212" s="83"/>
      <c r="L212" s="83"/>
      <c r="M212" s="83"/>
      <c r="N212" s="83"/>
      <c r="O212" s="83"/>
      <c r="P212" s="83"/>
      <c r="Q212" s="83"/>
      <c r="R212" s="83"/>
      <c r="S212" s="84"/>
      <c r="T212" s="87"/>
    </row>
    <row r="213" spans="2:20" ht="19.2" customHeight="1" x14ac:dyDescent="0.3">
      <c r="B213" s="85"/>
      <c r="C213" s="85"/>
      <c r="D213" s="115" t="str">
        <f>IF(ISBLANK(PARAMETROS!$C$497),"""",PARAMETROS!$C$497)</f>
        <v>Manejo Neonatal - Oxígeno</v>
      </c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87"/>
      <c r="T213" s="87"/>
    </row>
    <row r="214" spans="2:20" ht="10.050000000000001" customHeight="1" x14ac:dyDescent="0.3">
      <c r="B214" s="85"/>
      <c r="C214" s="85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7"/>
      <c r="T214" s="87"/>
    </row>
    <row r="215" spans="2:20" ht="19.2" customHeight="1" x14ac:dyDescent="0.3">
      <c r="B215" s="85"/>
      <c r="C215" s="85"/>
      <c r="D215" s="118" t="str">
        <f>IF(ISBLANK(PARAMETROS!$C$498),"",PARAMETROS!$C$498)</f>
        <v>Total de soporte ventilatorio (días):</v>
      </c>
      <c r="E215" s="118"/>
      <c r="F215" s="118"/>
      <c r="G215" s="118"/>
      <c r="H215" s="118"/>
      <c r="I215" s="118"/>
      <c r="J215" s="118"/>
      <c r="K215" s="86"/>
      <c r="L215" s="118" t="str">
        <f>IF(ISBLANK(PARAMETROS!$C$499),"",PARAMETROS!$C$499)</f>
        <v>Total de soporte ventilatorio invasivo (días):</v>
      </c>
      <c r="M215" s="118"/>
      <c r="N215" s="118"/>
      <c r="O215" s="118"/>
      <c r="P215" s="118"/>
      <c r="Q215" s="118"/>
      <c r="R215" s="118"/>
      <c r="S215" s="87"/>
      <c r="T215" s="87"/>
    </row>
    <row r="216" spans="2:20" ht="10.050000000000001" customHeight="1" x14ac:dyDescent="0.3">
      <c r="B216" s="85"/>
      <c r="C216" s="85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7"/>
      <c r="T216" s="87"/>
    </row>
    <row r="217" spans="2:20" ht="13.05" customHeight="1" x14ac:dyDescent="0.3">
      <c r="B217" s="85"/>
      <c r="C217" s="85"/>
      <c r="D217" s="121"/>
      <c r="E217" s="121"/>
      <c r="F217" s="121"/>
      <c r="G217" s="121"/>
      <c r="H217" s="121"/>
      <c r="I217" s="121"/>
      <c r="J217" s="121"/>
      <c r="K217" s="86"/>
      <c r="L217" s="121"/>
      <c r="M217" s="121"/>
      <c r="N217" s="121"/>
      <c r="O217" s="121"/>
      <c r="P217" s="121"/>
      <c r="Q217" s="121"/>
      <c r="R217" s="121"/>
      <c r="S217" s="87"/>
      <c r="T217" s="87"/>
    </row>
    <row r="218" spans="2:20" ht="13.05" customHeight="1" x14ac:dyDescent="0.3">
      <c r="B218" s="85"/>
      <c r="C218" s="85"/>
      <c r="D218" s="121"/>
      <c r="E218" s="121"/>
      <c r="F218" s="121"/>
      <c r="G218" s="121"/>
      <c r="H218" s="121"/>
      <c r="I218" s="121"/>
      <c r="J218" s="121"/>
      <c r="K218" s="86"/>
      <c r="L218" s="121"/>
      <c r="M218" s="121"/>
      <c r="N218" s="121"/>
      <c r="O218" s="121"/>
      <c r="P218" s="121"/>
      <c r="Q218" s="121"/>
      <c r="R218" s="121"/>
      <c r="S218" s="87"/>
      <c r="T218" s="87"/>
    </row>
    <row r="219" spans="2:20" ht="10.050000000000001" customHeight="1" x14ac:dyDescent="0.3">
      <c r="B219" s="85"/>
      <c r="C219" s="85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7"/>
      <c r="T219" s="87"/>
    </row>
    <row r="220" spans="2:20" ht="19.2" customHeight="1" x14ac:dyDescent="0.3">
      <c r="B220" s="85"/>
      <c r="C220" s="85"/>
      <c r="D220" s="118" t="str">
        <f>IF(ISBLANK(PARAMETROS!$C$500),"",PARAMETROS!$C$500)</f>
        <v>Total de soporte ventilatorio no invasivo (CPAP/alto flujo):</v>
      </c>
      <c r="E220" s="118"/>
      <c r="F220" s="118"/>
      <c r="G220" s="118"/>
      <c r="H220" s="118"/>
      <c r="I220" s="118"/>
      <c r="J220" s="118"/>
      <c r="K220" s="86"/>
      <c r="L220" s="118" t="str">
        <f>IF(ISBLANK(PARAMETROS!$C$501),"",PARAMETROS!$C$501)</f>
        <v>¿Egresa con oxígeno ambulatorio?:</v>
      </c>
      <c r="M220" s="118"/>
      <c r="N220" s="118"/>
      <c r="O220" s="118"/>
      <c r="P220" s="118"/>
      <c r="Q220" s="118"/>
      <c r="R220" s="118"/>
      <c r="S220" s="87"/>
      <c r="T220" s="87"/>
    </row>
    <row r="221" spans="2:20" ht="10.050000000000001" customHeight="1" x14ac:dyDescent="0.3">
      <c r="B221" s="85"/>
      <c r="C221" s="85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7"/>
      <c r="T221" s="87"/>
    </row>
    <row r="222" spans="2:20" ht="13.05" customHeight="1" x14ac:dyDescent="0.3">
      <c r="B222" s="85"/>
      <c r="C222" s="85"/>
      <c r="D222" s="121"/>
      <c r="E222" s="121"/>
      <c r="F222" s="121"/>
      <c r="G222" s="121"/>
      <c r="H222" s="121"/>
      <c r="I222" s="121"/>
      <c r="J222" s="121"/>
      <c r="K222" s="86"/>
      <c r="L222" s="121"/>
      <c r="M222" s="121"/>
      <c r="N222" s="121"/>
      <c r="O222" s="121"/>
      <c r="P222" s="121"/>
      <c r="Q222" s="121"/>
      <c r="R222" s="121"/>
      <c r="S222" s="87"/>
      <c r="T222" s="87"/>
    </row>
    <row r="223" spans="2:20" ht="13.05" customHeight="1" x14ac:dyDescent="0.3">
      <c r="B223" s="85"/>
      <c r="C223" s="85"/>
      <c r="D223" s="121"/>
      <c r="E223" s="121"/>
      <c r="F223" s="121"/>
      <c r="G223" s="121"/>
      <c r="H223" s="121"/>
      <c r="I223" s="121"/>
      <c r="J223" s="121"/>
      <c r="K223" s="86"/>
      <c r="L223" s="121"/>
      <c r="M223" s="121"/>
      <c r="N223" s="121"/>
      <c r="O223" s="121"/>
      <c r="P223" s="121"/>
      <c r="Q223" s="121"/>
      <c r="R223" s="121"/>
      <c r="S223" s="87"/>
      <c r="T223" s="87"/>
    </row>
    <row r="224" spans="2:20" ht="10.050000000000001" customHeight="1" x14ac:dyDescent="0.3">
      <c r="B224" s="85"/>
      <c r="C224" s="85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7"/>
      <c r="T224" s="87"/>
    </row>
    <row r="225" spans="2:20" ht="19.2" customHeight="1" x14ac:dyDescent="0.3">
      <c r="B225" s="85"/>
      <c r="C225" s="85"/>
      <c r="D225" s="118" t="str">
        <f>IF(ISBLANK(PARAMETROS!$C$502),"",PARAMETROS!$C$502)</f>
        <v>Total de días de oxígeno por cánula nasal convencional:</v>
      </c>
      <c r="E225" s="118"/>
      <c r="F225" s="118"/>
      <c r="G225" s="118"/>
      <c r="H225" s="118"/>
      <c r="I225" s="118"/>
      <c r="J225" s="118"/>
      <c r="K225" s="86"/>
      <c r="L225" s="86"/>
      <c r="M225" s="86"/>
      <c r="N225" s="86"/>
      <c r="O225" s="86"/>
      <c r="P225" s="86"/>
      <c r="Q225" s="86"/>
      <c r="R225" s="86"/>
      <c r="S225" s="87"/>
      <c r="T225" s="87"/>
    </row>
    <row r="226" spans="2:20" ht="10.050000000000001" customHeight="1" x14ac:dyDescent="0.3">
      <c r="B226" s="85"/>
      <c r="C226" s="85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7"/>
      <c r="T226" s="87"/>
    </row>
    <row r="227" spans="2:20" ht="13.05" customHeight="1" x14ac:dyDescent="0.3">
      <c r="B227" s="85"/>
      <c r="C227" s="85"/>
      <c r="D227" s="121"/>
      <c r="E227" s="121"/>
      <c r="F227" s="121"/>
      <c r="G227" s="121"/>
      <c r="H227" s="121"/>
      <c r="I227" s="121"/>
      <c r="J227" s="121"/>
      <c r="K227" s="86"/>
      <c r="L227" s="86"/>
      <c r="M227" s="86"/>
      <c r="N227" s="86"/>
      <c r="O227" s="86"/>
      <c r="P227" s="86"/>
      <c r="Q227" s="86"/>
      <c r="R227" s="86"/>
      <c r="S227" s="87"/>
      <c r="T227" s="87"/>
    </row>
    <row r="228" spans="2:20" ht="13.05" customHeight="1" x14ac:dyDescent="0.3">
      <c r="B228" s="85"/>
      <c r="C228" s="85"/>
      <c r="D228" s="121"/>
      <c r="E228" s="121"/>
      <c r="F228" s="121"/>
      <c r="G228" s="121"/>
      <c r="H228" s="121"/>
      <c r="I228" s="121"/>
      <c r="J228" s="121"/>
      <c r="K228" s="86"/>
      <c r="L228" s="86"/>
      <c r="M228" s="86"/>
      <c r="N228" s="86"/>
      <c r="O228" s="86"/>
      <c r="P228" s="86"/>
      <c r="Q228" s="86"/>
      <c r="R228" s="86"/>
      <c r="S228" s="87"/>
      <c r="T228" s="87"/>
    </row>
    <row r="229" spans="2:20" ht="10.050000000000001" customHeight="1" x14ac:dyDescent="0.3">
      <c r="B229" s="85"/>
      <c r="C229" s="85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7"/>
      <c r="T229" s="87"/>
    </row>
    <row r="230" spans="2:20" ht="10.050000000000001" customHeight="1" thickBot="1" x14ac:dyDescent="0.35">
      <c r="B230" s="85"/>
      <c r="C230" s="88"/>
      <c r="D230" s="89"/>
      <c r="E230" s="89"/>
      <c r="F230" s="89"/>
      <c r="G230" s="89"/>
      <c r="H230" s="89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90"/>
      <c r="T230" s="87"/>
    </row>
    <row r="231" spans="2:20" ht="10.050000000000001" customHeight="1" thickBot="1" x14ac:dyDescent="0.35">
      <c r="B231" s="85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7"/>
    </row>
    <row r="232" spans="2:20" ht="10.050000000000001" customHeight="1" x14ac:dyDescent="0.3">
      <c r="B232" s="85"/>
      <c r="C232" s="82"/>
      <c r="D232" s="83"/>
      <c r="E232" s="83"/>
      <c r="F232" s="83"/>
      <c r="G232" s="83"/>
      <c r="H232" s="83"/>
      <c r="I232" s="83"/>
      <c r="J232" s="83"/>
      <c r="K232" s="83"/>
      <c r="L232" s="83"/>
      <c r="M232" s="83"/>
      <c r="N232" s="83"/>
      <c r="O232" s="83"/>
      <c r="P232" s="83"/>
      <c r="Q232" s="83"/>
      <c r="R232" s="83"/>
      <c r="S232" s="84"/>
      <c r="T232" s="87"/>
    </row>
    <row r="233" spans="2:20" ht="19.2" customHeight="1" x14ac:dyDescent="0.3">
      <c r="B233" s="85"/>
      <c r="C233" s="85"/>
      <c r="D233" s="115" t="str">
        <f>IF(ISBLANK(PARAMETROS!$C$503),"",PARAMETROS!$C$503)</f>
        <v>Recuperación de Peso al Nacer</v>
      </c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87"/>
      <c r="T233" s="87"/>
    </row>
    <row r="234" spans="2:20" ht="10.050000000000001" customHeight="1" x14ac:dyDescent="0.3">
      <c r="B234" s="85"/>
      <c r="C234" s="85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7"/>
      <c r="T234" s="87"/>
    </row>
    <row r="235" spans="2:20" ht="19.2" customHeight="1" x14ac:dyDescent="0.3">
      <c r="B235" s="85"/>
      <c r="C235" s="85"/>
      <c r="D235" s="118" t="str">
        <f>IF(ISBLANK(PARAMETROS!$C$504),"",PARAMETROS!$C$504)</f>
        <v>Edad cronológica en la que el niño canguro recupera su peso de nacimiento (días):</v>
      </c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87"/>
      <c r="T235" s="87"/>
    </row>
    <row r="236" spans="2:20" ht="10.050000000000001" customHeight="1" x14ac:dyDescent="0.3">
      <c r="B236" s="85"/>
      <c r="C236" s="85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7"/>
      <c r="T236" s="87"/>
    </row>
    <row r="237" spans="2:20" ht="13.05" customHeight="1" x14ac:dyDescent="0.3">
      <c r="B237" s="85"/>
      <c r="C237" s="85"/>
      <c r="D237" s="121"/>
      <c r="E237" s="121"/>
      <c r="F237" s="121"/>
      <c r="G237" s="121"/>
      <c r="H237" s="121"/>
      <c r="I237" s="121"/>
      <c r="J237" s="121"/>
      <c r="K237" s="86"/>
      <c r="L237" s="86"/>
      <c r="M237" s="86"/>
      <c r="N237" s="86"/>
      <c r="O237" s="86"/>
      <c r="P237" s="86"/>
      <c r="Q237" s="86"/>
      <c r="R237" s="86"/>
      <c r="S237" s="87"/>
      <c r="T237" s="87"/>
    </row>
    <row r="238" spans="2:20" ht="13.05" customHeight="1" x14ac:dyDescent="0.3">
      <c r="B238" s="85"/>
      <c r="C238" s="85"/>
      <c r="D238" s="121"/>
      <c r="E238" s="121"/>
      <c r="F238" s="121"/>
      <c r="G238" s="121"/>
      <c r="H238" s="121"/>
      <c r="I238" s="121"/>
      <c r="J238" s="121"/>
      <c r="K238" s="86"/>
      <c r="L238" s="86"/>
      <c r="M238" s="86"/>
      <c r="N238" s="86"/>
      <c r="O238" s="86"/>
      <c r="P238" s="86"/>
      <c r="Q238" s="86"/>
      <c r="R238" s="86"/>
      <c r="S238" s="87"/>
      <c r="T238" s="87"/>
    </row>
    <row r="239" spans="2:20" ht="10.050000000000001" customHeight="1" x14ac:dyDescent="0.3">
      <c r="B239" s="85"/>
      <c r="C239" s="85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7"/>
      <c r="T239" s="87"/>
    </row>
    <row r="240" spans="2:20" ht="10.050000000000001" customHeight="1" thickBot="1" x14ac:dyDescent="0.35">
      <c r="B240" s="85"/>
      <c r="C240" s="88"/>
      <c r="D240" s="89"/>
      <c r="E240" s="89"/>
      <c r="F240" s="89"/>
      <c r="G240" s="89"/>
      <c r="H240" s="89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90"/>
      <c r="T240" s="87"/>
    </row>
    <row r="241" spans="2:20" ht="10.050000000000001" customHeight="1" thickBot="1" x14ac:dyDescent="0.35">
      <c r="B241" s="85"/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7"/>
    </row>
    <row r="242" spans="2:20" ht="10.050000000000001" customHeight="1" x14ac:dyDescent="0.3">
      <c r="B242" s="85"/>
      <c r="C242" s="82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/>
      <c r="P242" s="83"/>
      <c r="Q242" s="83"/>
      <c r="R242" s="83"/>
      <c r="S242" s="84"/>
      <c r="T242" s="87"/>
    </row>
    <row r="243" spans="2:20" ht="19.2" customHeight="1" x14ac:dyDescent="0.3">
      <c r="B243" s="85"/>
      <c r="C243" s="85"/>
      <c r="D243" s="115" t="str">
        <f>IF(ISBLANK(PARAMETROS!$C$505),"",PARAMETROS!$C$505)</f>
        <v>Posición Canguro</v>
      </c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87"/>
      <c r="T243" s="87"/>
    </row>
    <row r="244" spans="2:20" ht="10.050000000000001" customHeight="1" x14ac:dyDescent="0.3">
      <c r="B244" s="85"/>
      <c r="C244" s="85"/>
      <c r="D244" s="86"/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7"/>
      <c r="T244" s="87"/>
    </row>
    <row r="245" spans="2:20" ht="19.2" customHeight="1" x14ac:dyDescent="0.3">
      <c r="B245" s="85"/>
      <c r="C245" s="85"/>
      <c r="D245" s="118" t="str">
        <f>IF(ISBLANK(PARAMETROS!$C$506),"",PARAMETROS!$C$506)</f>
        <v>Edad de inicio de la posición canguro (días):</v>
      </c>
      <c r="E245" s="118"/>
      <c r="F245" s="118"/>
      <c r="G245" s="118"/>
      <c r="H245" s="118"/>
      <c r="I245" s="118"/>
      <c r="J245" s="118"/>
      <c r="K245" s="86"/>
      <c r="L245" s="118" t="str">
        <f>IF(ISBLANK(PARAMETROS!$C$507),"",PARAMETROS!$C$507)</f>
        <v>Tiempo máximo de horas por día en posición canguro:</v>
      </c>
      <c r="M245" s="118"/>
      <c r="N245" s="118"/>
      <c r="O245" s="118"/>
      <c r="P245" s="118"/>
      <c r="Q245" s="118"/>
      <c r="R245" s="118"/>
      <c r="S245" s="87"/>
      <c r="T245" s="87"/>
    </row>
    <row r="246" spans="2:20" ht="10.050000000000001" customHeight="1" x14ac:dyDescent="0.3">
      <c r="B246" s="85"/>
      <c r="C246" s="85"/>
      <c r="D246" s="86"/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7"/>
      <c r="T246" s="87"/>
    </row>
    <row r="247" spans="2:20" ht="13.05" customHeight="1" x14ac:dyDescent="0.3">
      <c r="B247" s="85"/>
      <c r="C247" s="85"/>
      <c r="D247" s="121"/>
      <c r="E247" s="121"/>
      <c r="F247" s="121"/>
      <c r="G247" s="121"/>
      <c r="H247" s="121"/>
      <c r="I247" s="121"/>
      <c r="J247" s="121"/>
      <c r="K247" s="86"/>
      <c r="L247" s="121"/>
      <c r="M247" s="121"/>
      <c r="N247" s="121"/>
      <c r="O247" s="121"/>
      <c r="P247" s="121"/>
      <c r="Q247" s="121"/>
      <c r="R247" s="121"/>
      <c r="S247" s="87"/>
      <c r="T247" s="87"/>
    </row>
    <row r="248" spans="2:20" ht="13.05" customHeight="1" x14ac:dyDescent="0.3">
      <c r="B248" s="85"/>
      <c r="C248" s="85"/>
      <c r="D248" s="121"/>
      <c r="E248" s="121"/>
      <c r="F248" s="121"/>
      <c r="G248" s="121"/>
      <c r="H248" s="121"/>
      <c r="I248" s="121"/>
      <c r="J248" s="121"/>
      <c r="K248" s="86"/>
      <c r="L248" s="121"/>
      <c r="M248" s="121"/>
      <c r="N248" s="121"/>
      <c r="O248" s="121"/>
      <c r="P248" s="121"/>
      <c r="Q248" s="121"/>
      <c r="R248" s="121"/>
      <c r="S248" s="87"/>
      <c r="T248" s="87"/>
    </row>
    <row r="249" spans="2:20" ht="10.050000000000001" customHeight="1" x14ac:dyDescent="0.3">
      <c r="B249" s="85"/>
      <c r="C249" s="85"/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7"/>
      <c r="T249" s="87"/>
    </row>
    <row r="250" spans="2:20" ht="19.2" customHeight="1" x14ac:dyDescent="0.3">
      <c r="B250" s="85"/>
      <c r="C250" s="85"/>
      <c r="D250" s="118" t="str">
        <f>IF(ISBLANK(PARAMETROS!$C$508),"",PARAMETROS!$C$508)</f>
        <v>Número de días en posición canguro en la URN:</v>
      </c>
      <c r="E250" s="118"/>
      <c r="F250" s="118"/>
      <c r="G250" s="118"/>
      <c r="H250" s="118"/>
      <c r="I250" s="118"/>
      <c r="J250" s="118"/>
      <c r="K250" s="86"/>
      <c r="L250" s="118" t="str">
        <f>IF(ISBLANK(PARAMETROS!$C$509),"",PARAMETROS!$C$509)</f>
        <v>Número de horas de apertura de la Unidad de Recién Nacidos/24 horas:</v>
      </c>
      <c r="M250" s="118"/>
      <c r="N250" s="118"/>
      <c r="O250" s="118"/>
      <c r="P250" s="118"/>
      <c r="Q250" s="118"/>
      <c r="R250" s="118"/>
      <c r="S250" s="87"/>
      <c r="T250" s="87"/>
    </row>
    <row r="251" spans="2:20" ht="10.050000000000001" customHeight="1" x14ac:dyDescent="0.3">
      <c r="B251" s="85"/>
      <c r="C251" s="85"/>
      <c r="D251" s="86"/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7"/>
      <c r="T251" s="87"/>
    </row>
    <row r="252" spans="2:20" ht="13.05" customHeight="1" x14ac:dyDescent="0.3">
      <c r="B252" s="85"/>
      <c r="C252" s="85"/>
      <c r="D252" s="121"/>
      <c r="E252" s="121"/>
      <c r="F252" s="121"/>
      <c r="G252" s="121"/>
      <c r="H252" s="121"/>
      <c r="I252" s="121"/>
      <c r="J252" s="121"/>
      <c r="K252" s="86"/>
      <c r="L252" s="121"/>
      <c r="M252" s="121"/>
      <c r="N252" s="121"/>
      <c r="O252" s="121"/>
      <c r="P252" s="121"/>
      <c r="Q252" s="121"/>
      <c r="R252" s="121"/>
      <c r="S252" s="87"/>
      <c r="T252" s="87"/>
    </row>
    <row r="253" spans="2:20" ht="13.05" customHeight="1" x14ac:dyDescent="0.3">
      <c r="B253" s="85"/>
      <c r="C253" s="85"/>
      <c r="D253" s="121"/>
      <c r="E253" s="121"/>
      <c r="F253" s="121"/>
      <c r="G253" s="121"/>
      <c r="H253" s="121"/>
      <c r="I253" s="121"/>
      <c r="J253" s="121"/>
      <c r="K253" s="86"/>
      <c r="L253" s="121"/>
      <c r="M253" s="121"/>
      <c r="N253" s="121"/>
      <c r="O253" s="121"/>
      <c r="P253" s="121"/>
      <c r="Q253" s="121"/>
      <c r="R253" s="121"/>
      <c r="S253" s="87"/>
      <c r="T253" s="87"/>
    </row>
    <row r="254" spans="2:20" ht="10.050000000000001" customHeight="1" x14ac:dyDescent="0.3">
      <c r="B254" s="85"/>
      <c r="C254" s="85"/>
      <c r="D254" s="86"/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7"/>
      <c r="T254" s="87"/>
    </row>
    <row r="255" spans="2:20" ht="10.050000000000001" customHeight="1" thickBot="1" x14ac:dyDescent="0.35">
      <c r="B255" s="85"/>
      <c r="C255" s="88"/>
      <c r="D255" s="89"/>
      <c r="E255" s="89"/>
      <c r="F255" s="89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90"/>
      <c r="T255" s="87"/>
    </row>
    <row r="256" spans="2:20" ht="10.050000000000001" customHeight="1" thickBot="1" x14ac:dyDescent="0.35">
      <c r="B256" s="85"/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7"/>
    </row>
    <row r="257" spans="2:20" ht="10.050000000000001" customHeight="1" x14ac:dyDescent="0.3">
      <c r="B257" s="85"/>
      <c r="C257" s="82"/>
      <c r="D257" s="83"/>
      <c r="E257" s="83"/>
      <c r="F257" s="83"/>
      <c r="G257" s="83"/>
      <c r="H257" s="83"/>
      <c r="I257" s="83"/>
      <c r="J257" s="83"/>
      <c r="K257" s="83"/>
      <c r="L257" s="83"/>
      <c r="M257" s="83"/>
      <c r="N257" s="83"/>
      <c r="O257" s="83"/>
      <c r="P257" s="83"/>
      <c r="Q257" s="83"/>
      <c r="R257" s="83"/>
      <c r="S257" s="84"/>
      <c r="T257" s="87"/>
    </row>
    <row r="258" spans="2:20" ht="19.2" customHeight="1" x14ac:dyDescent="0.3">
      <c r="B258" s="85"/>
      <c r="C258" s="85"/>
      <c r="D258" s="115" t="str">
        <f>IF(ISBLANK(PARAMETROS!$C$510),"",PARAMETROS!$C$510)</f>
        <v>Tamizaje</v>
      </c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87"/>
      <c r="T258" s="87"/>
    </row>
    <row r="259" spans="2:20" ht="10.050000000000001" customHeight="1" x14ac:dyDescent="0.3">
      <c r="B259" s="85"/>
      <c r="C259" s="85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7"/>
      <c r="T259" s="87"/>
    </row>
    <row r="260" spans="2:20" ht="19.2" customHeight="1" x14ac:dyDescent="0.3">
      <c r="B260" s="85"/>
      <c r="C260" s="85"/>
      <c r="D260" s="120" t="str">
        <f>IF(ISBLANK(PARAMETROS!$C$511),"",PARAMETROS!$C$511)</f>
        <v>¿Se realizó tamizaje oftalmológico?:</v>
      </c>
      <c r="E260" s="120"/>
      <c r="F260" s="120"/>
      <c r="G260" s="120"/>
      <c r="H260" s="120"/>
      <c r="I260" s="120"/>
      <c r="J260" s="120"/>
      <c r="K260" s="86"/>
      <c r="L260" s="120" t="str">
        <f>IF(ISBLANK(PARAMETROS!$C$512),"",PARAMETROS!$C$512)</f>
        <v>Resultado oftalmológico:</v>
      </c>
      <c r="M260" s="120"/>
      <c r="N260" s="120"/>
      <c r="O260" s="120"/>
      <c r="P260" s="120"/>
      <c r="Q260" s="120"/>
      <c r="R260" s="120"/>
      <c r="S260" s="87"/>
      <c r="T260" s="87"/>
    </row>
    <row r="261" spans="2:20" ht="10.050000000000001" customHeight="1" x14ac:dyDescent="0.3">
      <c r="B261" s="85"/>
      <c r="C261" s="85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7"/>
      <c r="T261" s="87"/>
    </row>
    <row r="262" spans="2:20" ht="13.05" customHeight="1" x14ac:dyDescent="0.3">
      <c r="B262" s="85"/>
      <c r="C262" s="85"/>
      <c r="D262" s="121"/>
      <c r="E262" s="121"/>
      <c r="F262" s="121"/>
      <c r="G262" s="121"/>
      <c r="H262" s="121"/>
      <c r="I262" s="121"/>
      <c r="J262" s="121"/>
      <c r="K262" s="86"/>
      <c r="L262" s="121"/>
      <c r="M262" s="121"/>
      <c r="N262" s="121"/>
      <c r="O262" s="121"/>
      <c r="P262" s="121"/>
      <c r="Q262" s="121"/>
      <c r="R262" s="121"/>
      <c r="S262" s="87"/>
      <c r="T262" s="87"/>
    </row>
    <row r="263" spans="2:20" ht="13.05" customHeight="1" x14ac:dyDescent="0.3">
      <c r="B263" s="85"/>
      <c r="C263" s="85"/>
      <c r="D263" s="121"/>
      <c r="E263" s="121"/>
      <c r="F263" s="121"/>
      <c r="G263" s="121"/>
      <c r="H263" s="121"/>
      <c r="I263" s="121"/>
      <c r="J263" s="121"/>
      <c r="K263" s="86"/>
      <c r="L263" s="121"/>
      <c r="M263" s="121"/>
      <c r="N263" s="121"/>
      <c r="O263" s="121"/>
      <c r="P263" s="121"/>
      <c r="Q263" s="121"/>
      <c r="R263" s="121"/>
      <c r="S263" s="87"/>
      <c r="T263" s="87"/>
    </row>
    <row r="264" spans="2:20" ht="10.050000000000001" customHeight="1" x14ac:dyDescent="0.3">
      <c r="B264" s="85"/>
      <c r="C264" s="85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7"/>
      <c r="T264" s="87"/>
    </row>
    <row r="265" spans="2:20" ht="19.2" customHeight="1" x14ac:dyDescent="0.3">
      <c r="B265" s="85"/>
      <c r="C265" s="85"/>
      <c r="D265" s="120" t="str">
        <f>IF(ISBLANK(PARAMETROS!$C$513),"",PARAMETROS!$C$513)</f>
        <v>Resultado oftalmológico ceguera:</v>
      </c>
      <c r="E265" s="120"/>
      <c r="F265" s="120"/>
      <c r="G265" s="120"/>
      <c r="H265" s="120"/>
      <c r="I265" s="120"/>
      <c r="J265" s="120"/>
      <c r="K265" s="86"/>
      <c r="L265" s="86"/>
      <c r="M265" s="86"/>
      <c r="N265" s="86"/>
      <c r="O265" s="86"/>
      <c r="P265" s="86"/>
      <c r="Q265" s="86"/>
      <c r="R265" s="86"/>
      <c r="S265" s="87"/>
      <c r="T265" s="87"/>
    </row>
    <row r="266" spans="2:20" ht="10.050000000000001" customHeight="1" x14ac:dyDescent="0.3">
      <c r="B266" s="85"/>
      <c r="C266" s="85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7"/>
      <c r="T266" s="87"/>
    </row>
    <row r="267" spans="2:20" ht="13.05" customHeight="1" x14ac:dyDescent="0.3">
      <c r="B267" s="85"/>
      <c r="C267" s="85"/>
      <c r="D267" s="121"/>
      <c r="E267" s="121"/>
      <c r="F267" s="121"/>
      <c r="G267" s="121"/>
      <c r="H267" s="121"/>
      <c r="I267" s="121"/>
      <c r="J267" s="121"/>
      <c r="K267" s="86"/>
      <c r="L267" s="86"/>
      <c r="M267" s="86"/>
      <c r="N267" s="86"/>
      <c r="O267" s="86"/>
      <c r="P267" s="86"/>
      <c r="Q267" s="86"/>
      <c r="R267" s="86"/>
      <c r="S267" s="87"/>
      <c r="T267" s="87"/>
    </row>
    <row r="268" spans="2:20" ht="13.05" customHeight="1" x14ac:dyDescent="0.3">
      <c r="B268" s="85"/>
      <c r="C268" s="85"/>
      <c r="D268" s="121"/>
      <c r="E268" s="121"/>
      <c r="F268" s="121"/>
      <c r="G268" s="121"/>
      <c r="H268" s="121"/>
      <c r="I268" s="121"/>
      <c r="J268" s="121"/>
      <c r="K268" s="86"/>
      <c r="L268" s="86"/>
      <c r="M268" s="86"/>
      <c r="N268" s="86"/>
      <c r="O268" s="86"/>
      <c r="P268" s="86"/>
      <c r="Q268" s="86"/>
      <c r="R268" s="86"/>
      <c r="S268" s="87"/>
      <c r="T268" s="87"/>
    </row>
    <row r="269" spans="2:20" ht="10.050000000000001" customHeight="1" x14ac:dyDescent="0.3">
      <c r="B269" s="85"/>
      <c r="C269" s="85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7"/>
      <c r="T269" s="87"/>
    </row>
    <row r="270" spans="2:20" ht="19.2" customHeight="1" x14ac:dyDescent="0.3">
      <c r="B270" s="85"/>
      <c r="C270" s="85"/>
      <c r="D270" s="120" t="str">
        <f>IF(ISBLANK(PARAMETROS!$C$514),"",PARAMETROS!$C$514)</f>
        <v>¿Se realizó tamizaje audiológico?:</v>
      </c>
      <c r="E270" s="120"/>
      <c r="F270" s="120"/>
      <c r="G270" s="120"/>
      <c r="H270" s="120"/>
      <c r="I270" s="120"/>
      <c r="J270" s="120"/>
      <c r="K270" s="86"/>
      <c r="L270" s="120" t="str">
        <f>IF(ISBLANK(PARAMETROS!$C$515),"",PARAMETROS!$C$515)</f>
        <v>Resultado audiológico:</v>
      </c>
      <c r="M270" s="120"/>
      <c r="N270" s="120"/>
      <c r="O270" s="120"/>
      <c r="P270" s="120"/>
      <c r="Q270" s="120"/>
      <c r="R270" s="120"/>
      <c r="S270" s="87"/>
      <c r="T270" s="87"/>
    </row>
    <row r="271" spans="2:20" ht="10.050000000000001" customHeight="1" x14ac:dyDescent="0.3">
      <c r="B271" s="85"/>
      <c r="C271" s="85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7"/>
      <c r="T271" s="87"/>
    </row>
    <row r="272" spans="2:20" ht="13.05" customHeight="1" x14ac:dyDescent="0.3">
      <c r="B272" s="85"/>
      <c r="C272" s="85"/>
      <c r="D272" s="121"/>
      <c r="E272" s="121"/>
      <c r="F272" s="121"/>
      <c r="G272" s="121"/>
      <c r="H272" s="121"/>
      <c r="I272" s="121"/>
      <c r="J272" s="121"/>
      <c r="K272" s="86"/>
      <c r="L272" s="121"/>
      <c r="M272" s="121"/>
      <c r="N272" s="121"/>
      <c r="O272" s="121"/>
      <c r="P272" s="121"/>
      <c r="Q272" s="121"/>
      <c r="R272" s="121"/>
      <c r="S272" s="87"/>
      <c r="T272" s="87"/>
    </row>
    <row r="273" spans="2:20" ht="13.05" customHeight="1" x14ac:dyDescent="0.3">
      <c r="B273" s="85"/>
      <c r="C273" s="85"/>
      <c r="D273" s="121"/>
      <c r="E273" s="121"/>
      <c r="F273" s="121"/>
      <c r="G273" s="121"/>
      <c r="H273" s="121"/>
      <c r="I273" s="121"/>
      <c r="J273" s="121"/>
      <c r="K273" s="86"/>
      <c r="L273" s="121"/>
      <c r="M273" s="121"/>
      <c r="N273" s="121"/>
      <c r="O273" s="121"/>
      <c r="P273" s="121"/>
      <c r="Q273" s="121"/>
      <c r="R273" s="121"/>
      <c r="S273" s="87"/>
      <c r="T273" s="87"/>
    </row>
    <row r="274" spans="2:20" ht="10.050000000000001" customHeight="1" x14ac:dyDescent="0.3">
      <c r="B274" s="85"/>
      <c r="C274" s="85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7"/>
      <c r="T274" s="87"/>
    </row>
    <row r="275" spans="2:20" ht="10.050000000000001" customHeight="1" thickBot="1" x14ac:dyDescent="0.35">
      <c r="B275" s="85"/>
      <c r="C275" s="88"/>
      <c r="D275" s="89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90"/>
      <c r="T275" s="87"/>
    </row>
    <row r="276" spans="2:20" ht="10.050000000000001" customHeight="1" thickBot="1" x14ac:dyDescent="0.35">
      <c r="B276" s="85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7"/>
    </row>
    <row r="277" spans="2:20" ht="10.050000000000001" customHeight="1" x14ac:dyDescent="0.3">
      <c r="B277" s="85"/>
      <c r="C277" s="82"/>
      <c r="D277" s="83"/>
      <c r="E277" s="83"/>
      <c r="F277" s="83"/>
      <c r="G277" s="83"/>
      <c r="H277" s="83"/>
      <c r="I277" s="83"/>
      <c r="J277" s="83"/>
      <c r="K277" s="83"/>
      <c r="L277" s="83"/>
      <c r="M277" s="83"/>
      <c r="N277" s="83"/>
      <c r="O277" s="83"/>
      <c r="P277" s="83"/>
      <c r="Q277" s="83"/>
      <c r="R277" s="83"/>
      <c r="S277" s="84"/>
      <c r="T277" s="87"/>
    </row>
    <row r="278" spans="2:20" ht="19.2" customHeight="1" x14ac:dyDescent="0.3">
      <c r="B278" s="85"/>
      <c r="C278" s="85"/>
      <c r="D278" s="115" t="str">
        <f>IF(ISBLANK(PARAMETROS!$C$516),"",PARAMETROS!$C$516)</f>
        <v>Salida</v>
      </c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87"/>
      <c r="T278" s="87"/>
    </row>
    <row r="279" spans="2:20" ht="10.050000000000001" customHeight="1" x14ac:dyDescent="0.3">
      <c r="B279" s="85"/>
      <c r="C279" s="85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7"/>
      <c r="T279" s="87"/>
    </row>
    <row r="280" spans="2:20" ht="19.2" customHeight="1" x14ac:dyDescent="0.3">
      <c r="B280" s="85"/>
      <c r="C280" s="85"/>
      <c r="D280" s="118" t="str">
        <f>IF(ISBLANK(PARAMETROS!$C$517),"",PARAMETROS!$C$517)</f>
        <v>Fecha de salida de la URN:</v>
      </c>
      <c r="E280" s="118"/>
      <c r="F280" s="118"/>
      <c r="G280" s="118"/>
      <c r="H280" s="118"/>
      <c r="I280" s="118"/>
      <c r="J280" s="118"/>
      <c r="K280" s="86"/>
      <c r="L280" s="118" t="str">
        <f>IF(ISBLANK(PARAMETROS!$C$518),"",PARAMETROS!$C$518)</f>
        <v>Peso a la salida del servicio de neonatología o del hospital (gramos):</v>
      </c>
      <c r="M280" s="118"/>
      <c r="N280" s="118"/>
      <c r="O280" s="118"/>
      <c r="P280" s="118"/>
      <c r="Q280" s="118"/>
      <c r="R280" s="118"/>
      <c r="S280" s="87"/>
      <c r="T280" s="87"/>
    </row>
    <row r="281" spans="2:20" ht="10.050000000000001" customHeight="1" x14ac:dyDescent="0.3">
      <c r="B281" s="85"/>
      <c r="C281" s="85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7"/>
      <c r="T281" s="87"/>
    </row>
    <row r="282" spans="2:20" ht="13.05" customHeight="1" x14ac:dyDescent="0.3">
      <c r="B282" s="85"/>
      <c r="C282" s="85"/>
      <c r="D282" s="123"/>
      <c r="E282" s="123"/>
      <c r="F282" s="123"/>
      <c r="G282" s="123"/>
      <c r="H282" s="123"/>
      <c r="I282" s="123"/>
      <c r="J282" s="123"/>
      <c r="K282" s="86"/>
      <c r="L282" s="121"/>
      <c r="M282" s="121"/>
      <c r="N282" s="121"/>
      <c r="O282" s="121"/>
      <c r="P282" s="121"/>
      <c r="Q282" s="121"/>
      <c r="R282" s="121"/>
      <c r="S282" s="87"/>
      <c r="T282" s="87"/>
    </row>
    <row r="283" spans="2:20" ht="13.05" customHeight="1" x14ac:dyDescent="0.3">
      <c r="B283" s="85"/>
      <c r="C283" s="85"/>
      <c r="D283" s="123"/>
      <c r="E283" s="123"/>
      <c r="F283" s="123"/>
      <c r="G283" s="123"/>
      <c r="H283" s="123"/>
      <c r="I283" s="123"/>
      <c r="J283" s="123"/>
      <c r="K283" s="86"/>
      <c r="L283" s="121"/>
      <c r="M283" s="121"/>
      <c r="N283" s="121"/>
      <c r="O283" s="121"/>
      <c r="P283" s="121"/>
      <c r="Q283" s="121"/>
      <c r="R283" s="121"/>
      <c r="S283" s="87"/>
      <c r="T283" s="87"/>
    </row>
    <row r="284" spans="2:20" ht="10.050000000000001" customHeight="1" x14ac:dyDescent="0.3">
      <c r="B284" s="85"/>
      <c r="C284" s="85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7"/>
      <c r="T284" s="87"/>
    </row>
    <row r="285" spans="2:20" ht="19.2" customHeight="1" x14ac:dyDescent="0.3">
      <c r="B285" s="85"/>
      <c r="C285" s="85"/>
      <c r="D285" s="118" t="str">
        <f>IF(ISBLANK(PARAMETROS!$C$519),"",PARAMETROS!$C$519)</f>
        <v>Talla a la salida del servicio de neonatología o del hospital (cm):</v>
      </c>
      <c r="E285" s="118"/>
      <c r="F285" s="118"/>
      <c r="G285" s="118"/>
      <c r="H285" s="118"/>
      <c r="I285" s="118"/>
      <c r="J285" s="118"/>
      <c r="K285" s="86"/>
      <c r="L285" s="118" t="str">
        <f>IF(ISBLANK(PARAMETROS!$C$520),"",PARAMETROS!$C$520)</f>
        <v>Perímetro cefálico a la salida del servicio de neonatología o del hospital (cm):</v>
      </c>
      <c r="M285" s="118"/>
      <c r="N285" s="118"/>
      <c r="O285" s="118"/>
      <c r="P285" s="118"/>
      <c r="Q285" s="118"/>
      <c r="R285" s="118"/>
      <c r="S285" s="87"/>
      <c r="T285" s="87"/>
    </row>
    <row r="286" spans="2:20" ht="10.050000000000001" customHeight="1" x14ac:dyDescent="0.3">
      <c r="B286" s="85"/>
      <c r="C286" s="85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7"/>
      <c r="T286" s="87"/>
    </row>
    <row r="287" spans="2:20" ht="13.05" customHeight="1" x14ac:dyDescent="0.3">
      <c r="B287" s="85"/>
      <c r="C287" s="85"/>
      <c r="D287" s="121"/>
      <c r="E287" s="121"/>
      <c r="F287" s="121"/>
      <c r="G287" s="121"/>
      <c r="H287" s="121"/>
      <c r="I287" s="121"/>
      <c r="J287" s="121"/>
      <c r="K287" s="86"/>
      <c r="L287" s="121"/>
      <c r="M287" s="121"/>
      <c r="N287" s="121"/>
      <c r="O287" s="121"/>
      <c r="P287" s="121"/>
      <c r="Q287" s="121"/>
      <c r="R287" s="121"/>
      <c r="S287" s="87"/>
      <c r="T287" s="87"/>
    </row>
    <row r="288" spans="2:20" ht="13.05" customHeight="1" x14ac:dyDescent="0.3">
      <c r="B288" s="85"/>
      <c r="C288" s="85"/>
      <c r="D288" s="121"/>
      <c r="E288" s="121"/>
      <c r="F288" s="121"/>
      <c r="G288" s="121"/>
      <c r="H288" s="121"/>
      <c r="I288" s="121"/>
      <c r="J288" s="121"/>
      <c r="K288" s="86"/>
      <c r="L288" s="121"/>
      <c r="M288" s="121"/>
      <c r="N288" s="121"/>
      <c r="O288" s="121"/>
      <c r="P288" s="121"/>
      <c r="Q288" s="121"/>
      <c r="R288" s="121"/>
      <c r="S288" s="87"/>
      <c r="T288" s="87"/>
    </row>
    <row r="289" spans="2:20" ht="10.050000000000001" customHeight="1" x14ac:dyDescent="0.3">
      <c r="B289" s="85"/>
      <c r="C289" s="85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7"/>
      <c r="T289" s="87"/>
    </row>
    <row r="290" spans="2:20" ht="19.2" customHeight="1" x14ac:dyDescent="0.3">
      <c r="B290" s="85"/>
      <c r="C290" s="85"/>
      <c r="D290" s="118" t="str">
        <f>IF(ISBLANK(PARAMETROS!$C$521),"",PARAMETROS!$C$521)</f>
        <v>Duración total de la hospitalización (días):</v>
      </c>
      <c r="E290" s="118"/>
      <c r="F290" s="118"/>
      <c r="G290" s="118"/>
      <c r="H290" s="118"/>
      <c r="I290" s="118"/>
      <c r="J290" s="118"/>
      <c r="K290" s="86"/>
      <c r="L290" s="118" t="str">
        <f>IF(ISBLANK(PARAMETROS!$C$522),"",PARAMETROS!$C$522)</f>
        <v>Duración de la hospitalización en UCIN (días):</v>
      </c>
      <c r="M290" s="118"/>
      <c r="N290" s="118"/>
      <c r="O290" s="118"/>
      <c r="P290" s="118"/>
      <c r="Q290" s="118"/>
      <c r="R290" s="118"/>
      <c r="S290" s="87"/>
      <c r="T290" s="87"/>
    </row>
    <row r="291" spans="2:20" ht="10.050000000000001" customHeight="1" x14ac:dyDescent="0.3">
      <c r="B291" s="85"/>
      <c r="C291" s="85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7"/>
      <c r="T291" s="87"/>
    </row>
    <row r="292" spans="2:20" ht="13.05" customHeight="1" x14ac:dyDescent="0.3">
      <c r="B292" s="85"/>
      <c r="C292" s="85"/>
      <c r="D292" s="126" t="str">
        <f>IF(OR(D167="",D282="",D167&gt;D282),"",_xlfn.DAYS(D282,D167))</f>
        <v/>
      </c>
      <c r="E292" s="127"/>
      <c r="F292" s="127"/>
      <c r="G292" s="127"/>
      <c r="H292" s="127"/>
      <c r="I292" s="127"/>
      <c r="J292" s="128"/>
      <c r="K292" s="86"/>
      <c r="L292" s="121"/>
      <c r="M292" s="121"/>
      <c r="N292" s="121"/>
      <c r="O292" s="121"/>
      <c r="P292" s="121"/>
      <c r="Q292" s="121"/>
      <c r="R292" s="121"/>
      <c r="S292" s="87"/>
      <c r="T292" s="87"/>
    </row>
    <row r="293" spans="2:20" ht="13.05" customHeight="1" x14ac:dyDescent="0.3">
      <c r="B293" s="85"/>
      <c r="C293" s="85"/>
      <c r="D293" s="129"/>
      <c r="E293" s="130"/>
      <c r="F293" s="130"/>
      <c r="G293" s="130"/>
      <c r="H293" s="130"/>
      <c r="I293" s="130"/>
      <c r="J293" s="131"/>
      <c r="K293" s="86"/>
      <c r="L293" s="121"/>
      <c r="M293" s="121"/>
      <c r="N293" s="121"/>
      <c r="O293" s="121"/>
      <c r="P293" s="121"/>
      <c r="Q293" s="121"/>
      <c r="R293" s="121"/>
      <c r="S293" s="87"/>
      <c r="T293" s="87"/>
    </row>
    <row r="294" spans="2:20" ht="10.050000000000001" customHeight="1" x14ac:dyDescent="0.3">
      <c r="B294" s="85"/>
      <c r="C294" s="85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7"/>
      <c r="T294" s="87"/>
    </row>
    <row r="295" spans="2:20" ht="19.2" customHeight="1" x14ac:dyDescent="0.3">
      <c r="B295" s="85"/>
      <c r="C295" s="85"/>
      <c r="D295" s="118" t="str">
        <f>IF(ISBLANK(PARAMETROS!$C$523),"",PARAMETROS!$C$523)</f>
        <v>Tipo de alimentación a la salida de la URN:</v>
      </c>
      <c r="E295" s="118"/>
      <c r="F295" s="118"/>
      <c r="G295" s="118"/>
      <c r="H295" s="118"/>
      <c r="I295" s="118"/>
      <c r="J295" s="118"/>
      <c r="K295" s="86"/>
      <c r="L295" s="118" t="str">
        <f>IF(ISBLANK(PARAMETROS!$C$524),"",PARAMETROS!$C$524)</f>
        <v>¿Se entrenó otro cuidador en MMC?:</v>
      </c>
      <c r="M295" s="118"/>
      <c r="N295" s="118"/>
      <c r="O295" s="118"/>
      <c r="P295" s="118"/>
      <c r="Q295" s="118"/>
      <c r="R295" s="118"/>
      <c r="S295" s="87"/>
      <c r="T295" s="87"/>
    </row>
    <row r="296" spans="2:20" ht="10.050000000000001" customHeight="1" x14ac:dyDescent="0.3">
      <c r="B296" s="85"/>
      <c r="C296" s="85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7"/>
      <c r="T296" s="87"/>
    </row>
    <row r="297" spans="2:20" ht="13.05" customHeight="1" x14ac:dyDescent="0.3">
      <c r="B297" s="85"/>
      <c r="C297" s="85"/>
      <c r="D297" s="121"/>
      <c r="E297" s="121"/>
      <c r="F297" s="121"/>
      <c r="G297" s="121"/>
      <c r="H297" s="121"/>
      <c r="I297" s="121"/>
      <c r="J297" s="121"/>
      <c r="K297" s="86"/>
      <c r="L297" s="121"/>
      <c r="M297" s="121"/>
      <c r="N297" s="121"/>
      <c r="O297" s="121"/>
      <c r="P297" s="121"/>
      <c r="Q297" s="121"/>
      <c r="R297" s="121"/>
      <c r="S297" s="87"/>
      <c r="T297" s="87"/>
    </row>
    <row r="298" spans="2:20" ht="13.05" customHeight="1" x14ac:dyDescent="0.3">
      <c r="B298" s="85"/>
      <c r="C298" s="85"/>
      <c r="D298" s="121"/>
      <c r="E298" s="121"/>
      <c r="F298" s="121"/>
      <c r="G298" s="121"/>
      <c r="H298" s="121"/>
      <c r="I298" s="121"/>
      <c r="J298" s="121"/>
      <c r="K298" s="86"/>
      <c r="L298" s="121"/>
      <c r="M298" s="121"/>
      <c r="N298" s="121"/>
      <c r="O298" s="121"/>
      <c r="P298" s="121"/>
      <c r="Q298" s="121"/>
      <c r="R298" s="121"/>
      <c r="S298" s="87"/>
      <c r="T298" s="87"/>
    </row>
    <row r="299" spans="2:20" ht="10.050000000000001" customHeight="1" x14ac:dyDescent="0.3">
      <c r="B299" s="85"/>
      <c r="C299" s="85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7"/>
      <c r="T299" s="87"/>
    </row>
    <row r="300" spans="2:20" ht="19.2" customHeight="1" x14ac:dyDescent="0.3">
      <c r="B300" s="85"/>
      <c r="C300" s="85"/>
      <c r="D300" s="118" t="str">
        <f>IF(ISBLANK(PARAMETROS!$C$525),"",PARAMETROS!$C$525)</f>
        <v>¿Egresa en posición canguro?:</v>
      </c>
      <c r="E300" s="118"/>
      <c r="F300" s="118"/>
      <c r="G300" s="118"/>
      <c r="H300" s="118"/>
      <c r="I300" s="118"/>
      <c r="J300" s="118"/>
      <c r="K300" s="86"/>
      <c r="L300" s="118" t="str">
        <f>IF(ISBLANK(PARAMETROS!$C$526),"",PARAMETROS!$C$526)</f>
        <v>Destino del paciente posterior a la URN:</v>
      </c>
      <c r="M300" s="118"/>
      <c r="N300" s="118"/>
      <c r="O300" s="118"/>
      <c r="P300" s="118"/>
      <c r="Q300" s="118"/>
      <c r="R300" s="118"/>
      <c r="S300" s="87"/>
      <c r="T300" s="87"/>
    </row>
    <row r="301" spans="2:20" ht="10.050000000000001" customHeight="1" x14ac:dyDescent="0.3">
      <c r="B301" s="85"/>
      <c r="C301" s="85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7"/>
      <c r="T301" s="87"/>
    </row>
    <row r="302" spans="2:20" ht="13.05" customHeight="1" x14ac:dyDescent="0.3">
      <c r="B302" s="85"/>
      <c r="C302" s="85"/>
      <c r="D302" s="121"/>
      <c r="E302" s="121"/>
      <c r="F302" s="121"/>
      <c r="G302" s="121"/>
      <c r="H302" s="121"/>
      <c r="I302" s="121"/>
      <c r="J302" s="121"/>
      <c r="K302" s="86"/>
      <c r="L302" s="121"/>
      <c r="M302" s="121"/>
      <c r="N302" s="121"/>
      <c r="O302" s="121"/>
      <c r="P302" s="121"/>
      <c r="Q302" s="121"/>
      <c r="R302" s="121"/>
      <c r="S302" s="87"/>
      <c r="T302" s="87"/>
    </row>
    <row r="303" spans="2:20" ht="13.05" customHeight="1" x14ac:dyDescent="0.3">
      <c r="B303" s="85"/>
      <c r="C303" s="85"/>
      <c r="D303" s="121"/>
      <c r="E303" s="121"/>
      <c r="F303" s="121"/>
      <c r="G303" s="121"/>
      <c r="H303" s="121"/>
      <c r="I303" s="121"/>
      <c r="J303" s="121"/>
      <c r="K303" s="86"/>
      <c r="L303" s="121"/>
      <c r="M303" s="121"/>
      <c r="N303" s="121"/>
      <c r="O303" s="121"/>
      <c r="P303" s="121"/>
      <c r="Q303" s="121"/>
      <c r="R303" s="121"/>
      <c r="S303" s="87"/>
      <c r="T303" s="87"/>
    </row>
    <row r="304" spans="2:20" ht="10.050000000000001" customHeight="1" x14ac:dyDescent="0.3">
      <c r="B304" s="85"/>
      <c r="C304" s="85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7"/>
      <c r="T304" s="87"/>
    </row>
    <row r="305" spans="2:20" ht="10.050000000000001" customHeight="1" thickBot="1" x14ac:dyDescent="0.35">
      <c r="B305" s="85"/>
      <c r="C305" s="88"/>
      <c r="D305" s="89"/>
      <c r="E305" s="89"/>
      <c r="F305" s="89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90"/>
      <c r="T305" s="87"/>
    </row>
    <row r="306" spans="2:20" ht="10.050000000000001" customHeight="1" x14ac:dyDescent="0.3">
      <c r="B306" s="85"/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7"/>
    </row>
    <row r="307" spans="2:20" ht="13.05" customHeight="1" x14ac:dyDescent="0.3">
      <c r="B307" s="85"/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7"/>
    </row>
    <row r="308" spans="2:20" ht="13.05" customHeight="1" x14ac:dyDescent="0.3">
      <c r="B308" s="85"/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7"/>
    </row>
    <row r="309" spans="2:20" ht="10.050000000000001" customHeight="1" thickBot="1" x14ac:dyDescent="0.35">
      <c r="B309" s="88"/>
      <c r="C309" s="89"/>
      <c r="D309" s="89"/>
      <c r="E309" s="89"/>
      <c r="F309" s="89"/>
      <c r="G309" s="89"/>
      <c r="H309" s="89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90"/>
    </row>
    <row r="310" spans="2:20" ht="19.2" customHeight="1" x14ac:dyDescent="0.3"/>
    <row r="311" spans="2:20" ht="10.050000000000001" customHeight="1" x14ac:dyDescent="0.3">
      <c r="B311" s="85"/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7"/>
    </row>
    <row r="312" spans="2:20" ht="13.05" customHeight="1" x14ac:dyDescent="0.3">
      <c r="B312" s="85"/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7"/>
    </row>
    <row r="313" spans="2:20" ht="13.05" customHeight="1" x14ac:dyDescent="0.3">
      <c r="B313" s="85"/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7"/>
    </row>
    <row r="314" spans="2:20" ht="10.050000000000001" customHeight="1" thickBot="1" x14ac:dyDescent="0.35">
      <c r="B314" s="88"/>
      <c r="C314" s="89"/>
      <c r="D314" s="89"/>
      <c r="E314" s="89"/>
      <c r="F314" s="89"/>
      <c r="G314" s="89"/>
      <c r="H314" s="89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90"/>
    </row>
    <row r="315" spans="2:20" ht="10.050000000000001" customHeight="1" thickBot="1" x14ac:dyDescent="0.35"/>
    <row r="316" spans="2:20" ht="13.05" customHeight="1" x14ac:dyDescent="0.3">
      <c r="B316" s="82"/>
      <c r="C316" s="83"/>
      <c r="D316" s="124" t="str">
        <f>IF(ISBLANK(PARAMETROS!$C$527),"",PARAMETROS!$C$527)</f>
        <v>Ambulatorio</v>
      </c>
      <c r="E316" s="124"/>
      <c r="F316" s="124"/>
      <c r="G316" s="124"/>
      <c r="H316" s="83"/>
      <c r="I316" s="83"/>
      <c r="J316" s="83"/>
      <c r="K316" s="83"/>
      <c r="L316" s="83"/>
      <c r="M316" s="83"/>
      <c r="N316" s="83"/>
      <c r="O316" s="83"/>
      <c r="P316" s="83"/>
      <c r="Q316" s="83"/>
      <c r="R316" s="83"/>
      <c r="S316" s="83"/>
      <c r="T316" s="84"/>
    </row>
    <row r="317" spans="2:20" ht="13.05" customHeight="1" thickBot="1" x14ac:dyDescent="0.35">
      <c r="B317" s="85"/>
      <c r="C317" s="89"/>
      <c r="D317" s="125"/>
      <c r="E317" s="125"/>
      <c r="F317" s="125"/>
      <c r="G317" s="125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7"/>
    </row>
    <row r="318" spans="2:20" ht="10.050000000000001" customHeight="1" x14ac:dyDescent="0.3">
      <c r="B318" s="85"/>
      <c r="C318" s="82"/>
      <c r="D318" s="83"/>
      <c r="E318" s="83"/>
      <c r="F318" s="83"/>
      <c r="G318" s="83"/>
      <c r="H318" s="83"/>
      <c r="I318" s="83"/>
      <c r="J318" s="83"/>
      <c r="K318" s="83"/>
      <c r="L318" s="83"/>
      <c r="M318" s="83"/>
      <c r="N318" s="83"/>
      <c r="O318" s="83"/>
      <c r="P318" s="83"/>
      <c r="Q318" s="83"/>
      <c r="R318" s="83"/>
      <c r="S318" s="84"/>
      <c r="T318" s="87"/>
    </row>
    <row r="319" spans="2:20" ht="19.2" customHeight="1" x14ac:dyDescent="0.3">
      <c r="B319" s="85"/>
      <c r="C319" s="85"/>
      <c r="D319" s="115" t="str">
        <f>IF(ISBLANK(PARAMETROS!$C$528),"",PARAMETROS!$C$528)</f>
        <v>Admisión</v>
      </c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87"/>
      <c r="T319" s="87"/>
    </row>
    <row r="320" spans="2:20" ht="10.050000000000001" customHeight="1" x14ac:dyDescent="0.3">
      <c r="B320" s="85"/>
      <c r="C320" s="85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7"/>
      <c r="T320" s="87"/>
    </row>
    <row r="321" spans="2:20" ht="19.2" customHeight="1" x14ac:dyDescent="0.3">
      <c r="B321" s="85"/>
      <c r="C321" s="85"/>
      <c r="D321" s="118" t="str">
        <f>IF(ISBLANK(PARAMETROS!$C$529),"",PARAMETROS!$C$529)</f>
        <v>Fecha de admisión al PMC ambulatorio:</v>
      </c>
      <c r="E321" s="118"/>
      <c r="F321" s="118"/>
      <c r="G321" s="118"/>
      <c r="H321" s="118"/>
      <c r="I321" s="118"/>
      <c r="J321" s="118"/>
      <c r="K321" s="86"/>
      <c r="L321" s="118" t="str">
        <f>IF(ISBLANK(PARAMETROS!$C$530),"",PARAMETROS!$C$530)</f>
        <v>Fecha de salida del hospital:</v>
      </c>
      <c r="M321" s="118"/>
      <c r="N321" s="118"/>
      <c r="O321" s="118"/>
      <c r="P321" s="118"/>
      <c r="Q321" s="118"/>
      <c r="R321" s="118"/>
      <c r="S321" s="87"/>
      <c r="T321" s="87"/>
    </row>
    <row r="322" spans="2:20" ht="10.050000000000001" customHeight="1" x14ac:dyDescent="0.3">
      <c r="B322" s="85"/>
      <c r="C322" s="85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7"/>
      <c r="T322" s="87"/>
    </row>
    <row r="323" spans="2:20" ht="13.05" customHeight="1" x14ac:dyDescent="0.3">
      <c r="B323" s="85"/>
      <c r="C323" s="85"/>
      <c r="D323" s="123"/>
      <c r="E323" s="123"/>
      <c r="F323" s="123"/>
      <c r="G323" s="123"/>
      <c r="H323" s="123"/>
      <c r="I323" s="123"/>
      <c r="J323" s="123"/>
      <c r="K323" s="86"/>
      <c r="L323" s="123"/>
      <c r="M323" s="123"/>
      <c r="N323" s="123"/>
      <c r="O323" s="123"/>
      <c r="P323" s="123"/>
      <c r="Q323" s="123"/>
      <c r="R323" s="123"/>
      <c r="S323" s="87"/>
      <c r="T323" s="87"/>
    </row>
    <row r="324" spans="2:20" ht="13.05" customHeight="1" x14ac:dyDescent="0.3">
      <c r="B324" s="85"/>
      <c r="C324" s="85"/>
      <c r="D324" s="123"/>
      <c r="E324" s="123"/>
      <c r="F324" s="123"/>
      <c r="G324" s="123"/>
      <c r="H324" s="123"/>
      <c r="I324" s="123"/>
      <c r="J324" s="123"/>
      <c r="K324" s="86"/>
      <c r="L324" s="123"/>
      <c r="M324" s="123"/>
      <c r="N324" s="123"/>
      <c r="O324" s="123"/>
      <c r="P324" s="123"/>
      <c r="Q324" s="123"/>
      <c r="R324" s="123"/>
      <c r="S324" s="87"/>
      <c r="T324" s="87"/>
    </row>
    <row r="325" spans="2:20" ht="10.050000000000001" customHeight="1" x14ac:dyDescent="0.3">
      <c r="B325" s="85"/>
      <c r="C325" s="85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7"/>
      <c r="T325" s="87"/>
    </row>
    <row r="326" spans="2:20" ht="19.2" customHeight="1" x14ac:dyDescent="0.3">
      <c r="B326" s="85"/>
      <c r="C326" s="85"/>
      <c r="D326" s="118" t="str">
        <f>IF(ISBLANK(PARAMETROS!$C$531),"",PARAMETROS!$C$531)</f>
        <v>Procedencia del niño canguro registrada en su primera consulta ambulatoria:</v>
      </c>
      <c r="E326" s="118"/>
      <c r="F326" s="118"/>
      <c r="G326" s="118"/>
      <c r="H326" s="118"/>
      <c r="I326" s="118"/>
      <c r="J326" s="118"/>
      <c r="K326" s="86"/>
      <c r="L326" s="118" t="str">
        <f>IF(ISBLANK(PARAMETROS!$C$532),"",PARAMETROS!$C$532)</f>
        <v>Peso a la admisión al PMC ambulatorio (gramos):</v>
      </c>
      <c r="M326" s="118"/>
      <c r="N326" s="118"/>
      <c r="O326" s="118"/>
      <c r="P326" s="118"/>
      <c r="Q326" s="118"/>
      <c r="R326" s="118"/>
      <c r="S326" s="87"/>
      <c r="T326" s="87"/>
    </row>
    <row r="327" spans="2:20" ht="10.050000000000001" customHeight="1" x14ac:dyDescent="0.3">
      <c r="B327" s="85"/>
      <c r="C327" s="85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7"/>
      <c r="T327" s="87"/>
    </row>
    <row r="328" spans="2:20" ht="13.05" customHeight="1" x14ac:dyDescent="0.3">
      <c r="B328" s="85"/>
      <c r="C328" s="85"/>
      <c r="D328" s="121"/>
      <c r="E328" s="121"/>
      <c r="F328" s="121"/>
      <c r="G328" s="121"/>
      <c r="H328" s="121"/>
      <c r="I328" s="121"/>
      <c r="J328" s="121"/>
      <c r="K328" s="86"/>
      <c r="L328" s="121"/>
      <c r="M328" s="121"/>
      <c r="N328" s="121"/>
      <c r="O328" s="121"/>
      <c r="P328" s="121"/>
      <c r="Q328" s="121"/>
      <c r="R328" s="121"/>
      <c r="S328" s="87"/>
      <c r="T328" s="87"/>
    </row>
    <row r="329" spans="2:20" ht="13.05" customHeight="1" x14ac:dyDescent="0.3">
      <c r="B329" s="85"/>
      <c r="C329" s="85"/>
      <c r="D329" s="121"/>
      <c r="E329" s="121"/>
      <c r="F329" s="121"/>
      <c r="G329" s="121"/>
      <c r="H329" s="121"/>
      <c r="I329" s="121"/>
      <c r="J329" s="121"/>
      <c r="K329" s="86"/>
      <c r="L329" s="121"/>
      <c r="M329" s="121"/>
      <c r="N329" s="121"/>
      <c r="O329" s="121"/>
      <c r="P329" s="121"/>
      <c r="Q329" s="121"/>
      <c r="R329" s="121"/>
      <c r="S329" s="87"/>
      <c r="T329" s="87"/>
    </row>
    <row r="330" spans="2:20" ht="10.050000000000001" customHeight="1" x14ac:dyDescent="0.3">
      <c r="B330" s="85"/>
      <c r="C330" s="85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7"/>
      <c r="T330" s="87"/>
    </row>
    <row r="331" spans="2:20" ht="19.2" customHeight="1" x14ac:dyDescent="0.3">
      <c r="B331" s="85"/>
      <c r="C331" s="85"/>
      <c r="D331" s="118" t="str">
        <f>IF(ISBLANK(PARAMETROS!$C$533),"",PARAMETROS!$C$533)</f>
        <v>Talla a la admisión al PMC ambulatorio (cm):</v>
      </c>
      <c r="E331" s="118"/>
      <c r="F331" s="118"/>
      <c r="G331" s="118"/>
      <c r="H331" s="118"/>
      <c r="I331" s="118"/>
      <c r="J331" s="118"/>
      <c r="K331" s="86"/>
      <c r="L331" s="118" t="str">
        <f>IF(ISBLANK(PARAMETROS!$C$534),"",PARAMETROS!$C$534)</f>
        <v>Perimetro cefálico a la admisión al PMC ambulatorio (cm):</v>
      </c>
      <c r="M331" s="118"/>
      <c r="N331" s="118"/>
      <c r="O331" s="118"/>
      <c r="P331" s="118"/>
      <c r="Q331" s="118"/>
      <c r="R331" s="118"/>
      <c r="S331" s="87"/>
      <c r="T331" s="87"/>
    </row>
    <row r="332" spans="2:20" ht="10.050000000000001" customHeight="1" x14ac:dyDescent="0.3">
      <c r="B332" s="85"/>
      <c r="C332" s="85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7"/>
      <c r="T332" s="87"/>
    </row>
    <row r="333" spans="2:20" ht="13.05" customHeight="1" x14ac:dyDescent="0.3">
      <c r="B333" s="85"/>
      <c r="C333" s="85"/>
      <c r="D333" s="121"/>
      <c r="E333" s="121"/>
      <c r="F333" s="121"/>
      <c r="G333" s="121"/>
      <c r="H333" s="121"/>
      <c r="I333" s="121"/>
      <c r="J333" s="121"/>
      <c r="K333" s="86"/>
      <c r="L333" s="121"/>
      <c r="M333" s="121"/>
      <c r="N333" s="121"/>
      <c r="O333" s="121"/>
      <c r="P333" s="121"/>
      <c r="Q333" s="121"/>
      <c r="R333" s="121"/>
      <c r="S333" s="87"/>
      <c r="T333" s="87"/>
    </row>
    <row r="334" spans="2:20" ht="13.05" customHeight="1" x14ac:dyDescent="0.3">
      <c r="B334" s="85"/>
      <c r="C334" s="85"/>
      <c r="D334" s="121"/>
      <c r="E334" s="121"/>
      <c r="F334" s="121"/>
      <c r="G334" s="121"/>
      <c r="H334" s="121"/>
      <c r="I334" s="121"/>
      <c r="J334" s="121"/>
      <c r="K334" s="86"/>
      <c r="L334" s="121"/>
      <c r="M334" s="121"/>
      <c r="N334" s="121"/>
      <c r="O334" s="121"/>
      <c r="P334" s="121"/>
      <c r="Q334" s="121"/>
      <c r="R334" s="121"/>
      <c r="S334" s="87"/>
      <c r="T334" s="87"/>
    </row>
    <row r="335" spans="2:20" ht="10.050000000000001" customHeight="1" x14ac:dyDescent="0.3">
      <c r="B335" s="85"/>
      <c r="C335" s="85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7"/>
      <c r="T335" s="87"/>
    </row>
    <row r="336" spans="2:20" ht="19.2" customHeight="1" x14ac:dyDescent="0.3">
      <c r="B336" s="85"/>
      <c r="C336" s="85"/>
      <c r="D336" s="118" t="str">
        <f>IF(ISBLANK(PARAMETROS!$C$535),"",PARAMETROS!$C$535)</f>
        <v>Tipo de alimentación a la admisión al PMC ambulatorio:</v>
      </c>
      <c r="E336" s="118"/>
      <c r="F336" s="118"/>
      <c r="G336" s="118"/>
      <c r="H336" s="118"/>
      <c r="I336" s="118"/>
      <c r="J336" s="118"/>
      <c r="K336" s="86"/>
      <c r="L336" s="86"/>
      <c r="M336" s="86"/>
      <c r="N336" s="86"/>
      <c r="O336" s="86"/>
      <c r="P336" s="86"/>
      <c r="Q336" s="86"/>
      <c r="R336" s="86"/>
      <c r="S336" s="87"/>
      <c r="T336" s="87"/>
    </row>
    <row r="337" spans="2:20" ht="10.050000000000001" customHeight="1" x14ac:dyDescent="0.3">
      <c r="B337" s="85"/>
      <c r="C337" s="85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7"/>
      <c r="T337" s="87"/>
    </row>
    <row r="338" spans="2:20" ht="13.05" customHeight="1" x14ac:dyDescent="0.3">
      <c r="B338" s="85"/>
      <c r="C338" s="85"/>
      <c r="D338" s="121"/>
      <c r="E338" s="121"/>
      <c r="F338" s="121"/>
      <c r="G338" s="121"/>
      <c r="H338" s="121"/>
      <c r="I338" s="121"/>
      <c r="J338" s="121"/>
      <c r="K338" s="86"/>
      <c r="L338" s="86"/>
      <c r="M338" s="86"/>
      <c r="N338" s="86"/>
      <c r="O338" s="86"/>
      <c r="P338" s="86"/>
      <c r="Q338" s="86"/>
      <c r="R338" s="86"/>
      <c r="S338" s="87"/>
      <c r="T338" s="87"/>
    </row>
    <row r="339" spans="2:20" ht="13.05" customHeight="1" x14ac:dyDescent="0.3">
      <c r="B339" s="85"/>
      <c r="C339" s="85"/>
      <c r="D339" s="121"/>
      <c r="E339" s="121"/>
      <c r="F339" s="121"/>
      <c r="G339" s="121"/>
      <c r="H339" s="121"/>
      <c r="I339" s="121"/>
      <c r="J339" s="121"/>
      <c r="K339" s="86"/>
      <c r="L339" s="86"/>
      <c r="M339" s="86"/>
      <c r="N339" s="86"/>
      <c r="O339" s="86"/>
      <c r="P339" s="86"/>
      <c r="Q339" s="86"/>
      <c r="R339" s="86"/>
      <c r="S339" s="87"/>
      <c r="T339" s="87"/>
    </row>
    <row r="340" spans="2:20" ht="10.050000000000001" customHeight="1" x14ac:dyDescent="0.3">
      <c r="B340" s="85"/>
      <c r="C340" s="85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7"/>
      <c r="T340" s="87"/>
    </row>
    <row r="341" spans="2:20" ht="10.050000000000001" customHeight="1" thickBot="1" x14ac:dyDescent="0.35">
      <c r="B341" s="85"/>
      <c r="C341" s="88"/>
      <c r="D341" s="89"/>
      <c r="E341" s="89"/>
      <c r="F341" s="89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90"/>
      <c r="T341" s="87"/>
    </row>
    <row r="342" spans="2:20" ht="10.050000000000001" customHeight="1" x14ac:dyDescent="0.3">
      <c r="B342" s="85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7"/>
    </row>
    <row r="343" spans="2:20" ht="13.05" customHeight="1" x14ac:dyDescent="0.3">
      <c r="B343" s="85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7"/>
    </row>
    <row r="344" spans="2:20" ht="13.05" customHeight="1" x14ac:dyDescent="0.3">
      <c r="B344" s="85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7"/>
    </row>
    <row r="345" spans="2:20" ht="10.050000000000001" customHeight="1" thickBot="1" x14ac:dyDescent="0.35">
      <c r="B345" s="85"/>
      <c r="C345" s="86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7"/>
    </row>
    <row r="346" spans="2:20" ht="10.050000000000001" customHeight="1" x14ac:dyDescent="0.3">
      <c r="B346" s="85"/>
      <c r="C346" s="82"/>
      <c r="D346" s="83"/>
      <c r="E346" s="83"/>
      <c r="F346" s="83"/>
      <c r="G346" s="83"/>
      <c r="H346" s="83"/>
      <c r="I346" s="83"/>
      <c r="J346" s="83"/>
      <c r="K346" s="83"/>
      <c r="L346" s="83"/>
      <c r="M346" s="83"/>
      <c r="N346" s="83"/>
      <c r="O346" s="83"/>
      <c r="P346" s="83"/>
      <c r="Q346" s="83"/>
      <c r="R346" s="83"/>
      <c r="S346" s="84"/>
      <c r="T346" s="87"/>
    </row>
    <row r="347" spans="2:20" ht="19.2" customHeight="1" x14ac:dyDescent="0.3">
      <c r="B347" s="85"/>
      <c r="C347" s="85"/>
      <c r="D347" s="115" t="str">
        <f>IF(ISBLANK(PARAMETROS!$C$536),"",PARAMETROS!$C$536)</f>
        <v>40 Semanas</v>
      </c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87"/>
      <c r="T347" s="87"/>
    </row>
    <row r="348" spans="2:20" ht="10.050000000000001" customHeight="1" x14ac:dyDescent="0.3">
      <c r="B348" s="85"/>
      <c r="C348" s="85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7"/>
      <c r="T348" s="87"/>
    </row>
    <row r="349" spans="2:20" ht="19.2" customHeight="1" x14ac:dyDescent="0.3">
      <c r="B349" s="85"/>
      <c r="C349" s="85"/>
      <c r="D349" s="118" t="str">
        <f>IF(ISBLANK(PARAMETROS!$C$537),"",PARAMETROS!$C$537)</f>
        <v>Peso a las 40 semanas EG (gramos):</v>
      </c>
      <c r="E349" s="118"/>
      <c r="F349" s="118"/>
      <c r="G349" s="118"/>
      <c r="H349" s="118"/>
      <c r="I349" s="118"/>
      <c r="J349" s="118"/>
      <c r="K349" s="86"/>
      <c r="L349" s="118" t="str">
        <f>IF(ISBLANK(PARAMETROS!$C$538),"",PARAMETROS!$C$538)</f>
        <v>Talla a las 40 semanas EG (cm):</v>
      </c>
      <c r="M349" s="118"/>
      <c r="N349" s="118"/>
      <c r="O349" s="118"/>
      <c r="P349" s="118"/>
      <c r="Q349" s="118"/>
      <c r="R349" s="118"/>
      <c r="S349" s="87"/>
      <c r="T349" s="87"/>
    </row>
    <row r="350" spans="2:20" ht="10.050000000000001" customHeight="1" x14ac:dyDescent="0.3">
      <c r="B350" s="85"/>
      <c r="C350" s="85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7"/>
      <c r="T350" s="87"/>
    </row>
    <row r="351" spans="2:20" ht="13.05" customHeight="1" x14ac:dyDescent="0.3">
      <c r="B351" s="85"/>
      <c r="C351" s="85"/>
      <c r="D351" s="121"/>
      <c r="E351" s="121"/>
      <c r="F351" s="121"/>
      <c r="G351" s="121"/>
      <c r="H351" s="121"/>
      <c r="I351" s="121"/>
      <c r="J351" s="121"/>
      <c r="K351" s="86"/>
      <c r="L351" s="121"/>
      <c r="M351" s="121"/>
      <c r="N351" s="121"/>
      <c r="O351" s="121"/>
      <c r="P351" s="121"/>
      <c r="Q351" s="121"/>
      <c r="R351" s="121"/>
      <c r="S351" s="87"/>
      <c r="T351" s="87"/>
    </row>
    <row r="352" spans="2:20" ht="13.05" customHeight="1" x14ac:dyDescent="0.3">
      <c r="B352" s="85"/>
      <c r="C352" s="85"/>
      <c r="D352" s="121"/>
      <c r="E352" s="121"/>
      <c r="F352" s="121"/>
      <c r="G352" s="121"/>
      <c r="H352" s="121"/>
      <c r="I352" s="121"/>
      <c r="J352" s="121"/>
      <c r="K352" s="86"/>
      <c r="L352" s="121"/>
      <c r="M352" s="121"/>
      <c r="N352" s="121"/>
      <c r="O352" s="121"/>
      <c r="P352" s="121"/>
      <c r="Q352" s="121"/>
      <c r="R352" s="121"/>
      <c r="S352" s="87"/>
      <c r="T352" s="87"/>
    </row>
    <row r="353" spans="2:20" ht="10.050000000000001" customHeight="1" x14ac:dyDescent="0.3">
      <c r="B353" s="85"/>
      <c r="C353" s="85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7"/>
      <c r="T353" s="87"/>
    </row>
    <row r="354" spans="2:20" ht="19.2" customHeight="1" x14ac:dyDescent="0.3">
      <c r="B354" s="85"/>
      <c r="C354" s="85"/>
      <c r="D354" s="118" t="str">
        <f>IF(ISBLANK(PARAMETROS!$C$539),"",PARAMETROS!$C$539)</f>
        <v>Tipo de alimentación a las 40 semanas EG:</v>
      </c>
      <c r="E354" s="118"/>
      <c r="F354" s="118"/>
      <c r="G354" s="118"/>
      <c r="H354" s="118"/>
      <c r="I354" s="118"/>
      <c r="J354" s="118"/>
      <c r="K354" s="86"/>
      <c r="L354" s="118" t="str">
        <f>IF(ISBLANK(PARAMETROS!$C$540),"",PARAMETROS!$C$540)</f>
        <v>Perimetro cefálico a las 40 semanas EG (cm):</v>
      </c>
      <c r="M354" s="118"/>
      <c r="N354" s="118"/>
      <c r="O354" s="118"/>
      <c r="P354" s="118"/>
      <c r="Q354" s="118"/>
      <c r="R354" s="118"/>
      <c r="S354" s="87"/>
      <c r="T354" s="87"/>
    </row>
    <row r="355" spans="2:20" ht="10.050000000000001" customHeight="1" x14ac:dyDescent="0.3">
      <c r="B355" s="85"/>
      <c r="C355" s="85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7"/>
      <c r="T355" s="87"/>
    </row>
    <row r="356" spans="2:20" ht="13.05" customHeight="1" x14ac:dyDescent="0.3">
      <c r="B356" s="85"/>
      <c r="C356" s="85"/>
      <c r="D356" s="121"/>
      <c r="E356" s="121"/>
      <c r="F356" s="121"/>
      <c r="G356" s="121"/>
      <c r="H356" s="121"/>
      <c r="I356" s="121"/>
      <c r="J356" s="121"/>
      <c r="K356" s="86"/>
      <c r="L356" s="121"/>
      <c r="M356" s="121"/>
      <c r="N356" s="121"/>
      <c r="O356" s="121"/>
      <c r="P356" s="121"/>
      <c r="Q356" s="121"/>
      <c r="R356" s="121"/>
      <c r="S356" s="87"/>
      <c r="T356" s="87"/>
    </row>
    <row r="357" spans="2:20" ht="13.05" customHeight="1" x14ac:dyDescent="0.3">
      <c r="B357" s="85"/>
      <c r="C357" s="85"/>
      <c r="D357" s="121"/>
      <c r="E357" s="121"/>
      <c r="F357" s="121"/>
      <c r="G357" s="121"/>
      <c r="H357" s="121"/>
      <c r="I357" s="121"/>
      <c r="J357" s="121"/>
      <c r="K357" s="86"/>
      <c r="L357" s="121"/>
      <c r="M357" s="121"/>
      <c r="N357" s="121"/>
      <c r="O357" s="121"/>
      <c r="P357" s="121"/>
      <c r="Q357" s="121"/>
      <c r="R357" s="121"/>
      <c r="S357" s="87"/>
      <c r="T357" s="87"/>
    </row>
    <row r="358" spans="2:20" ht="10.050000000000001" customHeight="1" x14ac:dyDescent="0.3">
      <c r="B358" s="85"/>
      <c r="C358" s="85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7"/>
      <c r="T358" s="87"/>
    </row>
    <row r="359" spans="2:20" ht="19.2" customHeight="1" x14ac:dyDescent="0.3">
      <c r="B359" s="85"/>
      <c r="C359" s="85"/>
      <c r="D359" s="118" t="str">
        <f>IF(ISBLANK(PARAMETROS!$C$541),"",PARAMETROS!$C$541)</f>
        <v>Calendario de vacunación completo a las 40 semanas EG:</v>
      </c>
      <c r="E359" s="118"/>
      <c r="F359" s="118"/>
      <c r="G359" s="118"/>
      <c r="H359" s="118"/>
      <c r="I359" s="118"/>
      <c r="J359" s="118"/>
      <c r="K359" s="86"/>
      <c r="L359" s="118" t="str">
        <f>IF(ISBLANK(PARAMETROS!$C$542),"",PARAMETROS!$C$542)</f>
        <v>Número de re-hospitalizaciones entre la salida y la semana 40:</v>
      </c>
      <c r="M359" s="118"/>
      <c r="N359" s="118"/>
      <c r="O359" s="118"/>
      <c r="P359" s="118"/>
      <c r="Q359" s="118"/>
      <c r="R359" s="118"/>
      <c r="S359" s="87"/>
      <c r="T359" s="87"/>
    </row>
    <row r="360" spans="2:20" ht="10.050000000000001" customHeight="1" x14ac:dyDescent="0.3">
      <c r="B360" s="85"/>
      <c r="C360" s="85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  <c r="S360" s="87"/>
      <c r="T360" s="87"/>
    </row>
    <row r="361" spans="2:20" ht="13.05" customHeight="1" x14ac:dyDescent="0.3">
      <c r="B361" s="85"/>
      <c r="C361" s="85"/>
      <c r="D361" s="121"/>
      <c r="E361" s="121"/>
      <c r="F361" s="121"/>
      <c r="G361" s="121"/>
      <c r="H361" s="121"/>
      <c r="I361" s="121"/>
      <c r="J361" s="121"/>
      <c r="K361" s="86"/>
      <c r="L361" s="121"/>
      <c r="M361" s="121"/>
      <c r="N361" s="121"/>
      <c r="O361" s="121"/>
      <c r="P361" s="121"/>
      <c r="Q361" s="121"/>
      <c r="R361" s="121"/>
      <c r="S361" s="87"/>
      <c r="T361" s="87"/>
    </row>
    <row r="362" spans="2:20" ht="13.05" customHeight="1" x14ac:dyDescent="0.3">
      <c r="B362" s="85"/>
      <c r="C362" s="85"/>
      <c r="D362" s="121"/>
      <c r="E362" s="121"/>
      <c r="F362" s="121"/>
      <c r="G362" s="121"/>
      <c r="H362" s="121"/>
      <c r="I362" s="121"/>
      <c r="J362" s="121"/>
      <c r="K362" s="86"/>
      <c r="L362" s="121"/>
      <c r="M362" s="121"/>
      <c r="N362" s="121"/>
      <c r="O362" s="121"/>
      <c r="P362" s="121"/>
      <c r="Q362" s="121"/>
      <c r="R362" s="121"/>
      <c r="S362" s="87"/>
      <c r="T362" s="87"/>
    </row>
    <row r="363" spans="2:20" ht="10.050000000000001" customHeight="1" x14ac:dyDescent="0.3">
      <c r="B363" s="85"/>
      <c r="C363" s="85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7"/>
      <c r="T363" s="87"/>
    </row>
    <row r="364" spans="2:20" ht="19.2" customHeight="1" x14ac:dyDescent="0.3">
      <c r="B364" s="85"/>
      <c r="C364" s="85"/>
      <c r="D364" s="118" t="str">
        <f>IF(ISBLANK(PARAMETROS!$C$543),"",PARAMETROS!$C$543)</f>
        <v>Resultado de la prueba neuromotora a las 40 semanas EG:</v>
      </c>
      <c r="E364" s="118"/>
      <c r="F364" s="118"/>
      <c r="G364" s="118"/>
      <c r="H364" s="118"/>
      <c r="I364" s="118"/>
      <c r="J364" s="118"/>
      <c r="K364" s="86"/>
      <c r="L364" s="120" t="str">
        <f>IF(ISBLANK(PARAMETROS!$C$544),"",PARAMETROS!$C$544)</f>
        <v>¿Se realizó tamizaje oftalmológico a las 40 semanas?:</v>
      </c>
      <c r="M364" s="120"/>
      <c r="N364" s="120"/>
      <c r="O364" s="120"/>
      <c r="P364" s="120"/>
      <c r="Q364" s="120"/>
      <c r="R364" s="120"/>
      <c r="S364" s="87"/>
      <c r="T364" s="87"/>
    </row>
    <row r="365" spans="2:20" ht="10.050000000000001" customHeight="1" x14ac:dyDescent="0.3">
      <c r="B365" s="85"/>
      <c r="C365" s="85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7"/>
      <c r="T365" s="87"/>
    </row>
    <row r="366" spans="2:20" ht="13.05" customHeight="1" x14ac:dyDescent="0.3">
      <c r="B366" s="85"/>
      <c r="C366" s="85"/>
      <c r="D366" s="121"/>
      <c r="E366" s="121"/>
      <c r="F366" s="121"/>
      <c r="G366" s="121"/>
      <c r="H366" s="121"/>
      <c r="I366" s="121"/>
      <c r="J366" s="121"/>
      <c r="K366" s="86"/>
      <c r="L366" s="121"/>
      <c r="M366" s="121"/>
      <c r="N366" s="121"/>
      <c r="O366" s="121"/>
      <c r="P366" s="121"/>
      <c r="Q366" s="121"/>
      <c r="R366" s="121"/>
      <c r="S366" s="87"/>
      <c r="T366" s="87"/>
    </row>
    <row r="367" spans="2:20" ht="13.05" customHeight="1" x14ac:dyDescent="0.3">
      <c r="B367" s="85"/>
      <c r="C367" s="85"/>
      <c r="D367" s="121"/>
      <c r="E367" s="121"/>
      <c r="F367" s="121"/>
      <c r="G367" s="121"/>
      <c r="H367" s="121"/>
      <c r="I367" s="121"/>
      <c r="J367" s="121"/>
      <c r="K367" s="86"/>
      <c r="L367" s="121"/>
      <c r="M367" s="121"/>
      <c r="N367" s="121"/>
      <c r="O367" s="121"/>
      <c r="P367" s="121"/>
      <c r="Q367" s="121"/>
      <c r="R367" s="121"/>
      <c r="S367" s="87"/>
      <c r="T367" s="87"/>
    </row>
    <row r="368" spans="2:20" ht="10.050000000000001" customHeight="1" x14ac:dyDescent="0.3">
      <c r="B368" s="85"/>
      <c r="C368" s="85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7"/>
      <c r="T368" s="87"/>
    </row>
    <row r="369" spans="2:20" ht="19.2" customHeight="1" x14ac:dyDescent="0.3">
      <c r="B369" s="85"/>
      <c r="C369" s="85"/>
      <c r="D369" s="120" t="str">
        <f>IF(ISBLANK(PARAMETROS!$C$545),"",PARAMETROS!$C$545)</f>
        <v>Resultado oftalmológico:</v>
      </c>
      <c r="E369" s="120"/>
      <c r="F369" s="120"/>
      <c r="G369" s="120"/>
      <c r="H369" s="120"/>
      <c r="I369" s="120"/>
      <c r="J369" s="120"/>
      <c r="K369" s="86"/>
      <c r="L369" s="120" t="str">
        <f>IF(ISBLANK(PARAMETROS!$C$546),"",PARAMETROS!$C$546)</f>
        <v>Resultado oftalmológico ceguera:</v>
      </c>
      <c r="M369" s="120"/>
      <c r="N369" s="120"/>
      <c r="O369" s="120"/>
      <c r="P369" s="120"/>
      <c r="Q369" s="120"/>
      <c r="R369" s="120"/>
      <c r="S369" s="87"/>
      <c r="T369" s="87"/>
    </row>
    <row r="370" spans="2:20" ht="10.050000000000001" customHeight="1" x14ac:dyDescent="0.3">
      <c r="B370" s="85"/>
      <c r="C370" s="85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7"/>
      <c r="T370" s="87"/>
    </row>
    <row r="371" spans="2:20" ht="13.05" customHeight="1" x14ac:dyDescent="0.3">
      <c r="B371" s="85"/>
      <c r="C371" s="85"/>
      <c r="D371" s="121"/>
      <c r="E371" s="121"/>
      <c r="F371" s="121"/>
      <c r="G371" s="121"/>
      <c r="H371" s="121"/>
      <c r="I371" s="121"/>
      <c r="J371" s="121"/>
      <c r="K371" s="86"/>
      <c r="L371" s="121"/>
      <c r="M371" s="121"/>
      <c r="N371" s="121"/>
      <c r="O371" s="121"/>
      <c r="P371" s="121"/>
      <c r="Q371" s="121"/>
      <c r="R371" s="121"/>
      <c r="S371" s="87"/>
      <c r="T371" s="87"/>
    </row>
    <row r="372" spans="2:20" ht="13.05" customHeight="1" x14ac:dyDescent="0.3">
      <c r="B372" s="85"/>
      <c r="C372" s="85"/>
      <c r="D372" s="121"/>
      <c r="E372" s="121"/>
      <c r="F372" s="121"/>
      <c r="G372" s="121"/>
      <c r="H372" s="121"/>
      <c r="I372" s="121"/>
      <c r="J372" s="121"/>
      <c r="K372" s="86"/>
      <c r="L372" s="121"/>
      <c r="M372" s="121"/>
      <c r="N372" s="121"/>
      <c r="O372" s="121"/>
      <c r="P372" s="121"/>
      <c r="Q372" s="121"/>
      <c r="R372" s="121"/>
      <c r="S372" s="87"/>
      <c r="T372" s="87"/>
    </row>
    <row r="373" spans="2:20" ht="10.050000000000001" customHeight="1" x14ac:dyDescent="0.3">
      <c r="B373" s="85"/>
      <c r="C373" s="85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7"/>
      <c r="T373" s="87"/>
    </row>
    <row r="374" spans="2:20" ht="19.2" customHeight="1" x14ac:dyDescent="0.3">
      <c r="B374" s="85"/>
      <c r="C374" s="85"/>
      <c r="D374" s="120" t="str">
        <f>IF(ISBLANK(PARAMETROS!$C$547),"",PARAMETROS!$C$547)</f>
        <v>¿Se realizó tamizaje audiológico a las 40 semanas?:</v>
      </c>
      <c r="E374" s="120"/>
      <c r="F374" s="120"/>
      <c r="G374" s="120"/>
      <c r="H374" s="120"/>
      <c r="I374" s="120"/>
      <c r="J374" s="120"/>
      <c r="K374" s="86"/>
      <c r="L374" s="120" t="str">
        <f>IF(ISBLANK(PARAMETROS!$C$548),"",PARAMETROS!$C$548)</f>
        <v>Resultado audiológico:</v>
      </c>
      <c r="M374" s="120"/>
      <c r="N374" s="120"/>
      <c r="O374" s="120"/>
      <c r="P374" s="120"/>
      <c r="Q374" s="120"/>
      <c r="R374" s="120"/>
      <c r="S374" s="87"/>
      <c r="T374" s="87"/>
    </row>
    <row r="375" spans="2:20" ht="10.050000000000001" customHeight="1" x14ac:dyDescent="0.3">
      <c r="B375" s="85"/>
      <c r="C375" s="85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7"/>
      <c r="T375" s="87"/>
    </row>
    <row r="376" spans="2:20" ht="13.05" customHeight="1" x14ac:dyDescent="0.3">
      <c r="B376" s="85"/>
      <c r="C376" s="85"/>
      <c r="D376" s="121"/>
      <c r="E376" s="121"/>
      <c r="F376" s="121"/>
      <c r="G376" s="121"/>
      <c r="H376" s="121"/>
      <c r="I376" s="121"/>
      <c r="J376" s="121"/>
      <c r="K376" s="86"/>
      <c r="L376" s="121"/>
      <c r="M376" s="121"/>
      <c r="N376" s="121"/>
      <c r="O376" s="121"/>
      <c r="P376" s="121"/>
      <c r="Q376" s="121"/>
      <c r="R376" s="121"/>
      <c r="S376" s="87"/>
      <c r="T376" s="87"/>
    </row>
    <row r="377" spans="2:20" ht="13.05" customHeight="1" x14ac:dyDescent="0.3">
      <c r="B377" s="85"/>
      <c r="C377" s="85"/>
      <c r="D377" s="121"/>
      <c r="E377" s="121"/>
      <c r="F377" s="121"/>
      <c r="G377" s="121"/>
      <c r="H377" s="121"/>
      <c r="I377" s="121"/>
      <c r="J377" s="121"/>
      <c r="K377" s="86"/>
      <c r="L377" s="121"/>
      <c r="M377" s="121"/>
      <c r="N377" s="121"/>
      <c r="O377" s="121"/>
      <c r="P377" s="121"/>
      <c r="Q377" s="121"/>
      <c r="R377" s="121"/>
      <c r="S377" s="87"/>
      <c r="T377" s="87"/>
    </row>
    <row r="378" spans="2:20" ht="10.050000000000001" customHeight="1" x14ac:dyDescent="0.3">
      <c r="B378" s="85"/>
      <c r="C378" s="85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7"/>
      <c r="T378" s="87"/>
    </row>
    <row r="379" spans="2:20" ht="10.050000000000001" customHeight="1" thickBot="1" x14ac:dyDescent="0.35">
      <c r="B379" s="85"/>
      <c r="C379" s="88"/>
      <c r="D379" s="89"/>
      <c r="E379" s="89"/>
      <c r="F379" s="89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90"/>
      <c r="T379" s="87"/>
    </row>
    <row r="380" spans="2:20" ht="10.050000000000001" customHeight="1" thickBot="1" x14ac:dyDescent="0.35">
      <c r="B380" s="85"/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7"/>
    </row>
    <row r="381" spans="2:20" ht="10.050000000000001" customHeight="1" x14ac:dyDescent="0.3">
      <c r="B381" s="85"/>
      <c r="C381" s="82"/>
      <c r="D381" s="83"/>
      <c r="E381" s="83"/>
      <c r="F381" s="83"/>
      <c r="G381" s="83"/>
      <c r="H381" s="83"/>
      <c r="I381" s="83"/>
      <c r="J381" s="83"/>
      <c r="K381" s="83"/>
      <c r="L381" s="83"/>
      <c r="M381" s="83"/>
      <c r="N381" s="83"/>
      <c r="O381" s="83"/>
      <c r="P381" s="83"/>
      <c r="Q381" s="83"/>
      <c r="R381" s="83"/>
      <c r="S381" s="84"/>
      <c r="T381" s="87"/>
    </row>
    <row r="382" spans="2:20" ht="19.2" customHeight="1" x14ac:dyDescent="0.3">
      <c r="B382" s="85"/>
      <c r="C382" s="85"/>
      <c r="D382" s="115" t="str">
        <f>IF(ISBLANK(PARAMETROS!$C$549),"",PARAMETROS!$C$549)</f>
        <v>Finalización de Posición Canguro</v>
      </c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87"/>
      <c r="T382" s="87"/>
    </row>
    <row r="383" spans="2:20" ht="10.050000000000001" customHeight="1" x14ac:dyDescent="0.3">
      <c r="B383" s="85"/>
      <c r="C383" s="85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7"/>
      <c r="T383" s="87"/>
    </row>
    <row r="384" spans="2:20" ht="19.2" customHeight="1" x14ac:dyDescent="0.3">
      <c r="B384" s="85"/>
      <c r="C384" s="85"/>
      <c r="D384" s="118" t="str">
        <f>IF(ISBLANK(PARAMETROS!$C$550),"",PARAMETROS!$C$550)</f>
        <v>Edad cronológica cuando el niño canguro abandona la posición canguro (días):</v>
      </c>
      <c r="E384" s="118"/>
      <c r="F384" s="118"/>
      <c r="G384" s="118"/>
      <c r="H384" s="118"/>
      <c r="I384" s="118"/>
      <c r="J384" s="118"/>
      <c r="K384" s="86"/>
      <c r="L384" s="118" t="str">
        <f>IF(ISBLANK(PARAMETROS!$C$552),"",PARAMETROS!$C$552)</f>
        <v>Peso cuando el niño canguro abandona la posición canguro (gramos):</v>
      </c>
      <c r="M384" s="118"/>
      <c r="N384" s="118"/>
      <c r="O384" s="118"/>
      <c r="P384" s="118"/>
      <c r="Q384" s="118"/>
      <c r="R384" s="118"/>
      <c r="S384" s="87"/>
      <c r="T384" s="87"/>
    </row>
    <row r="385" spans="2:20" ht="10.050000000000001" customHeight="1" x14ac:dyDescent="0.3">
      <c r="B385" s="85"/>
      <c r="C385" s="85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7"/>
      <c r="T385" s="87"/>
    </row>
    <row r="386" spans="2:20" ht="13.05" customHeight="1" x14ac:dyDescent="0.3">
      <c r="B386" s="85"/>
      <c r="C386" s="85"/>
      <c r="D386" s="121"/>
      <c r="E386" s="121"/>
      <c r="F386" s="121"/>
      <c r="G386" s="121"/>
      <c r="H386" s="121"/>
      <c r="I386" s="121"/>
      <c r="J386" s="121"/>
      <c r="K386" s="86"/>
      <c r="L386" s="121"/>
      <c r="M386" s="121"/>
      <c r="N386" s="121"/>
      <c r="O386" s="121"/>
      <c r="P386" s="121"/>
      <c r="Q386" s="121"/>
      <c r="R386" s="121"/>
      <c r="S386" s="87"/>
      <c r="T386" s="87"/>
    </row>
    <row r="387" spans="2:20" ht="13.05" customHeight="1" x14ac:dyDescent="0.3">
      <c r="B387" s="85"/>
      <c r="C387" s="85"/>
      <c r="D387" s="121"/>
      <c r="E387" s="121"/>
      <c r="F387" s="121"/>
      <c r="G387" s="121"/>
      <c r="H387" s="121"/>
      <c r="I387" s="121"/>
      <c r="J387" s="121"/>
      <c r="K387" s="86"/>
      <c r="L387" s="121"/>
      <c r="M387" s="121"/>
      <c r="N387" s="121"/>
      <c r="O387" s="121"/>
      <c r="P387" s="121"/>
      <c r="Q387" s="121"/>
      <c r="R387" s="121"/>
      <c r="S387" s="87"/>
      <c r="T387" s="87"/>
    </row>
    <row r="388" spans="2:20" ht="10.050000000000001" customHeight="1" x14ac:dyDescent="0.3">
      <c r="B388" s="85"/>
      <c r="C388" s="85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7"/>
      <c r="T388" s="87"/>
    </row>
    <row r="389" spans="2:20" ht="19.2" customHeight="1" x14ac:dyDescent="0.3">
      <c r="B389" s="85"/>
      <c r="C389" s="85"/>
      <c r="D389" s="118" t="str">
        <f>IF(ISBLANK(PARAMETROS!$C$551),"",PARAMETROS!$C$551)</f>
        <v>Talla cuando el niño canguro abandona la posición canguro (cm):</v>
      </c>
      <c r="E389" s="118"/>
      <c r="F389" s="118"/>
      <c r="G389" s="118"/>
      <c r="H389" s="118"/>
      <c r="I389" s="118"/>
      <c r="J389" s="118"/>
      <c r="K389" s="86"/>
      <c r="L389" s="118" t="str">
        <f>IF(ISBLANK(PARAMETROS!$C$553),"",PARAMETROS!$C$553)</f>
        <v>Perímetro cefálico cuando el niño canguro abandona la posición canguro (cm):</v>
      </c>
      <c r="M389" s="118"/>
      <c r="N389" s="118"/>
      <c r="O389" s="118"/>
      <c r="P389" s="118"/>
      <c r="Q389" s="118"/>
      <c r="R389" s="118"/>
      <c r="S389" s="87"/>
      <c r="T389" s="87"/>
    </row>
    <row r="390" spans="2:20" ht="10.050000000000001" customHeight="1" x14ac:dyDescent="0.3">
      <c r="B390" s="85"/>
      <c r="C390" s="85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7"/>
      <c r="T390" s="87"/>
    </row>
    <row r="391" spans="2:20" ht="13.05" customHeight="1" x14ac:dyDescent="0.3">
      <c r="B391" s="85"/>
      <c r="C391" s="85"/>
      <c r="D391" s="121"/>
      <c r="E391" s="121"/>
      <c r="F391" s="121"/>
      <c r="G391" s="121"/>
      <c r="H391" s="121"/>
      <c r="I391" s="121"/>
      <c r="J391" s="121"/>
      <c r="K391" s="86"/>
      <c r="L391" s="121"/>
      <c r="M391" s="121"/>
      <c r="N391" s="121"/>
      <c r="O391" s="121"/>
      <c r="P391" s="121"/>
      <c r="Q391" s="121"/>
      <c r="R391" s="121"/>
      <c r="S391" s="87"/>
      <c r="T391" s="87"/>
    </row>
    <row r="392" spans="2:20" ht="13.05" customHeight="1" x14ac:dyDescent="0.3">
      <c r="B392" s="85"/>
      <c r="C392" s="85"/>
      <c r="D392" s="121"/>
      <c r="E392" s="121"/>
      <c r="F392" s="121"/>
      <c r="G392" s="121"/>
      <c r="H392" s="121"/>
      <c r="I392" s="121"/>
      <c r="J392" s="121"/>
      <c r="K392" s="86"/>
      <c r="L392" s="121"/>
      <c r="M392" s="121"/>
      <c r="N392" s="121"/>
      <c r="O392" s="121"/>
      <c r="P392" s="121"/>
      <c r="Q392" s="121"/>
      <c r="R392" s="121"/>
      <c r="S392" s="87"/>
      <c r="T392" s="87"/>
    </row>
    <row r="393" spans="2:20" ht="10.050000000000001" customHeight="1" x14ac:dyDescent="0.3">
      <c r="B393" s="85"/>
      <c r="C393" s="85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7"/>
      <c r="T393" s="87"/>
    </row>
    <row r="394" spans="2:20" ht="10.050000000000001" customHeight="1" thickBot="1" x14ac:dyDescent="0.35">
      <c r="B394" s="85"/>
      <c r="C394" s="88"/>
      <c r="D394" s="89"/>
      <c r="E394" s="89"/>
      <c r="F394" s="89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90"/>
      <c r="T394" s="87"/>
    </row>
    <row r="395" spans="2:20" ht="10.050000000000001" customHeight="1" thickBot="1" x14ac:dyDescent="0.35">
      <c r="B395" s="85"/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7"/>
    </row>
    <row r="396" spans="2:20" ht="10.050000000000001" customHeight="1" x14ac:dyDescent="0.3">
      <c r="B396" s="85"/>
      <c r="C396" s="82"/>
      <c r="D396" s="83"/>
      <c r="E396" s="83"/>
      <c r="F396" s="83"/>
      <c r="G396" s="83"/>
      <c r="H396" s="83"/>
      <c r="I396" s="83"/>
      <c r="J396" s="83"/>
      <c r="K396" s="83"/>
      <c r="L396" s="83"/>
      <c r="M396" s="83"/>
      <c r="N396" s="83"/>
      <c r="O396" s="83"/>
      <c r="P396" s="83"/>
      <c r="Q396" s="83"/>
      <c r="R396" s="83"/>
      <c r="S396" s="84"/>
      <c r="T396" s="87"/>
    </row>
    <row r="397" spans="2:20" ht="19.2" customHeight="1" x14ac:dyDescent="0.3">
      <c r="B397" s="85"/>
      <c r="C397" s="85"/>
      <c r="D397" s="115" t="str">
        <f>IF(ISBLANK(PARAMETROS!$C$554),"",PARAMETROS!$C$554)</f>
        <v>Recuperación de Peso al Nacer</v>
      </c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87"/>
      <c r="T397" s="87"/>
    </row>
    <row r="398" spans="2:20" ht="10.050000000000001" customHeight="1" x14ac:dyDescent="0.3">
      <c r="B398" s="85"/>
      <c r="C398" s="85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7"/>
      <c r="T398" s="87"/>
    </row>
    <row r="399" spans="2:20" ht="19.2" customHeight="1" x14ac:dyDescent="0.3">
      <c r="B399" s="85"/>
      <c r="C399" s="85"/>
      <c r="D399" s="118" t="str">
        <f>IF(ISBLANK(PARAMETROS!$C$555),"",PARAMETROS!$C$555)</f>
        <v>Edad cronológica cuando el niño canguro recupera su peso de nacer (días):</v>
      </c>
      <c r="E399" s="118"/>
      <c r="F399" s="118"/>
      <c r="G399" s="118"/>
      <c r="H399" s="118"/>
      <c r="I399" s="118"/>
      <c r="J399" s="118"/>
      <c r="K399" s="86"/>
      <c r="L399" s="118" t="str">
        <f>IF(ISBLANK(PARAMETROS!$C$556),"",PARAMETROS!$C$556)</f>
        <v>Recupera el peso al nacer:</v>
      </c>
      <c r="M399" s="118"/>
      <c r="N399" s="118"/>
      <c r="O399" s="118"/>
      <c r="P399" s="118"/>
      <c r="Q399" s="118"/>
      <c r="R399" s="118"/>
      <c r="S399" s="87"/>
      <c r="T399" s="87"/>
    </row>
    <row r="400" spans="2:20" ht="10.050000000000001" customHeight="1" x14ac:dyDescent="0.3">
      <c r="B400" s="85"/>
      <c r="C400" s="85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7"/>
      <c r="T400" s="87"/>
    </row>
    <row r="401" spans="2:20" ht="13.05" customHeight="1" x14ac:dyDescent="0.3">
      <c r="B401" s="85"/>
      <c r="C401" s="85"/>
      <c r="D401" s="121"/>
      <c r="E401" s="121"/>
      <c r="F401" s="121"/>
      <c r="G401" s="121"/>
      <c r="H401" s="121"/>
      <c r="I401" s="121"/>
      <c r="J401" s="121"/>
      <c r="K401" s="86"/>
      <c r="L401" s="121"/>
      <c r="M401" s="121"/>
      <c r="N401" s="121"/>
      <c r="O401" s="121"/>
      <c r="P401" s="121"/>
      <c r="Q401" s="121"/>
      <c r="R401" s="121"/>
      <c r="S401" s="87"/>
      <c r="T401" s="87"/>
    </row>
    <row r="402" spans="2:20" ht="13.05" customHeight="1" x14ac:dyDescent="0.3">
      <c r="B402" s="85"/>
      <c r="C402" s="85"/>
      <c r="D402" s="121"/>
      <c r="E402" s="121"/>
      <c r="F402" s="121"/>
      <c r="G402" s="121"/>
      <c r="H402" s="121"/>
      <c r="I402" s="121"/>
      <c r="J402" s="121"/>
      <c r="K402" s="86"/>
      <c r="L402" s="121"/>
      <c r="M402" s="121"/>
      <c r="N402" s="121"/>
      <c r="O402" s="121"/>
      <c r="P402" s="121"/>
      <c r="Q402" s="121"/>
      <c r="R402" s="121"/>
      <c r="S402" s="87"/>
      <c r="T402" s="87"/>
    </row>
    <row r="403" spans="2:20" ht="10.050000000000001" customHeight="1" x14ac:dyDescent="0.3">
      <c r="B403" s="85"/>
      <c r="C403" s="85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7"/>
      <c r="T403" s="87"/>
    </row>
    <row r="404" spans="2:20" ht="10.050000000000001" customHeight="1" thickBot="1" x14ac:dyDescent="0.35">
      <c r="B404" s="85"/>
      <c r="C404" s="88"/>
      <c r="D404" s="89"/>
      <c r="E404" s="89"/>
      <c r="F404" s="89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90"/>
      <c r="T404" s="87"/>
    </row>
    <row r="405" spans="2:20" ht="10.050000000000001" customHeight="1" x14ac:dyDescent="0.3">
      <c r="B405" s="85"/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7"/>
    </row>
    <row r="406" spans="2:20" ht="13.05" customHeight="1" x14ac:dyDescent="0.3">
      <c r="B406" s="85"/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7"/>
    </row>
    <row r="407" spans="2:20" ht="13.05" customHeight="1" x14ac:dyDescent="0.3">
      <c r="B407" s="85"/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7"/>
    </row>
    <row r="408" spans="2:20" ht="10.050000000000001" customHeight="1" thickBot="1" x14ac:dyDescent="0.35">
      <c r="B408" s="88"/>
      <c r="C408" s="89"/>
      <c r="D408" s="89"/>
      <c r="E408" s="89"/>
      <c r="F408" s="89"/>
      <c r="G408" s="89"/>
      <c r="H408" s="89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90"/>
    </row>
    <row r="409" spans="2:20" ht="19.2" customHeight="1" x14ac:dyDescent="0.3"/>
    <row r="410" spans="2:20" ht="10.050000000000001" customHeight="1" x14ac:dyDescent="0.3">
      <c r="B410" s="85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7"/>
    </row>
    <row r="411" spans="2:20" ht="13.05" customHeight="1" x14ac:dyDescent="0.3">
      <c r="B411" s="85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7"/>
    </row>
    <row r="412" spans="2:20" ht="13.05" customHeight="1" x14ac:dyDescent="0.3">
      <c r="B412" s="85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7"/>
    </row>
    <row r="413" spans="2:20" ht="10.050000000000001" customHeight="1" thickBot="1" x14ac:dyDescent="0.35">
      <c r="B413" s="85"/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7"/>
    </row>
    <row r="414" spans="2:20" ht="10.050000000000001" customHeight="1" x14ac:dyDescent="0.3">
      <c r="B414" s="85"/>
      <c r="C414" s="82"/>
      <c r="D414" s="83"/>
      <c r="E414" s="83"/>
      <c r="F414" s="83"/>
      <c r="G414" s="83"/>
      <c r="H414" s="83"/>
      <c r="I414" s="83"/>
      <c r="J414" s="83"/>
      <c r="K414" s="83"/>
      <c r="L414" s="83"/>
      <c r="M414" s="83"/>
      <c r="N414" s="83"/>
      <c r="O414" s="83"/>
      <c r="P414" s="83"/>
      <c r="Q414" s="83"/>
      <c r="R414" s="83"/>
      <c r="S414" s="84"/>
      <c r="T414" s="87"/>
    </row>
    <row r="415" spans="2:20" ht="19.2" customHeight="1" x14ac:dyDescent="0.3">
      <c r="B415" s="85"/>
      <c r="C415" s="85"/>
      <c r="D415" s="115" t="str">
        <f>IF(ISBLANK(PARAMETROS!$C$557),"",PARAMETROS!$C$557)</f>
        <v>3 meses</v>
      </c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87"/>
      <c r="T415" s="87"/>
    </row>
    <row r="416" spans="2:20" ht="10.050000000000001" customHeight="1" x14ac:dyDescent="0.3">
      <c r="B416" s="85"/>
      <c r="C416" s="85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7"/>
      <c r="T416" s="87"/>
    </row>
    <row r="417" spans="2:20" ht="19.2" customHeight="1" x14ac:dyDescent="0.3">
      <c r="B417" s="85"/>
      <c r="C417" s="85"/>
      <c r="D417" s="118" t="str">
        <f>IF(ISBLANK(PARAMETROS!$C$558),"",PARAMETROS!$C$558)</f>
        <v>Peso a los 3 meses EC (gramos):</v>
      </c>
      <c r="E417" s="118"/>
      <c r="F417" s="118"/>
      <c r="G417" s="118"/>
      <c r="H417" s="118"/>
      <c r="I417" s="118"/>
      <c r="J417" s="118"/>
      <c r="K417" s="86"/>
      <c r="L417" s="118" t="str">
        <f>IF(ISBLANK(PARAMETROS!$C$559),"",PARAMETROS!$C$559)</f>
        <v>Talla a los 3 meses EC (cm):</v>
      </c>
      <c r="M417" s="118"/>
      <c r="N417" s="118"/>
      <c r="O417" s="118"/>
      <c r="P417" s="118"/>
      <c r="Q417" s="118"/>
      <c r="R417" s="118"/>
      <c r="S417" s="87"/>
      <c r="T417" s="87"/>
    </row>
    <row r="418" spans="2:20" ht="10.050000000000001" customHeight="1" x14ac:dyDescent="0.3">
      <c r="B418" s="85"/>
      <c r="C418" s="85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7"/>
      <c r="T418" s="87"/>
    </row>
    <row r="419" spans="2:20" ht="13.05" customHeight="1" x14ac:dyDescent="0.3">
      <c r="B419" s="85"/>
      <c r="C419" s="85"/>
      <c r="D419" s="121"/>
      <c r="E419" s="121"/>
      <c r="F419" s="121"/>
      <c r="G419" s="121"/>
      <c r="H419" s="121"/>
      <c r="I419" s="121"/>
      <c r="J419" s="121"/>
      <c r="K419" s="86"/>
      <c r="L419" s="121"/>
      <c r="M419" s="121"/>
      <c r="N419" s="121"/>
      <c r="O419" s="121"/>
      <c r="P419" s="121"/>
      <c r="Q419" s="121"/>
      <c r="R419" s="121"/>
      <c r="S419" s="87"/>
      <c r="T419" s="87"/>
    </row>
    <row r="420" spans="2:20" ht="13.05" customHeight="1" x14ac:dyDescent="0.3">
      <c r="B420" s="85"/>
      <c r="C420" s="85"/>
      <c r="D420" s="121"/>
      <c r="E420" s="121"/>
      <c r="F420" s="121"/>
      <c r="G420" s="121"/>
      <c r="H420" s="121"/>
      <c r="I420" s="121"/>
      <c r="J420" s="121"/>
      <c r="K420" s="86"/>
      <c r="L420" s="121"/>
      <c r="M420" s="121"/>
      <c r="N420" s="121"/>
      <c r="O420" s="121"/>
      <c r="P420" s="121"/>
      <c r="Q420" s="121"/>
      <c r="R420" s="121"/>
      <c r="S420" s="87"/>
      <c r="T420" s="87"/>
    </row>
    <row r="421" spans="2:20" ht="10.050000000000001" customHeight="1" x14ac:dyDescent="0.3">
      <c r="B421" s="85"/>
      <c r="C421" s="85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7"/>
      <c r="T421" s="87"/>
    </row>
    <row r="422" spans="2:20" ht="19.2" customHeight="1" x14ac:dyDescent="0.3">
      <c r="B422" s="85"/>
      <c r="C422" s="85"/>
      <c r="D422" s="118" t="str">
        <f>IF(ISBLANK(PARAMETROS!$C$560),"",PARAMETROS!$C$560)</f>
        <v>Perimetro cefálico a los 3 meses EC (cm):</v>
      </c>
      <c r="E422" s="118"/>
      <c r="F422" s="118"/>
      <c r="G422" s="118"/>
      <c r="H422" s="118"/>
      <c r="I422" s="118"/>
      <c r="J422" s="118"/>
      <c r="K422" s="86"/>
      <c r="L422" s="118" t="str">
        <f>IF(ISBLANK(PARAMETROS!$C$561),"",PARAMETROS!$C$561)</f>
        <v>Inicio de alimentación complementaria a los 3 meses EC:</v>
      </c>
      <c r="M422" s="118"/>
      <c r="N422" s="118"/>
      <c r="O422" s="118"/>
      <c r="P422" s="118"/>
      <c r="Q422" s="118"/>
      <c r="R422" s="118"/>
      <c r="S422" s="87"/>
      <c r="T422" s="87"/>
    </row>
    <row r="423" spans="2:20" ht="10.050000000000001" customHeight="1" x14ac:dyDescent="0.3">
      <c r="B423" s="85"/>
      <c r="C423" s="85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7"/>
      <c r="T423" s="87"/>
    </row>
    <row r="424" spans="2:20" ht="13.05" customHeight="1" x14ac:dyDescent="0.3">
      <c r="B424" s="85"/>
      <c r="C424" s="85"/>
      <c r="D424" s="121"/>
      <c r="E424" s="121"/>
      <c r="F424" s="121"/>
      <c r="G424" s="121"/>
      <c r="H424" s="121"/>
      <c r="I424" s="121"/>
      <c r="J424" s="121"/>
      <c r="K424" s="86"/>
      <c r="L424" s="121"/>
      <c r="M424" s="121"/>
      <c r="N424" s="121"/>
      <c r="O424" s="121"/>
      <c r="P424" s="121"/>
      <c r="Q424" s="121"/>
      <c r="R424" s="121"/>
      <c r="S424" s="87"/>
      <c r="T424" s="87"/>
    </row>
    <row r="425" spans="2:20" ht="13.05" customHeight="1" x14ac:dyDescent="0.3">
      <c r="B425" s="85"/>
      <c r="C425" s="85"/>
      <c r="D425" s="121"/>
      <c r="E425" s="121"/>
      <c r="F425" s="121"/>
      <c r="G425" s="121"/>
      <c r="H425" s="121"/>
      <c r="I425" s="121"/>
      <c r="J425" s="121"/>
      <c r="K425" s="86"/>
      <c r="L425" s="121"/>
      <c r="M425" s="121"/>
      <c r="N425" s="121"/>
      <c r="O425" s="121"/>
      <c r="P425" s="121"/>
      <c r="Q425" s="121"/>
      <c r="R425" s="121"/>
      <c r="S425" s="87"/>
      <c r="T425" s="87"/>
    </row>
    <row r="426" spans="2:20" ht="10.050000000000001" customHeight="1" x14ac:dyDescent="0.3">
      <c r="B426" s="85"/>
      <c r="C426" s="85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7"/>
      <c r="T426" s="87"/>
    </row>
    <row r="427" spans="2:20" ht="19.2" customHeight="1" x14ac:dyDescent="0.3">
      <c r="B427" s="85"/>
      <c r="C427" s="85"/>
      <c r="D427" s="118" t="str">
        <f>IF(ISBLANK(PARAMETROS!$C$562),"",PARAMETROS!$C$562)</f>
        <v>Tipo de alimentación a los 3 meses EC:</v>
      </c>
      <c r="E427" s="118"/>
      <c r="F427" s="118"/>
      <c r="G427" s="118"/>
      <c r="H427" s="118"/>
      <c r="I427" s="118"/>
      <c r="J427" s="118"/>
      <c r="K427" s="86"/>
      <c r="L427" s="118" t="str">
        <f>IF(ISBLANK(PARAMETROS!$C$563),"",PARAMETROS!$C$563)</f>
        <v>Calendario de vacunación completo a los 3 meses EC:</v>
      </c>
      <c r="M427" s="118"/>
      <c r="N427" s="118"/>
      <c r="O427" s="118"/>
      <c r="P427" s="118"/>
      <c r="Q427" s="118"/>
      <c r="R427" s="118"/>
      <c r="S427" s="87"/>
      <c r="T427" s="87"/>
    </row>
    <row r="428" spans="2:20" ht="10.050000000000001" customHeight="1" x14ac:dyDescent="0.3">
      <c r="B428" s="85"/>
      <c r="C428" s="85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  <c r="S428" s="87"/>
      <c r="T428" s="87"/>
    </row>
    <row r="429" spans="2:20" ht="13.05" customHeight="1" x14ac:dyDescent="0.3">
      <c r="B429" s="85"/>
      <c r="C429" s="85"/>
      <c r="D429" s="121"/>
      <c r="E429" s="121"/>
      <c r="F429" s="121"/>
      <c r="G429" s="121"/>
      <c r="H429" s="121"/>
      <c r="I429" s="121"/>
      <c r="J429" s="121"/>
      <c r="K429" s="86"/>
      <c r="L429" s="121"/>
      <c r="M429" s="121"/>
      <c r="N429" s="121"/>
      <c r="O429" s="121"/>
      <c r="P429" s="121"/>
      <c r="Q429" s="121"/>
      <c r="R429" s="121"/>
      <c r="S429" s="87"/>
      <c r="T429" s="87"/>
    </row>
    <row r="430" spans="2:20" ht="13.05" customHeight="1" x14ac:dyDescent="0.3">
      <c r="B430" s="85"/>
      <c r="C430" s="85"/>
      <c r="D430" s="121"/>
      <c r="E430" s="121"/>
      <c r="F430" s="121"/>
      <c r="G430" s="121"/>
      <c r="H430" s="121"/>
      <c r="I430" s="121"/>
      <c r="J430" s="121"/>
      <c r="K430" s="86"/>
      <c r="L430" s="121"/>
      <c r="M430" s="121"/>
      <c r="N430" s="121"/>
      <c r="O430" s="121"/>
      <c r="P430" s="121"/>
      <c r="Q430" s="121"/>
      <c r="R430" s="121"/>
      <c r="S430" s="87"/>
      <c r="T430" s="87"/>
    </row>
    <row r="431" spans="2:20" ht="10.050000000000001" customHeight="1" x14ac:dyDescent="0.3">
      <c r="B431" s="85"/>
      <c r="C431" s="85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7"/>
      <c r="T431" s="87"/>
    </row>
    <row r="432" spans="2:20" ht="19.2" customHeight="1" x14ac:dyDescent="0.3">
      <c r="B432" s="85"/>
      <c r="C432" s="85"/>
      <c r="D432" s="118" t="str">
        <f>IF(ISBLANK(PARAMETROS!$C$564),"",PARAMETROS!$C$564)</f>
        <v>Resultado de la prueba de desarrollo neuromotor a los 3 meses EC:</v>
      </c>
      <c r="E432" s="118"/>
      <c r="F432" s="118"/>
      <c r="G432" s="118"/>
      <c r="H432" s="118"/>
      <c r="I432" s="118"/>
      <c r="J432" s="118"/>
      <c r="K432" s="86"/>
      <c r="L432" s="120" t="str">
        <f>IF(ISBLANK(PARAMETROS!$C$565),"",PARAMETROS!$C$565)</f>
        <v>¿Se realizó tamizaje oftalmológico entre 40 semanas y 3 meses?:</v>
      </c>
      <c r="M432" s="120"/>
      <c r="N432" s="120"/>
      <c r="O432" s="120"/>
      <c r="P432" s="120"/>
      <c r="Q432" s="120"/>
      <c r="R432" s="120"/>
      <c r="S432" s="87"/>
      <c r="T432" s="87"/>
    </row>
    <row r="433" spans="2:20" ht="10.050000000000001" customHeight="1" x14ac:dyDescent="0.3">
      <c r="B433" s="93"/>
      <c r="C433" s="85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7"/>
      <c r="T433" s="87"/>
    </row>
    <row r="434" spans="2:20" ht="13.05" customHeight="1" x14ac:dyDescent="0.3">
      <c r="B434" s="93"/>
      <c r="C434" s="85"/>
      <c r="D434" s="121"/>
      <c r="E434" s="121"/>
      <c r="F434" s="121"/>
      <c r="G434" s="121"/>
      <c r="H434" s="121"/>
      <c r="I434" s="121"/>
      <c r="J434" s="121"/>
      <c r="K434" s="86"/>
      <c r="L434" s="121"/>
      <c r="M434" s="121"/>
      <c r="N434" s="121"/>
      <c r="O434" s="121"/>
      <c r="P434" s="121"/>
      <c r="Q434" s="121"/>
      <c r="R434" s="121"/>
      <c r="S434" s="87"/>
      <c r="T434" s="87"/>
    </row>
    <row r="435" spans="2:20" ht="13.05" customHeight="1" x14ac:dyDescent="0.3">
      <c r="B435" s="93"/>
      <c r="C435" s="85"/>
      <c r="D435" s="121"/>
      <c r="E435" s="121"/>
      <c r="F435" s="121"/>
      <c r="G435" s="121"/>
      <c r="H435" s="121"/>
      <c r="I435" s="121"/>
      <c r="J435" s="121"/>
      <c r="K435" s="86"/>
      <c r="L435" s="121"/>
      <c r="M435" s="121"/>
      <c r="N435" s="121"/>
      <c r="O435" s="121"/>
      <c r="P435" s="121"/>
      <c r="Q435" s="121"/>
      <c r="R435" s="121"/>
      <c r="S435" s="87"/>
      <c r="T435" s="87"/>
    </row>
    <row r="436" spans="2:20" ht="10.050000000000001" customHeight="1" x14ac:dyDescent="0.3">
      <c r="B436" s="93"/>
      <c r="C436" s="85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7"/>
      <c r="T436" s="87"/>
    </row>
    <row r="437" spans="2:20" ht="19.2" customHeight="1" x14ac:dyDescent="0.3">
      <c r="B437" s="93"/>
      <c r="C437" s="85"/>
      <c r="D437" s="120" t="str">
        <f>IF(ISBLANK(PARAMETROS!$C$566),"",PARAMETROS!$C$566)</f>
        <v>Resultado oftalmológico:</v>
      </c>
      <c r="E437" s="120"/>
      <c r="F437" s="120"/>
      <c r="G437" s="120"/>
      <c r="H437" s="120"/>
      <c r="I437" s="120"/>
      <c r="J437" s="120"/>
      <c r="K437" s="86"/>
      <c r="L437" s="120" t="str">
        <f>IF(ISBLANK(PARAMETROS!$C$567),"",PARAMETROS!$C$567)</f>
        <v>Resultado oftalmológico ceguera:</v>
      </c>
      <c r="M437" s="120"/>
      <c r="N437" s="120"/>
      <c r="O437" s="120"/>
      <c r="P437" s="120"/>
      <c r="Q437" s="120"/>
      <c r="R437" s="120"/>
      <c r="S437" s="87"/>
      <c r="T437" s="87"/>
    </row>
    <row r="438" spans="2:20" ht="10.050000000000001" customHeight="1" x14ac:dyDescent="0.3">
      <c r="B438" s="85"/>
      <c r="C438" s="85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7"/>
      <c r="T438" s="87"/>
    </row>
    <row r="439" spans="2:20" ht="13.05" customHeight="1" x14ac:dyDescent="0.3">
      <c r="B439" s="85"/>
      <c r="C439" s="85"/>
      <c r="D439" s="121"/>
      <c r="E439" s="121"/>
      <c r="F439" s="121"/>
      <c r="G439" s="121"/>
      <c r="H439" s="121"/>
      <c r="I439" s="121"/>
      <c r="J439" s="121"/>
      <c r="K439" s="86"/>
      <c r="L439" s="121"/>
      <c r="M439" s="121"/>
      <c r="N439" s="121"/>
      <c r="O439" s="121"/>
      <c r="P439" s="121"/>
      <c r="Q439" s="121"/>
      <c r="R439" s="121"/>
      <c r="S439" s="87"/>
      <c r="T439" s="87"/>
    </row>
    <row r="440" spans="2:20" ht="13.05" customHeight="1" x14ac:dyDescent="0.3">
      <c r="B440" s="85"/>
      <c r="C440" s="85"/>
      <c r="D440" s="121"/>
      <c r="E440" s="121"/>
      <c r="F440" s="121"/>
      <c r="G440" s="121"/>
      <c r="H440" s="121"/>
      <c r="I440" s="121"/>
      <c r="J440" s="121"/>
      <c r="K440" s="86"/>
      <c r="L440" s="121"/>
      <c r="M440" s="121"/>
      <c r="N440" s="121"/>
      <c r="O440" s="121"/>
      <c r="P440" s="121"/>
      <c r="Q440" s="121"/>
      <c r="R440" s="121"/>
      <c r="S440" s="87"/>
      <c r="T440" s="87"/>
    </row>
    <row r="441" spans="2:20" ht="10.050000000000001" customHeight="1" x14ac:dyDescent="0.3">
      <c r="B441" s="85"/>
      <c r="C441" s="85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7"/>
      <c r="T441" s="87"/>
    </row>
    <row r="442" spans="2:20" ht="19.2" customHeight="1" x14ac:dyDescent="0.3">
      <c r="B442" s="85"/>
      <c r="C442" s="85"/>
      <c r="D442" s="120" t="str">
        <f>IF(ISBLANK(PARAMETROS!$C$568),"",PARAMETROS!$C$568)</f>
        <v>¿Se realizó tamizaje audiológico entre 40 semanas y 3 meses?:</v>
      </c>
      <c r="E442" s="120"/>
      <c r="F442" s="120"/>
      <c r="G442" s="120"/>
      <c r="H442" s="120"/>
      <c r="I442" s="120"/>
      <c r="J442" s="120"/>
      <c r="K442" s="86"/>
      <c r="L442" s="120" t="str">
        <f>IF(ISBLANK(PARAMETROS!$C$569),"",PARAMETROS!$C$569)</f>
        <v>Resultado audiológico:</v>
      </c>
      <c r="M442" s="120"/>
      <c r="N442" s="120"/>
      <c r="O442" s="120"/>
      <c r="P442" s="120"/>
      <c r="Q442" s="120"/>
      <c r="R442" s="120"/>
      <c r="S442" s="87"/>
      <c r="T442" s="87"/>
    </row>
    <row r="443" spans="2:20" ht="10.050000000000001" customHeight="1" x14ac:dyDescent="0.3">
      <c r="B443" s="85"/>
      <c r="C443" s="85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7"/>
      <c r="T443" s="87"/>
    </row>
    <row r="444" spans="2:20" ht="13.05" customHeight="1" x14ac:dyDescent="0.3">
      <c r="B444" s="85"/>
      <c r="C444" s="85"/>
      <c r="D444" s="121"/>
      <c r="E444" s="121"/>
      <c r="F444" s="121"/>
      <c r="G444" s="121"/>
      <c r="H444" s="121"/>
      <c r="I444" s="121"/>
      <c r="J444" s="121"/>
      <c r="K444" s="86"/>
      <c r="L444" s="121"/>
      <c r="M444" s="121"/>
      <c r="N444" s="121"/>
      <c r="O444" s="121"/>
      <c r="P444" s="121"/>
      <c r="Q444" s="121"/>
      <c r="R444" s="121"/>
      <c r="S444" s="87"/>
      <c r="T444" s="87"/>
    </row>
    <row r="445" spans="2:20" ht="13.05" customHeight="1" x14ac:dyDescent="0.3">
      <c r="B445" s="85"/>
      <c r="C445" s="85"/>
      <c r="D445" s="121"/>
      <c r="E445" s="121"/>
      <c r="F445" s="121"/>
      <c r="G445" s="121"/>
      <c r="H445" s="121"/>
      <c r="I445" s="121"/>
      <c r="J445" s="121"/>
      <c r="K445" s="86"/>
      <c r="L445" s="121"/>
      <c r="M445" s="121"/>
      <c r="N445" s="121"/>
      <c r="O445" s="121"/>
      <c r="P445" s="121"/>
      <c r="Q445" s="121"/>
      <c r="R445" s="121"/>
      <c r="S445" s="87"/>
      <c r="T445" s="87"/>
    </row>
    <row r="446" spans="2:20" ht="10.050000000000001" customHeight="1" x14ac:dyDescent="0.3">
      <c r="B446" s="85"/>
      <c r="C446" s="85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7"/>
      <c r="T446" s="87"/>
    </row>
    <row r="447" spans="2:20" ht="19.2" customHeight="1" x14ac:dyDescent="0.3">
      <c r="B447" s="85"/>
      <c r="C447" s="85"/>
      <c r="D447" s="120" t="str">
        <f>IF(ISBLANK(PARAMETROS!$C$570),"",PARAMETROS!$C$570)</f>
        <v>Resultado optometría a los 3 meses:</v>
      </c>
      <c r="E447" s="120"/>
      <c r="F447" s="120"/>
      <c r="G447" s="120"/>
      <c r="H447" s="120"/>
      <c r="I447" s="120"/>
      <c r="J447" s="120"/>
      <c r="K447" s="86"/>
      <c r="L447" s="120" t="str">
        <f>IF(ISBLANK(PARAMETROS!$C$571),"",PARAMETROS!$C$571)</f>
        <v>Cual:</v>
      </c>
      <c r="M447" s="120"/>
      <c r="N447" s="120"/>
      <c r="O447" s="120"/>
      <c r="P447" s="120"/>
      <c r="Q447" s="120"/>
      <c r="R447" s="120"/>
      <c r="S447" s="87"/>
      <c r="T447" s="87"/>
    </row>
    <row r="448" spans="2:20" ht="10.050000000000001" customHeight="1" x14ac:dyDescent="0.3">
      <c r="B448" s="85"/>
      <c r="C448" s="85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7"/>
      <c r="T448" s="87"/>
    </row>
    <row r="449" spans="2:20" ht="13.05" customHeight="1" x14ac:dyDescent="0.3">
      <c r="B449" s="85"/>
      <c r="C449" s="85"/>
      <c r="D449" s="121"/>
      <c r="E449" s="121"/>
      <c r="F449" s="121"/>
      <c r="G449" s="121"/>
      <c r="H449" s="121"/>
      <c r="I449" s="121"/>
      <c r="J449" s="121"/>
      <c r="K449" s="86"/>
      <c r="L449" s="121"/>
      <c r="M449" s="121"/>
      <c r="N449" s="121"/>
      <c r="O449" s="121"/>
      <c r="P449" s="121"/>
      <c r="Q449" s="121"/>
      <c r="R449" s="121"/>
      <c r="S449" s="87"/>
      <c r="T449" s="87"/>
    </row>
    <row r="450" spans="2:20" ht="13.05" customHeight="1" x14ac:dyDescent="0.3">
      <c r="B450" s="85"/>
      <c r="C450" s="85"/>
      <c r="D450" s="121"/>
      <c r="E450" s="121"/>
      <c r="F450" s="121"/>
      <c r="G450" s="121"/>
      <c r="H450" s="121"/>
      <c r="I450" s="121"/>
      <c r="J450" s="121"/>
      <c r="K450" s="86"/>
      <c r="L450" s="121"/>
      <c r="M450" s="121"/>
      <c r="N450" s="121"/>
      <c r="O450" s="121"/>
      <c r="P450" s="121"/>
      <c r="Q450" s="121"/>
      <c r="R450" s="121"/>
      <c r="S450" s="87"/>
      <c r="T450" s="87"/>
    </row>
    <row r="451" spans="2:20" ht="10.050000000000001" customHeight="1" x14ac:dyDescent="0.3">
      <c r="B451" s="85"/>
      <c r="C451" s="85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7"/>
      <c r="T451" s="87"/>
    </row>
    <row r="452" spans="2:20" ht="10.050000000000001" customHeight="1" thickBot="1" x14ac:dyDescent="0.35">
      <c r="B452" s="85"/>
      <c r="C452" s="88"/>
      <c r="D452" s="89"/>
      <c r="E452" s="89"/>
      <c r="F452" s="89"/>
      <c r="G452" s="89"/>
      <c r="H452" s="89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90"/>
      <c r="T452" s="87"/>
    </row>
    <row r="453" spans="2:20" ht="10.050000000000001" customHeight="1" x14ac:dyDescent="0.3">
      <c r="B453" s="85"/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7"/>
    </row>
    <row r="454" spans="2:20" ht="13.05" customHeight="1" x14ac:dyDescent="0.3">
      <c r="B454" s="85"/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7"/>
    </row>
    <row r="455" spans="2:20" ht="13.05" customHeight="1" x14ac:dyDescent="0.3">
      <c r="B455" s="85"/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7"/>
    </row>
    <row r="456" spans="2:20" ht="10.050000000000001" customHeight="1" thickBot="1" x14ac:dyDescent="0.35">
      <c r="B456" s="88"/>
      <c r="C456" s="89"/>
      <c r="D456" s="89"/>
      <c r="E456" s="89"/>
      <c r="F456" s="89"/>
      <c r="G456" s="89"/>
      <c r="H456" s="89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90"/>
    </row>
    <row r="457" spans="2:20" ht="19.2" customHeight="1" x14ac:dyDescent="0.3"/>
    <row r="458" spans="2:20" ht="10.050000000000001" customHeight="1" x14ac:dyDescent="0.3">
      <c r="B458" s="85"/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7"/>
    </row>
    <row r="459" spans="2:20" ht="13.05" customHeight="1" x14ac:dyDescent="0.3">
      <c r="B459" s="85"/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7"/>
    </row>
    <row r="460" spans="2:20" ht="13.05" customHeight="1" x14ac:dyDescent="0.3">
      <c r="B460" s="85"/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7"/>
    </row>
    <row r="461" spans="2:20" ht="10.050000000000001" customHeight="1" thickBot="1" x14ac:dyDescent="0.35">
      <c r="B461" s="85"/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7"/>
    </row>
    <row r="462" spans="2:20" ht="10.050000000000001" customHeight="1" x14ac:dyDescent="0.3">
      <c r="B462" s="85"/>
      <c r="C462" s="82"/>
      <c r="D462" s="83"/>
      <c r="E462" s="83"/>
      <c r="F462" s="83"/>
      <c r="G462" s="83"/>
      <c r="H462" s="83"/>
      <c r="I462" s="83"/>
      <c r="J462" s="83"/>
      <c r="K462" s="83"/>
      <c r="L462" s="83"/>
      <c r="M462" s="83"/>
      <c r="N462" s="83"/>
      <c r="O462" s="83"/>
      <c r="P462" s="83"/>
      <c r="Q462" s="83"/>
      <c r="R462" s="83"/>
      <c r="S462" s="84"/>
      <c r="T462" s="87"/>
    </row>
    <row r="463" spans="2:20" ht="19.2" customHeight="1" x14ac:dyDescent="0.3">
      <c r="B463" s="85"/>
      <c r="C463" s="85"/>
      <c r="D463" s="115" t="str">
        <f>IF(ISBLANK(PARAMETROS!$C$572),"",PARAMETROS!$C$572)</f>
        <v>6 meses</v>
      </c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87"/>
      <c r="T463" s="87"/>
    </row>
    <row r="464" spans="2:20" ht="10.050000000000001" customHeight="1" x14ac:dyDescent="0.3">
      <c r="B464" s="85"/>
      <c r="C464" s="85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7"/>
      <c r="T464" s="87"/>
    </row>
    <row r="465" spans="2:20" ht="19.2" customHeight="1" x14ac:dyDescent="0.3">
      <c r="B465" s="85"/>
      <c r="C465" s="85"/>
      <c r="D465" s="118" t="str">
        <f>IF(ISBLANK(PARAMETROS!$C$573),"",PARAMETROS!$C$573)</f>
        <v>Peso a los 6 meses EC (gramos):</v>
      </c>
      <c r="E465" s="118"/>
      <c r="F465" s="118"/>
      <c r="G465" s="118"/>
      <c r="H465" s="118"/>
      <c r="I465" s="118"/>
      <c r="J465" s="118"/>
      <c r="K465" s="86"/>
      <c r="L465" s="118" t="str">
        <f>IF(ISBLANK(PARAMETROS!$C$574),"",PARAMETROS!$C$574)</f>
        <v>Talla a los 6 meses EC (cm):</v>
      </c>
      <c r="M465" s="118"/>
      <c r="N465" s="118"/>
      <c r="O465" s="118"/>
      <c r="P465" s="118"/>
      <c r="Q465" s="118"/>
      <c r="R465" s="118"/>
      <c r="S465" s="87"/>
      <c r="T465" s="87"/>
    </row>
    <row r="466" spans="2:20" ht="10.050000000000001" customHeight="1" x14ac:dyDescent="0.3">
      <c r="B466" s="85"/>
      <c r="C466" s="85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7"/>
      <c r="T466" s="87"/>
    </row>
    <row r="467" spans="2:20" ht="13.05" customHeight="1" x14ac:dyDescent="0.3">
      <c r="B467" s="85"/>
      <c r="C467" s="85"/>
      <c r="D467" s="121"/>
      <c r="E467" s="121"/>
      <c r="F467" s="121"/>
      <c r="G467" s="121"/>
      <c r="H467" s="121"/>
      <c r="I467" s="121"/>
      <c r="J467" s="121"/>
      <c r="K467" s="86"/>
      <c r="L467" s="121"/>
      <c r="M467" s="121"/>
      <c r="N467" s="121"/>
      <c r="O467" s="121"/>
      <c r="P467" s="121"/>
      <c r="Q467" s="121"/>
      <c r="R467" s="121"/>
      <c r="S467" s="87"/>
      <c r="T467" s="87"/>
    </row>
    <row r="468" spans="2:20" ht="13.05" customHeight="1" x14ac:dyDescent="0.3">
      <c r="B468" s="85"/>
      <c r="C468" s="85"/>
      <c r="D468" s="121"/>
      <c r="E468" s="121"/>
      <c r="F468" s="121"/>
      <c r="G468" s="121"/>
      <c r="H468" s="121"/>
      <c r="I468" s="121"/>
      <c r="J468" s="121"/>
      <c r="K468" s="86"/>
      <c r="L468" s="121"/>
      <c r="M468" s="121"/>
      <c r="N468" s="121"/>
      <c r="O468" s="121"/>
      <c r="P468" s="121"/>
      <c r="Q468" s="121"/>
      <c r="R468" s="121"/>
      <c r="S468" s="87"/>
      <c r="T468" s="87"/>
    </row>
    <row r="469" spans="2:20" ht="10.050000000000001" customHeight="1" x14ac:dyDescent="0.3">
      <c r="B469" s="85"/>
      <c r="C469" s="85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7"/>
      <c r="T469" s="87"/>
    </row>
    <row r="470" spans="2:20" ht="19.2" customHeight="1" x14ac:dyDescent="0.3">
      <c r="B470" s="85"/>
      <c r="C470" s="85"/>
      <c r="D470" s="118" t="str">
        <f>IF(ISBLANK(PARAMETROS!$C$575),"",PARAMETROS!$C$575)</f>
        <v>Perimetro cefálico a los 6 meses EC (cm):</v>
      </c>
      <c r="E470" s="118"/>
      <c r="F470" s="118"/>
      <c r="G470" s="118"/>
      <c r="H470" s="118"/>
      <c r="I470" s="118"/>
      <c r="J470" s="118"/>
      <c r="K470" s="86"/>
      <c r="L470" s="118" t="str">
        <f>IF(ISBLANK(PARAMETROS!$C$576),"",PARAMETROS!$C$576)</f>
        <v>Tipo de alimentación a los 6 meses EC:</v>
      </c>
      <c r="M470" s="118"/>
      <c r="N470" s="118"/>
      <c r="O470" s="118"/>
      <c r="P470" s="118"/>
      <c r="Q470" s="118"/>
      <c r="R470" s="118"/>
      <c r="S470" s="87"/>
      <c r="T470" s="87"/>
    </row>
    <row r="471" spans="2:20" ht="10.050000000000001" customHeight="1" x14ac:dyDescent="0.3">
      <c r="B471" s="85"/>
      <c r="C471" s="85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7"/>
      <c r="T471" s="87"/>
    </row>
    <row r="472" spans="2:20" ht="13.05" customHeight="1" x14ac:dyDescent="0.3">
      <c r="B472" s="85"/>
      <c r="C472" s="85"/>
      <c r="D472" s="121"/>
      <c r="E472" s="121"/>
      <c r="F472" s="121"/>
      <c r="G472" s="121"/>
      <c r="H472" s="121"/>
      <c r="I472" s="121"/>
      <c r="J472" s="121"/>
      <c r="K472" s="86"/>
      <c r="L472" s="121"/>
      <c r="M472" s="121"/>
      <c r="N472" s="121"/>
      <c r="O472" s="121"/>
      <c r="P472" s="121"/>
      <c r="Q472" s="121"/>
      <c r="R472" s="121"/>
      <c r="S472" s="87"/>
      <c r="T472" s="87"/>
    </row>
    <row r="473" spans="2:20" ht="13.05" customHeight="1" x14ac:dyDescent="0.3">
      <c r="B473" s="85"/>
      <c r="C473" s="85"/>
      <c r="D473" s="121"/>
      <c r="E473" s="121"/>
      <c r="F473" s="121"/>
      <c r="G473" s="121"/>
      <c r="H473" s="121"/>
      <c r="I473" s="121"/>
      <c r="J473" s="121"/>
      <c r="K473" s="86"/>
      <c r="L473" s="121"/>
      <c r="M473" s="121"/>
      <c r="N473" s="121"/>
      <c r="O473" s="121"/>
      <c r="P473" s="121"/>
      <c r="Q473" s="121"/>
      <c r="R473" s="121"/>
      <c r="S473" s="87"/>
      <c r="T473" s="87"/>
    </row>
    <row r="474" spans="2:20" ht="10.050000000000001" customHeight="1" x14ac:dyDescent="0.3">
      <c r="B474" s="85"/>
      <c r="C474" s="85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7"/>
      <c r="T474" s="87"/>
    </row>
    <row r="475" spans="2:20" ht="19.2" customHeight="1" x14ac:dyDescent="0.3">
      <c r="B475" s="85"/>
      <c r="C475" s="85"/>
      <c r="D475" s="118" t="str">
        <f>IF(ISBLANK(PARAMETROS!$C$577),"",PARAMETROS!$C$577)</f>
        <v>Alimentación complementaria a los 6 meses EC:</v>
      </c>
      <c r="E475" s="118"/>
      <c r="F475" s="118"/>
      <c r="G475" s="118"/>
      <c r="H475" s="118"/>
      <c r="I475" s="118"/>
      <c r="J475" s="118"/>
      <c r="K475" s="86"/>
      <c r="L475" s="118" t="str">
        <f>IF(ISBLANK(PARAMETROS!$C$578),"",PARAMETROS!$C$578)</f>
        <v>Alimentación complementaria adecuada a los 6 meses EC:</v>
      </c>
      <c r="M475" s="118"/>
      <c r="N475" s="118"/>
      <c r="O475" s="118"/>
      <c r="P475" s="118"/>
      <c r="Q475" s="118"/>
      <c r="R475" s="118"/>
      <c r="S475" s="87"/>
      <c r="T475" s="87"/>
    </row>
    <row r="476" spans="2:20" ht="10.050000000000001" customHeight="1" x14ac:dyDescent="0.3">
      <c r="B476" s="85"/>
      <c r="C476" s="85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7"/>
      <c r="T476" s="87"/>
    </row>
    <row r="477" spans="2:20" ht="13.05" customHeight="1" x14ac:dyDescent="0.3">
      <c r="B477" s="85"/>
      <c r="C477" s="85"/>
      <c r="D477" s="121"/>
      <c r="E477" s="121"/>
      <c r="F477" s="121"/>
      <c r="G477" s="121"/>
      <c r="H477" s="121"/>
      <c r="I477" s="121"/>
      <c r="J477" s="121"/>
      <c r="K477" s="86"/>
      <c r="L477" s="121"/>
      <c r="M477" s="121"/>
      <c r="N477" s="121"/>
      <c r="O477" s="121"/>
      <c r="P477" s="121"/>
      <c r="Q477" s="121"/>
      <c r="R477" s="121"/>
      <c r="S477" s="87"/>
      <c r="T477" s="87"/>
    </row>
    <row r="478" spans="2:20" ht="13.05" customHeight="1" x14ac:dyDescent="0.3">
      <c r="B478" s="85"/>
      <c r="C478" s="85"/>
      <c r="D478" s="121"/>
      <c r="E478" s="121"/>
      <c r="F478" s="121"/>
      <c r="G478" s="121"/>
      <c r="H478" s="121"/>
      <c r="I478" s="121"/>
      <c r="J478" s="121"/>
      <c r="K478" s="86"/>
      <c r="L478" s="121"/>
      <c r="M478" s="121"/>
      <c r="N478" s="121"/>
      <c r="O478" s="121"/>
      <c r="P478" s="121"/>
      <c r="Q478" s="121"/>
      <c r="R478" s="121"/>
      <c r="S478" s="87"/>
      <c r="T478" s="87"/>
    </row>
    <row r="479" spans="2:20" ht="10.050000000000001" customHeight="1" x14ac:dyDescent="0.3">
      <c r="B479" s="85"/>
      <c r="C479" s="85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7"/>
      <c r="T479" s="87"/>
    </row>
    <row r="480" spans="2:20" ht="19.2" customHeight="1" x14ac:dyDescent="0.3">
      <c r="B480" s="85"/>
      <c r="C480" s="85"/>
      <c r="D480" s="118" t="str">
        <f>IF(ISBLANK(PARAMETROS!$C$579),"",PARAMETROS!$C$579)</f>
        <v>Calendario de vacunación completo a los 6 meses EC:</v>
      </c>
      <c r="E480" s="118"/>
      <c r="F480" s="118"/>
      <c r="G480" s="118"/>
      <c r="H480" s="118"/>
      <c r="I480" s="118"/>
      <c r="J480" s="118"/>
      <c r="K480" s="86"/>
      <c r="L480" s="118" t="str">
        <f>IF(ISBLANK(PARAMETROS!$C$580),"",PARAMETROS!$C$580)</f>
        <v>Resultado de la prueba de desarrollo neuromotor a los 6 meses EC:</v>
      </c>
      <c r="M480" s="118"/>
      <c r="N480" s="118"/>
      <c r="O480" s="118"/>
      <c r="P480" s="118"/>
      <c r="Q480" s="118"/>
      <c r="R480" s="118"/>
      <c r="S480" s="87"/>
      <c r="T480" s="87"/>
    </row>
    <row r="481" spans="2:20" ht="10.050000000000001" customHeight="1" x14ac:dyDescent="0.3">
      <c r="B481" s="85"/>
      <c r="C481" s="85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7"/>
      <c r="T481" s="87"/>
    </row>
    <row r="482" spans="2:20" ht="13.05" customHeight="1" x14ac:dyDescent="0.3">
      <c r="B482" s="85"/>
      <c r="C482" s="85"/>
      <c r="D482" s="121"/>
      <c r="E482" s="121"/>
      <c r="F482" s="121"/>
      <c r="G482" s="121"/>
      <c r="H482" s="121"/>
      <c r="I482" s="121"/>
      <c r="J482" s="121"/>
      <c r="K482" s="86"/>
      <c r="L482" s="121"/>
      <c r="M482" s="121"/>
      <c r="N482" s="121"/>
      <c r="O482" s="121"/>
      <c r="P482" s="121"/>
      <c r="Q482" s="121"/>
      <c r="R482" s="121"/>
      <c r="S482" s="87"/>
      <c r="T482" s="87"/>
    </row>
    <row r="483" spans="2:20" ht="13.05" customHeight="1" x14ac:dyDescent="0.3">
      <c r="B483" s="85"/>
      <c r="C483" s="85"/>
      <c r="D483" s="121"/>
      <c r="E483" s="121"/>
      <c r="F483" s="121"/>
      <c r="G483" s="121"/>
      <c r="H483" s="121"/>
      <c r="I483" s="121"/>
      <c r="J483" s="121"/>
      <c r="K483" s="86"/>
      <c r="L483" s="121"/>
      <c r="M483" s="121"/>
      <c r="N483" s="121"/>
      <c r="O483" s="121"/>
      <c r="P483" s="121"/>
      <c r="Q483" s="121"/>
      <c r="R483" s="121"/>
      <c r="S483" s="87"/>
      <c r="T483" s="87"/>
    </row>
    <row r="484" spans="2:20" ht="10.050000000000001" customHeight="1" x14ac:dyDescent="0.3">
      <c r="B484" s="85"/>
      <c r="C484" s="85"/>
      <c r="D484" s="86"/>
      <c r="E484" s="86"/>
      <c r="F484" s="86"/>
      <c r="G484" s="86"/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7"/>
      <c r="T484" s="87"/>
    </row>
    <row r="485" spans="2:20" ht="19.2" customHeight="1" x14ac:dyDescent="0.3">
      <c r="B485" s="85"/>
      <c r="C485" s="85"/>
      <c r="D485" s="118" t="str">
        <f>IF(ISBLANK(PARAMETROS!$C$581),"",PARAMETROS!$C$581)</f>
        <v>Resultado de la prueba de desarrollo psicomotor a los 6 meses EC:</v>
      </c>
      <c r="E485" s="118"/>
      <c r="F485" s="118"/>
      <c r="G485" s="118"/>
      <c r="H485" s="118"/>
      <c r="I485" s="118"/>
      <c r="J485" s="118"/>
      <c r="K485" s="86"/>
      <c r="L485" s="120" t="str">
        <f>IF(ISBLANK(PARAMETROS!$C$582),"",PARAMETROS!$C$582)</f>
        <v>Resultado optometría a los 6 meses:</v>
      </c>
      <c r="M485" s="120"/>
      <c r="N485" s="120"/>
      <c r="O485" s="120"/>
      <c r="P485" s="120"/>
      <c r="Q485" s="120"/>
      <c r="R485" s="120"/>
      <c r="S485" s="87"/>
      <c r="T485" s="87"/>
    </row>
    <row r="486" spans="2:20" ht="10.050000000000001" customHeight="1" x14ac:dyDescent="0.3">
      <c r="B486" s="85"/>
      <c r="C486" s="85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7"/>
      <c r="T486" s="87"/>
    </row>
    <row r="487" spans="2:20" ht="13.05" customHeight="1" x14ac:dyDescent="0.3">
      <c r="B487" s="85"/>
      <c r="C487" s="85"/>
      <c r="D487" s="121"/>
      <c r="E487" s="121"/>
      <c r="F487" s="121"/>
      <c r="G487" s="121"/>
      <c r="H487" s="121"/>
      <c r="I487" s="121"/>
      <c r="J487" s="121"/>
      <c r="K487" s="86"/>
      <c r="L487" s="121"/>
      <c r="M487" s="121"/>
      <c r="N487" s="121"/>
      <c r="O487" s="121"/>
      <c r="P487" s="121"/>
      <c r="Q487" s="121"/>
      <c r="R487" s="121"/>
      <c r="S487" s="87"/>
      <c r="T487" s="87"/>
    </row>
    <row r="488" spans="2:20" ht="13.05" customHeight="1" x14ac:dyDescent="0.3">
      <c r="B488" s="85"/>
      <c r="C488" s="85"/>
      <c r="D488" s="121"/>
      <c r="E488" s="121"/>
      <c r="F488" s="121"/>
      <c r="G488" s="121"/>
      <c r="H488" s="121"/>
      <c r="I488" s="121"/>
      <c r="J488" s="121"/>
      <c r="K488" s="86"/>
      <c r="L488" s="121"/>
      <c r="M488" s="121"/>
      <c r="N488" s="121"/>
      <c r="O488" s="121"/>
      <c r="P488" s="121"/>
      <c r="Q488" s="121"/>
      <c r="R488" s="121"/>
      <c r="S488" s="87"/>
      <c r="T488" s="87"/>
    </row>
    <row r="489" spans="2:20" ht="10.050000000000001" customHeight="1" x14ac:dyDescent="0.3">
      <c r="B489" s="85"/>
      <c r="C489" s="85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7"/>
      <c r="T489" s="87"/>
    </row>
    <row r="490" spans="2:20" ht="19.2" customHeight="1" x14ac:dyDescent="0.3">
      <c r="B490" s="85"/>
      <c r="C490" s="85"/>
      <c r="D490" s="120" t="str">
        <f>IF(ISBLANK(PARAMETROS!$C$583),"",PARAMETROS!$C$583)</f>
        <v>Cual:</v>
      </c>
      <c r="E490" s="120"/>
      <c r="F490" s="120"/>
      <c r="G490" s="120"/>
      <c r="H490" s="120"/>
      <c r="I490" s="120"/>
      <c r="J490" s="120"/>
      <c r="K490" s="86"/>
      <c r="L490" s="86"/>
      <c r="M490" s="86"/>
      <c r="N490" s="86"/>
      <c r="O490" s="86"/>
      <c r="P490" s="86"/>
      <c r="Q490" s="86"/>
      <c r="R490" s="86"/>
      <c r="S490" s="87"/>
      <c r="T490" s="87"/>
    </row>
    <row r="491" spans="2:20" ht="10.050000000000001" customHeight="1" x14ac:dyDescent="0.3">
      <c r="B491" s="85"/>
      <c r="C491" s="85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7"/>
      <c r="T491" s="87"/>
    </row>
    <row r="492" spans="2:20" ht="13.05" customHeight="1" x14ac:dyDescent="0.3">
      <c r="B492" s="85"/>
      <c r="C492" s="85"/>
      <c r="D492" s="121"/>
      <c r="E492" s="121"/>
      <c r="F492" s="121"/>
      <c r="G492" s="121"/>
      <c r="H492" s="121"/>
      <c r="I492" s="121"/>
      <c r="J492" s="121"/>
      <c r="K492" s="86"/>
      <c r="L492" s="86"/>
      <c r="M492" s="86"/>
      <c r="N492" s="86"/>
      <c r="O492" s="86"/>
      <c r="P492" s="86"/>
      <c r="Q492" s="86"/>
      <c r="R492" s="86"/>
      <c r="S492" s="87"/>
      <c r="T492" s="87"/>
    </row>
    <row r="493" spans="2:20" ht="13.05" customHeight="1" x14ac:dyDescent="0.3">
      <c r="B493" s="85"/>
      <c r="C493" s="85"/>
      <c r="D493" s="121"/>
      <c r="E493" s="121"/>
      <c r="F493" s="121"/>
      <c r="G493" s="121"/>
      <c r="H493" s="121"/>
      <c r="I493" s="121"/>
      <c r="J493" s="121"/>
      <c r="K493" s="86"/>
      <c r="L493" s="86"/>
      <c r="M493" s="86"/>
      <c r="N493" s="86"/>
      <c r="O493" s="86"/>
      <c r="P493" s="86"/>
      <c r="Q493" s="86"/>
      <c r="R493" s="86"/>
      <c r="S493" s="87"/>
      <c r="T493" s="87"/>
    </row>
    <row r="494" spans="2:20" ht="10.050000000000001" customHeight="1" x14ac:dyDescent="0.3">
      <c r="B494" s="85"/>
      <c r="C494" s="85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7"/>
      <c r="T494" s="87"/>
    </row>
    <row r="495" spans="2:20" ht="10.050000000000001" customHeight="1" thickBot="1" x14ac:dyDescent="0.35">
      <c r="B495" s="85"/>
      <c r="C495" s="88"/>
      <c r="D495" s="89"/>
      <c r="E495" s="89"/>
      <c r="F495" s="89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90"/>
      <c r="T495" s="87"/>
    </row>
    <row r="496" spans="2:20" ht="10.050000000000001" customHeight="1" x14ac:dyDescent="0.3">
      <c r="B496" s="85"/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7"/>
    </row>
    <row r="497" spans="2:20" ht="13.05" customHeight="1" x14ac:dyDescent="0.3">
      <c r="B497" s="85"/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7"/>
    </row>
    <row r="498" spans="2:20" ht="13.05" customHeight="1" x14ac:dyDescent="0.3">
      <c r="B498" s="85"/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7"/>
    </row>
    <row r="499" spans="2:20" ht="10.050000000000001" customHeight="1" thickBot="1" x14ac:dyDescent="0.35">
      <c r="B499" s="88"/>
      <c r="C499" s="89"/>
      <c r="D499" s="89"/>
      <c r="E499" s="89"/>
      <c r="F499" s="89"/>
      <c r="G499" s="89"/>
      <c r="H499" s="89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90"/>
    </row>
    <row r="500" spans="2:20" ht="19.2" customHeight="1" x14ac:dyDescent="0.3"/>
    <row r="501" spans="2:20" ht="10.050000000000001" customHeight="1" x14ac:dyDescent="0.3">
      <c r="B501" s="85"/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7"/>
    </row>
    <row r="502" spans="2:20" ht="13.05" customHeight="1" x14ac:dyDescent="0.3">
      <c r="B502" s="85"/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7"/>
    </row>
    <row r="503" spans="2:20" ht="13.05" customHeight="1" x14ac:dyDescent="0.3">
      <c r="B503" s="85"/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  <c r="S503" s="86"/>
      <c r="T503" s="87"/>
    </row>
    <row r="504" spans="2:20" ht="10.050000000000001" customHeight="1" thickBot="1" x14ac:dyDescent="0.35">
      <c r="B504" s="85"/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  <c r="S504" s="86"/>
      <c r="T504" s="87"/>
    </row>
    <row r="505" spans="2:20" ht="10.050000000000001" customHeight="1" x14ac:dyDescent="0.3">
      <c r="B505" s="85"/>
      <c r="C505" s="82"/>
      <c r="D505" s="83"/>
      <c r="E505" s="83"/>
      <c r="F505" s="83"/>
      <c r="G505" s="83"/>
      <c r="H505" s="83"/>
      <c r="I505" s="83"/>
      <c r="J505" s="83"/>
      <c r="K505" s="83"/>
      <c r="L505" s="83"/>
      <c r="M505" s="83"/>
      <c r="N505" s="83"/>
      <c r="O505" s="83"/>
      <c r="P505" s="83"/>
      <c r="Q505" s="83"/>
      <c r="R505" s="83"/>
      <c r="S505" s="84"/>
      <c r="T505" s="87"/>
    </row>
    <row r="506" spans="2:20" ht="19.2" customHeight="1" x14ac:dyDescent="0.3">
      <c r="B506" s="85"/>
      <c r="C506" s="85"/>
      <c r="D506" s="115" t="str">
        <f>IF(ISBLANK(PARAMETROS!$C$584),"",PARAMETROS!$C$584)</f>
        <v>9 meses</v>
      </c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87"/>
      <c r="T506" s="87"/>
    </row>
    <row r="507" spans="2:20" ht="10.050000000000001" customHeight="1" x14ac:dyDescent="0.3">
      <c r="B507" s="85"/>
      <c r="C507" s="85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  <c r="S507" s="87"/>
      <c r="T507" s="87"/>
    </row>
    <row r="508" spans="2:20" ht="19.2" customHeight="1" x14ac:dyDescent="0.3">
      <c r="B508" s="85"/>
      <c r="C508" s="85"/>
      <c r="D508" s="118" t="str">
        <f>IF(ISBLANK(PARAMETROS!$C$585),"",PARAMETROS!$C$585)</f>
        <v>Peso a los 9 meses EC (gramos):</v>
      </c>
      <c r="E508" s="118"/>
      <c r="F508" s="118"/>
      <c r="G508" s="118"/>
      <c r="H508" s="118"/>
      <c r="I508" s="118"/>
      <c r="J508" s="118"/>
      <c r="K508" s="86"/>
      <c r="L508" s="118" t="str">
        <f>IF(ISBLANK(PARAMETROS!$C$586),"",PARAMETROS!$C$586)</f>
        <v>Talla a los 9 meses EC (cm):</v>
      </c>
      <c r="M508" s="118"/>
      <c r="N508" s="118"/>
      <c r="O508" s="118"/>
      <c r="P508" s="118"/>
      <c r="Q508" s="118"/>
      <c r="R508" s="118"/>
      <c r="S508" s="87"/>
      <c r="T508" s="87"/>
    </row>
    <row r="509" spans="2:20" ht="10.050000000000001" customHeight="1" x14ac:dyDescent="0.3">
      <c r="B509" s="85"/>
      <c r="C509" s="85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  <c r="R509" s="86"/>
      <c r="S509" s="87"/>
      <c r="T509" s="87"/>
    </row>
    <row r="510" spans="2:20" ht="13.05" customHeight="1" x14ac:dyDescent="0.3">
      <c r="B510" s="85"/>
      <c r="C510" s="85"/>
      <c r="D510" s="121"/>
      <c r="E510" s="121"/>
      <c r="F510" s="121"/>
      <c r="G510" s="121"/>
      <c r="H510" s="121"/>
      <c r="I510" s="121"/>
      <c r="J510" s="121"/>
      <c r="K510" s="86"/>
      <c r="L510" s="121"/>
      <c r="M510" s="121"/>
      <c r="N510" s="121"/>
      <c r="O510" s="121"/>
      <c r="P510" s="121"/>
      <c r="Q510" s="121"/>
      <c r="R510" s="121"/>
      <c r="S510" s="87"/>
      <c r="T510" s="87"/>
    </row>
    <row r="511" spans="2:20" ht="13.05" customHeight="1" x14ac:dyDescent="0.3">
      <c r="B511" s="85"/>
      <c r="C511" s="85"/>
      <c r="D511" s="121"/>
      <c r="E511" s="121"/>
      <c r="F511" s="121"/>
      <c r="G511" s="121"/>
      <c r="H511" s="121"/>
      <c r="I511" s="121"/>
      <c r="J511" s="121"/>
      <c r="K511" s="86"/>
      <c r="L511" s="121"/>
      <c r="M511" s="121"/>
      <c r="N511" s="121"/>
      <c r="O511" s="121"/>
      <c r="P511" s="121"/>
      <c r="Q511" s="121"/>
      <c r="R511" s="121"/>
      <c r="S511" s="87"/>
      <c r="T511" s="87"/>
    </row>
    <row r="512" spans="2:20" ht="10.050000000000001" customHeight="1" x14ac:dyDescent="0.3">
      <c r="B512" s="85"/>
      <c r="C512" s="85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  <c r="R512" s="86"/>
      <c r="S512" s="87"/>
      <c r="T512" s="87"/>
    </row>
    <row r="513" spans="2:20" ht="19.2" customHeight="1" x14ac:dyDescent="0.3">
      <c r="B513" s="85"/>
      <c r="C513" s="85"/>
      <c r="D513" s="118" t="str">
        <f>IF(ISBLANK(PARAMETROS!$C$587),"",PARAMETROS!$C$587)</f>
        <v>Perimetro cefálico a los 9 meses EC (cm):</v>
      </c>
      <c r="E513" s="118"/>
      <c r="F513" s="118"/>
      <c r="G513" s="118"/>
      <c r="H513" s="118"/>
      <c r="I513" s="118"/>
      <c r="J513" s="118"/>
      <c r="K513" s="86"/>
      <c r="L513" s="118" t="str">
        <f>IF(ISBLANK(PARAMETROS!$C$588),"",PARAMETROS!$C$588)</f>
        <v>Tipo de alimentación a los 9 meses EC:</v>
      </c>
      <c r="M513" s="118"/>
      <c r="N513" s="118"/>
      <c r="O513" s="118"/>
      <c r="P513" s="118"/>
      <c r="Q513" s="118"/>
      <c r="R513" s="118"/>
      <c r="S513" s="87"/>
      <c r="T513" s="87"/>
    </row>
    <row r="514" spans="2:20" ht="10.050000000000001" customHeight="1" x14ac:dyDescent="0.3">
      <c r="B514" s="85"/>
      <c r="C514" s="85"/>
      <c r="D514" s="86"/>
      <c r="E514" s="86"/>
      <c r="F514" s="86"/>
      <c r="G514" s="86"/>
      <c r="H514" s="86"/>
      <c r="I514" s="86"/>
      <c r="J514" s="86"/>
      <c r="K514" s="86"/>
      <c r="L514" s="86"/>
      <c r="M514" s="86"/>
      <c r="N514" s="86"/>
      <c r="O514" s="86"/>
      <c r="P514" s="86"/>
      <c r="Q514" s="86"/>
      <c r="R514" s="86"/>
      <c r="S514" s="87"/>
      <c r="T514" s="87"/>
    </row>
    <row r="515" spans="2:20" ht="13.05" customHeight="1" x14ac:dyDescent="0.3">
      <c r="B515" s="85"/>
      <c r="C515" s="85"/>
      <c r="D515" s="121"/>
      <c r="E515" s="121"/>
      <c r="F515" s="121"/>
      <c r="G515" s="121"/>
      <c r="H515" s="121"/>
      <c r="I515" s="121"/>
      <c r="J515" s="121"/>
      <c r="K515" s="86"/>
      <c r="L515" s="121"/>
      <c r="M515" s="121"/>
      <c r="N515" s="121"/>
      <c r="O515" s="121"/>
      <c r="P515" s="121"/>
      <c r="Q515" s="121"/>
      <c r="R515" s="121"/>
      <c r="S515" s="87"/>
      <c r="T515" s="87"/>
    </row>
    <row r="516" spans="2:20" ht="13.05" customHeight="1" x14ac:dyDescent="0.3">
      <c r="B516" s="85"/>
      <c r="C516" s="85"/>
      <c r="D516" s="121"/>
      <c r="E516" s="121"/>
      <c r="F516" s="121"/>
      <c r="G516" s="121"/>
      <c r="H516" s="121"/>
      <c r="I516" s="121"/>
      <c r="J516" s="121"/>
      <c r="K516" s="86"/>
      <c r="L516" s="121"/>
      <c r="M516" s="121"/>
      <c r="N516" s="121"/>
      <c r="O516" s="121"/>
      <c r="P516" s="121"/>
      <c r="Q516" s="121"/>
      <c r="R516" s="121"/>
      <c r="S516" s="87"/>
      <c r="T516" s="87"/>
    </row>
    <row r="517" spans="2:20" ht="10.050000000000001" customHeight="1" x14ac:dyDescent="0.3">
      <c r="B517" s="85"/>
      <c r="C517" s="85"/>
      <c r="D517" s="86"/>
      <c r="E517" s="86"/>
      <c r="F517" s="86"/>
      <c r="G517" s="86"/>
      <c r="H517" s="86"/>
      <c r="I517" s="86"/>
      <c r="J517" s="86"/>
      <c r="K517" s="86"/>
      <c r="L517" s="86"/>
      <c r="M517" s="86"/>
      <c r="N517" s="86"/>
      <c r="O517" s="86"/>
      <c r="P517" s="86"/>
      <c r="Q517" s="86"/>
      <c r="R517" s="86"/>
      <c r="S517" s="87"/>
      <c r="T517" s="87"/>
    </row>
    <row r="518" spans="2:20" ht="19.2" customHeight="1" x14ac:dyDescent="0.3">
      <c r="B518" s="85"/>
      <c r="C518" s="85"/>
      <c r="D518" s="118" t="str">
        <f>IF(ISBLANK(PARAMETROS!$C$589),"",PARAMETROS!$C$589)</f>
        <v>Alimentación complementaria adecuada a los 9 meses:</v>
      </c>
      <c r="E518" s="118"/>
      <c r="F518" s="118"/>
      <c r="G518" s="118"/>
      <c r="H518" s="118"/>
      <c r="I518" s="118"/>
      <c r="J518" s="118"/>
      <c r="K518" s="86"/>
      <c r="L518" s="118" t="str">
        <f>IF(ISBLANK(PARAMETROS!$C$590),"",PARAMETROS!$C$590)</f>
        <v>Calendario de vacunación completo a los 9 meses EC:</v>
      </c>
      <c r="M518" s="118"/>
      <c r="N518" s="118"/>
      <c r="O518" s="118"/>
      <c r="P518" s="118"/>
      <c r="Q518" s="118"/>
      <c r="R518" s="118"/>
      <c r="S518" s="87"/>
      <c r="T518" s="87"/>
    </row>
    <row r="519" spans="2:20" ht="10.050000000000001" customHeight="1" x14ac:dyDescent="0.3">
      <c r="B519" s="85"/>
      <c r="C519" s="85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7"/>
      <c r="T519" s="87"/>
    </row>
    <row r="520" spans="2:20" ht="13.05" customHeight="1" x14ac:dyDescent="0.3">
      <c r="B520" s="85"/>
      <c r="C520" s="85"/>
      <c r="D520" s="121"/>
      <c r="E520" s="121"/>
      <c r="F520" s="121"/>
      <c r="G520" s="121"/>
      <c r="H520" s="121"/>
      <c r="I520" s="121"/>
      <c r="J520" s="121"/>
      <c r="K520" s="86"/>
      <c r="L520" s="121"/>
      <c r="M520" s="121"/>
      <c r="N520" s="121"/>
      <c r="O520" s="121"/>
      <c r="P520" s="121"/>
      <c r="Q520" s="121"/>
      <c r="R520" s="121"/>
      <c r="S520" s="87"/>
      <c r="T520" s="87"/>
    </row>
    <row r="521" spans="2:20" ht="13.05" customHeight="1" x14ac:dyDescent="0.3">
      <c r="B521" s="85"/>
      <c r="C521" s="85"/>
      <c r="D521" s="121"/>
      <c r="E521" s="121"/>
      <c r="F521" s="121"/>
      <c r="G521" s="121"/>
      <c r="H521" s="121"/>
      <c r="I521" s="121"/>
      <c r="J521" s="121"/>
      <c r="K521" s="86"/>
      <c r="L521" s="121"/>
      <c r="M521" s="121"/>
      <c r="N521" s="121"/>
      <c r="O521" s="121"/>
      <c r="P521" s="121"/>
      <c r="Q521" s="121"/>
      <c r="R521" s="121"/>
      <c r="S521" s="87"/>
      <c r="T521" s="87"/>
    </row>
    <row r="522" spans="2:20" ht="10.050000000000001" customHeight="1" x14ac:dyDescent="0.3">
      <c r="B522" s="85"/>
      <c r="C522" s="85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7"/>
      <c r="T522" s="87"/>
    </row>
    <row r="523" spans="2:20" ht="19.2" customHeight="1" x14ac:dyDescent="0.3">
      <c r="B523" s="85"/>
      <c r="C523" s="85"/>
      <c r="D523" s="118" t="str">
        <f>IF(ISBLANK(PARAMETROS!$C$591),"",PARAMETROS!$C$591)</f>
        <v>Resultado de la prueba de desarrollo neuromotor a los 9 meses EC:</v>
      </c>
      <c r="E523" s="118"/>
      <c r="F523" s="118"/>
      <c r="G523" s="118"/>
      <c r="H523" s="118"/>
      <c r="I523" s="118"/>
      <c r="J523" s="118"/>
      <c r="K523" s="86"/>
      <c r="L523" s="120" t="str">
        <f>IF(ISBLANK(PARAMETROS!$C$592),"",PARAMETROS!$C$592)</f>
        <v>Resultado optometría a los 9 meses:</v>
      </c>
      <c r="M523" s="120"/>
      <c r="N523" s="120"/>
      <c r="O523" s="120"/>
      <c r="P523" s="120"/>
      <c r="Q523" s="120"/>
      <c r="R523" s="120"/>
      <c r="S523" s="87"/>
      <c r="T523" s="87"/>
    </row>
    <row r="524" spans="2:20" ht="10.050000000000001" customHeight="1" x14ac:dyDescent="0.3">
      <c r="B524" s="85"/>
      <c r="C524" s="85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7"/>
      <c r="T524" s="87"/>
    </row>
    <row r="525" spans="2:20" ht="13.05" customHeight="1" x14ac:dyDescent="0.3">
      <c r="B525" s="85"/>
      <c r="C525" s="85"/>
      <c r="D525" s="121"/>
      <c r="E525" s="121"/>
      <c r="F525" s="121"/>
      <c r="G525" s="121"/>
      <c r="H525" s="121"/>
      <c r="I525" s="121"/>
      <c r="J525" s="121"/>
      <c r="K525" s="86"/>
      <c r="L525" s="121"/>
      <c r="M525" s="121"/>
      <c r="N525" s="121"/>
      <c r="O525" s="121"/>
      <c r="P525" s="121"/>
      <c r="Q525" s="121"/>
      <c r="R525" s="121"/>
      <c r="S525" s="87"/>
      <c r="T525" s="87"/>
    </row>
    <row r="526" spans="2:20" ht="13.05" customHeight="1" x14ac:dyDescent="0.3">
      <c r="B526" s="85"/>
      <c r="C526" s="85"/>
      <c r="D526" s="121"/>
      <c r="E526" s="121"/>
      <c r="F526" s="121"/>
      <c r="G526" s="121"/>
      <c r="H526" s="121"/>
      <c r="I526" s="121"/>
      <c r="J526" s="121"/>
      <c r="K526" s="86"/>
      <c r="L526" s="121"/>
      <c r="M526" s="121"/>
      <c r="N526" s="121"/>
      <c r="O526" s="121"/>
      <c r="P526" s="121"/>
      <c r="Q526" s="121"/>
      <c r="R526" s="121"/>
      <c r="S526" s="87"/>
      <c r="T526" s="87"/>
    </row>
    <row r="527" spans="2:20" ht="10.050000000000001" customHeight="1" x14ac:dyDescent="0.3">
      <c r="B527" s="85"/>
      <c r="C527" s="85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7"/>
      <c r="T527" s="87"/>
    </row>
    <row r="528" spans="2:20" ht="19.2" customHeight="1" x14ac:dyDescent="0.3">
      <c r="B528" s="85"/>
      <c r="C528" s="85"/>
      <c r="D528" s="120" t="str">
        <f>IF(ISBLANK(PARAMETROS!$C$593),"",PARAMETROS!$C$593)</f>
        <v>Cual:</v>
      </c>
      <c r="E528" s="120"/>
      <c r="F528" s="120"/>
      <c r="G528" s="120"/>
      <c r="H528" s="120"/>
      <c r="I528" s="120"/>
      <c r="J528" s="120"/>
      <c r="K528" s="86"/>
      <c r="L528" s="86"/>
      <c r="M528" s="86"/>
      <c r="N528" s="86"/>
      <c r="O528" s="86"/>
      <c r="P528" s="86"/>
      <c r="Q528" s="86"/>
      <c r="R528" s="86"/>
      <c r="S528" s="87"/>
      <c r="T528" s="87"/>
    </row>
    <row r="529" spans="2:20" ht="10.050000000000001" customHeight="1" x14ac:dyDescent="0.3">
      <c r="B529" s="85"/>
      <c r="C529" s="85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7"/>
      <c r="T529" s="87"/>
    </row>
    <row r="530" spans="2:20" ht="13.05" customHeight="1" x14ac:dyDescent="0.3">
      <c r="B530" s="85"/>
      <c r="C530" s="85"/>
      <c r="D530" s="121"/>
      <c r="E530" s="121"/>
      <c r="F530" s="121"/>
      <c r="G530" s="121"/>
      <c r="H530" s="121"/>
      <c r="I530" s="121"/>
      <c r="J530" s="121"/>
      <c r="K530" s="86"/>
      <c r="L530" s="86"/>
      <c r="M530" s="86"/>
      <c r="N530" s="86"/>
      <c r="O530" s="86"/>
      <c r="P530" s="86"/>
      <c r="Q530" s="86"/>
      <c r="R530" s="86"/>
      <c r="S530" s="87"/>
      <c r="T530" s="87"/>
    </row>
    <row r="531" spans="2:20" ht="13.05" customHeight="1" x14ac:dyDescent="0.3">
      <c r="B531" s="85"/>
      <c r="C531" s="85"/>
      <c r="D531" s="121"/>
      <c r="E531" s="121"/>
      <c r="F531" s="121"/>
      <c r="G531" s="121"/>
      <c r="H531" s="121"/>
      <c r="I531" s="121"/>
      <c r="J531" s="121"/>
      <c r="K531" s="86"/>
      <c r="L531" s="86"/>
      <c r="M531" s="86"/>
      <c r="N531" s="86"/>
      <c r="O531" s="86"/>
      <c r="P531" s="86"/>
      <c r="Q531" s="86"/>
      <c r="R531" s="86"/>
      <c r="S531" s="87"/>
      <c r="T531" s="87"/>
    </row>
    <row r="532" spans="2:20" ht="10.050000000000001" customHeight="1" x14ac:dyDescent="0.3">
      <c r="B532" s="85"/>
      <c r="C532" s="85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7"/>
      <c r="T532" s="87"/>
    </row>
    <row r="533" spans="2:20" ht="10.050000000000001" customHeight="1" thickBot="1" x14ac:dyDescent="0.35">
      <c r="B533" s="85"/>
      <c r="C533" s="88"/>
      <c r="D533" s="89"/>
      <c r="E533" s="89"/>
      <c r="F533" s="89"/>
      <c r="G533" s="89"/>
      <c r="H533" s="89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90"/>
      <c r="T533" s="87"/>
    </row>
    <row r="534" spans="2:20" ht="10.050000000000001" customHeight="1" x14ac:dyDescent="0.3">
      <c r="B534" s="85"/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7"/>
    </row>
    <row r="535" spans="2:20" ht="13.05" customHeight="1" x14ac:dyDescent="0.3">
      <c r="B535" s="85"/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7"/>
    </row>
    <row r="536" spans="2:20" ht="13.05" customHeight="1" x14ac:dyDescent="0.3">
      <c r="B536" s="85"/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7"/>
    </row>
    <row r="537" spans="2:20" ht="10.050000000000001" customHeight="1" thickBot="1" x14ac:dyDescent="0.35">
      <c r="B537" s="88"/>
      <c r="C537" s="89"/>
      <c r="D537" s="89"/>
      <c r="E537" s="89"/>
      <c r="F537" s="89"/>
      <c r="G537" s="89"/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90"/>
    </row>
    <row r="538" spans="2:20" ht="19.2" customHeight="1" x14ac:dyDescent="0.3"/>
    <row r="539" spans="2:20" ht="10.050000000000001" customHeight="1" x14ac:dyDescent="0.3">
      <c r="B539" s="85"/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7"/>
    </row>
    <row r="540" spans="2:20" ht="13.05" customHeight="1" x14ac:dyDescent="0.3">
      <c r="B540" s="85"/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7"/>
    </row>
    <row r="541" spans="2:20" ht="13.05" customHeight="1" x14ac:dyDescent="0.3">
      <c r="B541" s="85"/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7"/>
    </row>
    <row r="542" spans="2:20" ht="10.050000000000001" customHeight="1" thickBot="1" x14ac:dyDescent="0.35">
      <c r="B542" s="85"/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7"/>
    </row>
    <row r="543" spans="2:20" ht="10.050000000000001" customHeight="1" x14ac:dyDescent="0.3">
      <c r="B543" s="85"/>
      <c r="C543" s="82"/>
      <c r="D543" s="83"/>
      <c r="E543" s="83"/>
      <c r="F543" s="83"/>
      <c r="G543" s="83"/>
      <c r="H543" s="83"/>
      <c r="I543" s="83"/>
      <c r="J543" s="83"/>
      <c r="K543" s="83"/>
      <c r="L543" s="83"/>
      <c r="M543" s="83"/>
      <c r="N543" s="83"/>
      <c r="O543" s="83"/>
      <c r="P543" s="83"/>
      <c r="Q543" s="83"/>
      <c r="R543" s="83"/>
      <c r="S543" s="84"/>
      <c r="T543" s="87"/>
    </row>
    <row r="544" spans="2:20" ht="19.2" customHeight="1" x14ac:dyDescent="0.3">
      <c r="B544" s="85"/>
      <c r="C544" s="85"/>
      <c r="D544" s="115" t="str">
        <f>IF(ISBLANK(PARAMETROS!$C$594),"",PARAMETROS!$C$594)</f>
        <v>12 meses</v>
      </c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87"/>
      <c r="T544" s="87"/>
    </row>
    <row r="545" spans="2:20" ht="10.050000000000001" customHeight="1" x14ac:dyDescent="0.3">
      <c r="B545" s="85"/>
      <c r="C545" s="85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7"/>
      <c r="T545" s="87"/>
    </row>
    <row r="546" spans="2:20" ht="19.2" customHeight="1" x14ac:dyDescent="0.3">
      <c r="B546" s="85"/>
      <c r="C546" s="85"/>
      <c r="D546" s="118" t="str">
        <f>IF(ISBLANK(PARAMETROS!$C$595),"",PARAMETROS!$C$595)</f>
        <v>Peso a los 12 meses EC (gramos):</v>
      </c>
      <c r="E546" s="118"/>
      <c r="F546" s="118"/>
      <c r="G546" s="118"/>
      <c r="H546" s="118"/>
      <c r="I546" s="118"/>
      <c r="J546" s="118"/>
      <c r="K546" s="86"/>
      <c r="L546" s="118" t="str">
        <f>IF(ISBLANK(PARAMETROS!$C$596),"",PARAMETROS!$C$596)</f>
        <v>Talla a los 12 meses EC (cm):</v>
      </c>
      <c r="M546" s="118"/>
      <c r="N546" s="118"/>
      <c r="O546" s="118"/>
      <c r="P546" s="118"/>
      <c r="Q546" s="118"/>
      <c r="R546" s="118"/>
      <c r="S546" s="87"/>
      <c r="T546" s="87"/>
    </row>
    <row r="547" spans="2:20" ht="10.050000000000001" customHeight="1" x14ac:dyDescent="0.3">
      <c r="B547" s="85"/>
      <c r="C547" s="85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7"/>
      <c r="T547" s="87"/>
    </row>
    <row r="548" spans="2:20" ht="13.05" customHeight="1" x14ac:dyDescent="0.3">
      <c r="B548" s="85"/>
      <c r="C548" s="85"/>
      <c r="D548" s="121"/>
      <c r="E548" s="121"/>
      <c r="F548" s="121"/>
      <c r="G548" s="121"/>
      <c r="H548" s="121"/>
      <c r="I548" s="121"/>
      <c r="J548" s="121"/>
      <c r="K548" s="86"/>
      <c r="L548" s="121"/>
      <c r="M548" s="121"/>
      <c r="N548" s="121"/>
      <c r="O548" s="121"/>
      <c r="P548" s="121"/>
      <c r="Q548" s="121"/>
      <c r="R548" s="121"/>
      <c r="S548" s="87"/>
      <c r="T548" s="87"/>
    </row>
    <row r="549" spans="2:20" ht="13.05" customHeight="1" x14ac:dyDescent="0.3">
      <c r="B549" s="85"/>
      <c r="C549" s="85"/>
      <c r="D549" s="121"/>
      <c r="E549" s="121"/>
      <c r="F549" s="121"/>
      <c r="G549" s="121"/>
      <c r="H549" s="121"/>
      <c r="I549" s="121"/>
      <c r="J549" s="121"/>
      <c r="K549" s="86"/>
      <c r="L549" s="121"/>
      <c r="M549" s="121"/>
      <c r="N549" s="121"/>
      <c r="O549" s="121"/>
      <c r="P549" s="121"/>
      <c r="Q549" s="121"/>
      <c r="R549" s="121"/>
      <c r="S549" s="87"/>
      <c r="T549" s="87"/>
    </row>
    <row r="550" spans="2:20" ht="10.050000000000001" customHeight="1" x14ac:dyDescent="0.3">
      <c r="B550" s="85"/>
      <c r="C550" s="85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7"/>
      <c r="T550" s="87"/>
    </row>
    <row r="551" spans="2:20" ht="19.2" customHeight="1" x14ac:dyDescent="0.3">
      <c r="B551" s="85"/>
      <c r="C551" s="85"/>
      <c r="D551" s="118" t="str">
        <f>IF(ISBLANK(PARAMETROS!$C$597),"",PARAMETROS!$C$597)</f>
        <v>Perimetro cefálico a los 12 meses EC (cm):</v>
      </c>
      <c r="E551" s="118"/>
      <c r="F551" s="118"/>
      <c r="G551" s="118"/>
      <c r="H551" s="118"/>
      <c r="I551" s="118"/>
      <c r="J551" s="118"/>
      <c r="K551" s="86"/>
      <c r="L551" s="118" t="str">
        <f>IF(ISBLANK(PARAMETROS!$C$598),"",PARAMETROS!$C$598)</f>
        <v>Número de re-hospitalizaciones entre las 40 semanas y 12 meses:</v>
      </c>
      <c r="M551" s="118"/>
      <c r="N551" s="118"/>
      <c r="O551" s="118"/>
      <c r="P551" s="118"/>
      <c r="Q551" s="118"/>
      <c r="R551" s="118"/>
      <c r="S551" s="87"/>
      <c r="T551" s="87"/>
    </row>
    <row r="552" spans="2:20" ht="10.050000000000001" customHeight="1" x14ac:dyDescent="0.3">
      <c r="B552" s="85"/>
      <c r="C552" s="85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7"/>
      <c r="T552" s="87"/>
    </row>
    <row r="553" spans="2:20" ht="13.05" customHeight="1" x14ac:dyDescent="0.3">
      <c r="B553" s="85"/>
      <c r="C553" s="85"/>
      <c r="D553" s="121"/>
      <c r="E553" s="121"/>
      <c r="F553" s="121"/>
      <c r="G553" s="121"/>
      <c r="H553" s="121"/>
      <c r="I553" s="121"/>
      <c r="J553" s="121"/>
      <c r="K553" s="86"/>
      <c r="L553" s="121"/>
      <c r="M553" s="121"/>
      <c r="N553" s="121"/>
      <c r="O553" s="121"/>
      <c r="P553" s="121"/>
      <c r="Q553" s="121"/>
      <c r="R553" s="121"/>
      <c r="S553" s="87"/>
      <c r="T553" s="87"/>
    </row>
    <row r="554" spans="2:20" ht="13.05" customHeight="1" x14ac:dyDescent="0.3">
      <c r="B554" s="85"/>
      <c r="C554" s="85"/>
      <c r="D554" s="121"/>
      <c r="E554" s="121"/>
      <c r="F554" s="121"/>
      <c r="G554" s="121"/>
      <c r="H554" s="121"/>
      <c r="I554" s="121"/>
      <c r="J554" s="121"/>
      <c r="K554" s="86"/>
      <c r="L554" s="121"/>
      <c r="M554" s="121"/>
      <c r="N554" s="121"/>
      <c r="O554" s="121"/>
      <c r="P554" s="121"/>
      <c r="Q554" s="121"/>
      <c r="R554" s="121"/>
      <c r="S554" s="87"/>
      <c r="T554" s="87"/>
    </row>
    <row r="555" spans="2:20" ht="10.050000000000001" customHeight="1" x14ac:dyDescent="0.3">
      <c r="B555" s="85"/>
      <c r="C555" s="85"/>
      <c r="D555" s="86"/>
      <c r="E555" s="86"/>
      <c r="F555" s="86"/>
      <c r="G555" s="86"/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7"/>
      <c r="T555" s="87"/>
    </row>
    <row r="556" spans="2:20" ht="19.2" customHeight="1" x14ac:dyDescent="0.3">
      <c r="B556" s="85"/>
      <c r="C556" s="85"/>
      <c r="D556" s="118" t="str">
        <f>IF(ISBLANK(PARAMETROS!$C$599),"",PARAMETROS!$C$599)</f>
        <v>Tipo de alimentación a los 12 meses EC:</v>
      </c>
      <c r="E556" s="118"/>
      <c r="F556" s="118"/>
      <c r="G556" s="118"/>
      <c r="H556" s="118"/>
      <c r="I556" s="118"/>
      <c r="J556" s="118"/>
      <c r="K556" s="86"/>
      <c r="L556" s="118" t="str">
        <f>IF(ISBLANK(PARAMETROS!$C$600),"",PARAMETROS!$C$600)</f>
        <v>Alimentación complementaria adecuada a los 12 meses:</v>
      </c>
      <c r="M556" s="118"/>
      <c r="N556" s="118"/>
      <c r="O556" s="118"/>
      <c r="P556" s="118"/>
      <c r="Q556" s="118"/>
      <c r="R556" s="118"/>
      <c r="S556" s="87"/>
      <c r="T556" s="87"/>
    </row>
    <row r="557" spans="2:20" ht="10.050000000000001" customHeight="1" x14ac:dyDescent="0.3">
      <c r="B557" s="85"/>
      <c r="C557" s="85"/>
      <c r="D557" s="86"/>
      <c r="E557" s="86"/>
      <c r="F557" s="86"/>
      <c r="G557" s="86"/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7"/>
      <c r="T557" s="87"/>
    </row>
    <row r="558" spans="2:20" ht="13.05" customHeight="1" x14ac:dyDescent="0.3">
      <c r="B558" s="85"/>
      <c r="C558" s="85"/>
      <c r="D558" s="121"/>
      <c r="E558" s="121"/>
      <c r="F558" s="121"/>
      <c r="G558" s="121"/>
      <c r="H558" s="121"/>
      <c r="I558" s="121"/>
      <c r="J558" s="121"/>
      <c r="K558" s="86"/>
      <c r="L558" s="121"/>
      <c r="M558" s="121"/>
      <c r="N558" s="121"/>
      <c r="O558" s="121"/>
      <c r="P558" s="121"/>
      <c r="Q558" s="121"/>
      <c r="R558" s="121"/>
      <c r="S558" s="87"/>
      <c r="T558" s="87"/>
    </row>
    <row r="559" spans="2:20" ht="13.05" customHeight="1" x14ac:dyDescent="0.3">
      <c r="B559" s="85"/>
      <c r="C559" s="85"/>
      <c r="D559" s="121"/>
      <c r="E559" s="121"/>
      <c r="F559" s="121"/>
      <c r="G559" s="121"/>
      <c r="H559" s="121"/>
      <c r="I559" s="121"/>
      <c r="J559" s="121"/>
      <c r="K559" s="86"/>
      <c r="L559" s="121"/>
      <c r="M559" s="121"/>
      <c r="N559" s="121"/>
      <c r="O559" s="121"/>
      <c r="P559" s="121"/>
      <c r="Q559" s="121"/>
      <c r="R559" s="121"/>
      <c r="S559" s="87"/>
      <c r="T559" s="87"/>
    </row>
    <row r="560" spans="2:20" ht="10.050000000000001" customHeight="1" x14ac:dyDescent="0.3">
      <c r="B560" s="85"/>
      <c r="C560" s="85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7"/>
      <c r="T560" s="87"/>
    </row>
    <row r="561" spans="2:20" ht="19.2" customHeight="1" x14ac:dyDescent="0.3">
      <c r="B561" s="85"/>
      <c r="C561" s="85"/>
      <c r="D561" s="118" t="str">
        <f>IF(ISBLANK(PARAMETROS!$C$601),"",PARAMETROS!$C$601)</f>
        <v>Esquema de vacunación completo a los 12 meses EC:</v>
      </c>
      <c r="E561" s="118"/>
      <c r="F561" s="118"/>
      <c r="G561" s="118"/>
      <c r="H561" s="118"/>
      <c r="I561" s="118"/>
      <c r="J561" s="118"/>
      <c r="K561" s="86"/>
      <c r="L561" s="118" t="str">
        <f>IF(ISBLANK(PARAMETROS!$C$602),"",PARAMETROS!$C$602)</f>
        <v>Resultado de la prueba de desarrollo neuromotor a los 12 meses EC:</v>
      </c>
      <c r="M561" s="118"/>
      <c r="N561" s="118"/>
      <c r="O561" s="118"/>
      <c r="P561" s="118"/>
      <c r="Q561" s="118"/>
      <c r="R561" s="118"/>
      <c r="S561" s="87"/>
      <c r="T561" s="87"/>
    </row>
    <row r="562" spans="2:20" ht="10.050000000000001" customHeight="1" x14ac:dyDescent="0.3">
      <c r="B562" s="85"/>
      <c r="C562" s="85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7"/>
      <c r="T562" s="87"/>
    </row>
    <row r="563" spans="2:20" ht="13.05" customHeight="1" x14ac:dyDescent="0.3">
      <c r="B563" s="85"/>
      <c r="C563" s="85"/>
      <c r="D563" s="121"/>
      <c r="E563" s="121"/>
      <c r="F563" s="121"/>
      <c r="G563" s="121"/>
      <c r="H563" s="121"/>
      <c r="I563" s="121"/>
      <c r="J563" s="121"/>
      <c r="K563" s="86"/>
      <c r="L563" s="121"/>
      <c r="M563" s="121"/>
      <c r="N563" s="121"/>
      <c r="O563" s="121"/>
      <c r="P563" s="121"/>
      <c r="Q563" s="121"/>
      <c r="R563" s="121"/>
      <c r="S563" s="87"/>
      <c r="T563" s="87"/>
    </row>
    <row r="564" spans="2:20" ht="13.05" customHeight="1" x14ac:dyDescent="0.3">
      <c r="B564" s="85"/>
      <c r="C564" s="85"/>
      <c r="D564" s="121"/>
      <c r="E564" s="121"/>
      <c r="F564" s="121"/>
      <c r="G564" s="121"/>
      <c r="H564" s="121"/>
      <c r="I564" s="121"/>
      <c r="J564" s="121"/>
      <c r="K564" s="86"/>
      <c r="L564" s="121"/>
      <c r="M564" s="121"/>
      <c r="N564" s="121"/>
      <c r="O564" s="121"/>
      <c r="P564" s="121"/>
      <c r="Q564" s="121"/>
      <c r="R564" s="121"/>
      <c r="S564" s="87"/>
      <c r="T564" s="87"/>
    </row>
    <row r="565" spans="2:20" ht="10.050000000000001" customHeight="1" x14ac:dyDescent="0.3">
      <c r="B565" s="85"/>
      <c r="C565" s="85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7"/>
      <c r="T565" s="87"/>
    </row>
    <row r="566" spans="2:20" ht="19.2" customHeight="1" x14ac:dyDescent="0.3">
      <c r="B566" s="85"/>
      <c r="C566" s="85"/>
      <c r="D566" s="118" t="str">
        <f>IF(ISBLANK(PARAMETROS!$C$603),"",PARAMETROS!$C$603)</f>
        <v>Resultado de la prueba psicológica a los 12 meses EC:</v>
      </c>
      <c r="E566" s="118"/>
      <c r="F566" s="118"/>
      <c r="G566" s="118"/>
      <c r="H566" s="118"/>
      <c r="I566" s="118"/>
      <c r="J566" s="118"/>
      <c r="K566" s="86"/>
      <c r="L566" s="120" t="str">
        <f>IF(ISBLANK(PARAMETROS!$C$604),"",PARAMETROS!$C$604)</f>
        <v>¿Se realizó tamizaje oftalmológico a los 12 meses?:</v>
      </c>
      <c r="M566" s="120"/>
      <c r="N566" s="120"/>
      <c r="O566" s="120"/>
      <c r="P566" s="120"/>
      <c r="Q566" s="120"/>
      <c r="R566" s="120"/>
      <c r="S566" s="87"/>
      <c r="T566" s="87"/>
    </row>
    <row r="567" spans="2:20" ht="10.050000000000001" customHeight="1" x14ac:dyDescent="0.3">
      <c r="B567" s="85"/>
      <c r="C567" s="85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7"/>
      <c r="T567" s="87"/>
    </row>
    <row r="568" spans="2:20" ht="13.05" customHeight="1" x14ac:dyDescent="0.3">
      <c r="B568" s="85"/>
      <c r="C568" s="85"/>
      <c r="D568" s="121"/>
      <c r="E568" s="121"/>
      <c r="F568" s="121"/>
      <c r="G568" s="121"/>
      <c r="H568" s="121"/>
      <c r="I568" s="121"/>
      <c r="J568" s="121"/>
      <c r="K568" s="86"/>
      <c r="L568" s="121"/>
      <c r="M568" s="121"/>
      <c r="N568" s="121"/>
      <c r="O568" s="121"/>
      <c r="P568" s="121"/>
      <c r="Q568" s="121"/>
      <c r="R568" s="121"/>
      <c r="S568" s="87"/>
      <c r="T568" s="87"/>
    </row>
    <row r="569" spans="2:20" ht="13.05" customHeight="1" x14ac:dyDescent="0.3">
      <c r="B569" s="85"/>
      <c r="C569" s="85"/>
      <c r="D569" s="121"/>
      <c r="E569" s="121"/>
      <c r="F569" s="121"/>
      <c r="G569" s="121"/>
      <c r="H569" s="121"/>
      <c r="I569" s="121"/>
      <c r="J569" s="121"/>
      <c r="K569" s="86"/>
      <c r="L569" s="121"/>
      <c r="M569" s="121"/>
      <c r="N569" s="121"/>
      <c r="O569" s="121"/>
      <c r="P569" s="121"/>
      <c r="Q569" s="121"/>
      <c r="R569" s="121"/>
      <c r="S569" s="87"/>
      <c r="T569" s="87"/>
    </row>
    <row r="570" spans="2:20" ht="10.050000000000001" customHeight="1" x14ac:dyDescent="0.3">
      <c r="B570" s="85"/>
      <c r="C570" s="85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7"/>
      <c r="T570" s="87"/>
    </row>
    <row r="571" spans="2:20" ht="19.2" customHeight="1" x14ac:dyDescent="0.3">
      <c r="B571" s="85"/>
      <c r="C571" s="85"/>
      <c r="D571" s="120" t="str">
        <f>IF(ISBLANK(PARAMETROS!$C$605),"",PARAMETROS!$C$605)</f>
        <v>Resultado oftalmológico:</v>
      </c>
      <c r="E571" s="120"/>
      <c r="F571" s="120"/>
      <c r="G571" s="120"/>
      <c r="H571" s="120"/>
      <c r="I571" s="120"/>
      <c r="J571" s="120"/>
      <c r="K571" s="86"/>
      <c r="L571" s="120" t="str">
        <f>IF(ISBLANK(PARAMETROS!$C$606),"",PARAMETROS!$C$606)</f>
        <v>Resultado oftalmológico ceguera:</v>
      </c>
      <c r="M571" s="120"/>
      <c r="N571" s="120"/>
      <c r="O571" s="120"/>
      <c r="P571" s="120"/>
      <c r="Q571" s="120"/>
      <c r="R571" s="120"/>
      <c r="S571" s="87"/>
      <c r="T571" s="87"/>
    </row>
    <row r="572" spans="2:20" ht="10.050000000000001" customHeight="1" x14ac:dyDescent="0.3">
      <c r="B572" s="85"/>
      <c r="C572" s="85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7"/>
      <c r="T572" s="87"/>
    </row>
    <row r="573" spans="2:20" ht="13.05" customHeight="1" x14ac:dyDescent="0.3">
      <c r="B573" s="85"/>
      <c r="C573" s="85"/>
      <c r="D573" s="121"/>
      <c r="E573" s="121"/>
      <c r="F573" s="121"/>
      <c r="G573" s="121"/>
      <c r="H573" s="121"/>
      <c r="I573" s="121"/>
      <c r="J573" s="121"/>
      <c r="K573" s="86"/>
      <c r="L573" s="121"/>
      <c r="M573" s="121"/>
      <c r="N573" s="121"/>
      <c r="O573" s="121"/>
      <c r="P573" s="121"/>
      <c r="Q573" s="121"/>
      <c r="R573" s="121"/>
      <c r="S573" s="87"/>
      <c r="T573" s="87"/>
    </row>
    <row r="574" spans="2:20" ht="13.05" customHeight="1" x14ac:dyDescent="0.3">
      <c r="B574" s="85"/>
      <c r="C574" s="85"/>
      <c r="D574" s="121"/>
      <c r="E574" s="121"/>
      <c r="F574" s="121"/>
      <c r="G574" s="121"/>
      <c r="H574" s="121"/>
      <c r="I574" s="121"/>
      <c r="J574" s="121"/>
      <c r="K574" s="86"/>
      <c r="L574" s="121"/>
      <c r="M574" s="121"/>
      <c r="N574" s="121"/>
      <c r="O574" s="121"/>
      <c r="P574" s="121"/>
      <c r="Q574" s="121"/>
      <c r="R574" s="121"/>
      <c r="S574" s="87"/>
      <c r="T574" s="87"/>
    </row>
    <row r="575" spans="2:20" ht="10.050000000000001" customHeight="1" x14ac:dyDescent="0.3">
      <c r="B575" s="85"/>
      <c r="C575" s="85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7"/>
      <c r="T575" s="87"/>
    </row>
    <row r="576" spans="2:20" ht="19.2" customHeight="1" x14ac:dyDescent="0.3">
      <c r="B576" s="85"/>
      <c r="C576" s="85"/>
      <c r="D576" s="120" t="str">
        <f>IF(ISBLANK(PARAMETROS!$C$607),"",PARAMETROS!$C$607)</f>
        <v>¿Se realizó tamizaje audiológico a los 12 meses?:</v>
      </c>
      <c r="E576" s="120"/>
      <c r="F576" s="120"/>
      <c r="G576" s="120"/>
      <c r="H576" s="120"/>
      <c r="I576" s="120"/>
      <c r="J576" s="120"/>
      <c r="K576" s="86"/>
      <c r="L576" s="120" t="str">
        <f>IF(ISBLANK(PARAMETROS!$C$608),"",PARAMETROS!$C$608)</f>
        <v>Resultado audiológico:</v>
      </c>
      <c r="M576" s="120"/>
      <c r="N576" s="120"/>
      <c r="O576" s="120"/>
      <c r="P576" s="120"/>
      <c r="Q576" s="120"/>
      <c r="R576" s="120"/>
      <c r="S576" s="87"/>
      <c r="T576" s="87"/>
    </row>
    <row r="577" spans="2:20" ht="10.050000000000001" customHeight="1" x14ac:dyDescent="0.3">
      <c r="B577" s="85"/>
      <c r="C577" s="85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7"/>
      <c r="T577" s="87"/>
    </row>
    <row r="578" spans="2:20" ht="13.05" customHeight="1" x14ac:dyDescent="0.3">
      <c r="B578" s="85"/>
      <c r="C578" s="85"/>
      <c r="D578" s="121"/>
      <c r="E578" s="121"/>
      <c r="F578" s="121"/>
      <c r="G578" s="121"/>
      <c r="H578" s="121"/>
      <c r="I578" s="121"/>
      <c r="J578" s="121"/>
      <c r="K578" s="86"/>
      <c r="L578" s="121"/>
      <c r="M578" s="121"/>
      <c r="N578" s="121"/>
      <c r="O578" s="121"/>
      <c r="P578" s="121"/>
      <c r="Q578" s="121"/>
      <c r="R578" s="121"/>
      <c r="S578" s="87"/>
      <c r="T578" s="87"/>
    </row>
    <row r="579" spans="2:20" ht="13.05" customHeight="1" x14ac:dyDescent="0.3">
      <c r="B579" s="85"/>
      <c r="C579" s="85"/>
      <c r="D579" s="121"/>
      <c r="E579" s="121"/>
      <c r="F579" s="121"/>
      <c r="G579" s="121"/>
      <c r="H579" s="121"/>
      <c r="I579" s="121"/>
      <c r="J579" s="121"/>
      <c r="K579" s="86"/>
      <c r="L579" s="121"/>
      <c r="M579" s="121"/>
      <c r="N579" s="121"/>
      <c r="O579" s="121"/>
      <c r="P579" s="121"/>
      <c r="Q579" s="121"/>
      <c r="R579" s="121"/>
      <c r="S579" s="87"/>
      <c r="T579" s="87"/>
    </row>
    <row r="580" spans="2:20" ht="10.050000000000001" customHeight="1" x14ac:dyDescent="0.3">
      <c r="B580" s="85"/>
      <c r="C580" s="85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7"/>
      <c r="T580" s="87"/>
    </row>
    <row r="581" spans="2:20" ht="19.2" customHeight="1" x14ac:dyDescent="0.3">
      <c r="B581" s="85"/>
      <c r="C581" s="85"/>
      <c r="D581" s="120" t="str">
        <f>IF(ISBLANK(PARAMETROS!$C$609),"",PARAMETROS!$C$609)</f>
        <v>Resultado optometría a los 12 meses:</v>
      </c>
      <c r="E581" s="120"/>
      <c r="F581" s="120"/>
      <c r="G581" s="120"/>
      <c r="H581" s="120"/>
      <c r="I581" s="120"/>
      <c r="J581" s="120"/>
      <c r="K581" s="86"/>
      <c r="L581" s="120" t="str">
        <f>IF(ISBLANK(PARAMETROS!$C$610),"",PARAMETROS!$C$610)</f>
        <v>Cual:</v>
      </c>
      <c r="M581" s="120"/>
      <c r="N581" s="120"/>
      <c r="O581" s="120"/>
      <c r="P581" s="120"/>
      <c r="Q581" s="120"/>
      <c r="R581" s="120"/>
      <c r="S581" s="87"/>
      <c r="T581" s="87"/>
    </row>
    <row r="582" spans="2:20" ht="10.050000000000001" customHeight="1" x14ac:dyDescent="0.3">
      <c r="B582" s="85"/>
      <c r="C582" s="85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7"/>
      <c r="T582" s="87"/>
    </row>
    <row r="583" spans="2:20" ht="13.05" customHeight="1" x14ac:dyDescent="0.3">
      <c r="B583" s="85"/>
      <c r="C583" s="85"/>
      <c r="D583" s="121"/>
      <c r="E583" s="121"/>
      <c r="F583" s="121"/>
      <c r="G583" s="121"/>
      <c r="H583" s="121"/>
      <c r="I583" s="121"/>
      <c r="J583" s="121"/>
      <c r="K583" s="86"/>
      <c r="L583" s="121"/>
      <c r="M583" s="121"/>
      <c r="N583" s="121"/>
      <c r="O583" s="121"/>
      <c r="P583" s="121"/>
      <c r="Q583" s="121"/>
      <c r="R583" s="121"/>
      <c r="S583" s="87"/>
      <c r="T583" s="87"/>
    </row>
    <row r="584" spans="2:20" ht="13.05" customHeight="1" x14ac:dyDescent="0.3">
      <c r="B584" s="85"/>
      <c r="C584" s="85"/>
      <c r="D584" s="121"/>
      <c r="E584" s="121"/>
      <c r="F584" s="121"/>
      <c r="G584" s="121"/>
      <c r="H584" s="121"/>
      <c r="I584" s="121"/>
      <c r="J584" s="121"/>
      <c r="K584" s="86"/>
      <c r="L584" s="121"/>
      <c r="M584" s="121"/>
      <c r="N584" s="121"/>
      <c r="O584" s="121"/>
      <c r="P584" s="121"/>
      <c r="Q584" s="121"/>
      <c r="R584" s="121"/>
      <c r="S584" s="87"/>
      <c r="T584" s="87"/>
    </row>
    <row r="585" spans="2:20" ht="10.050000000000001" customHeight="1" x14ac:dyDescent="0.3">
      <c r="B585" s="85"/>
      <c r="C585" s="85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7"/>
      <c r="T585" s="87"/>
    </row>
    <row r="586" spans="2:20" ht="10.050000000000001" customHeight="1" thickBot="1" x14ac:dyDescent="0.35">
      <c r="B586" s="85"/>
      <c r="C586" s="88"/>
      <c r="D586" s="89"/>
      <c r="E586" s="89"/>
      <c r="F586" s="89"/>
      <c r="G586" s="89"/>
      <c r="H586" s="89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90"/>
      <c r="T586" s="87"/>
    </row>
    <row r="587" spans="2:20" ht="10.050000000000001" customHeight="1" x14ac:dyDescent="0.3">
      <c r="B587" s="85"/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7"/>
    </row>
    <row r="588" spans="2:20" ht="13.05" customHeight="1" x14ac:dyDescent="0.3">
      <c r="B588" s="85"/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7"/>
    </row>
    <row r="589" spans="2:20" ht="13.05" customHeight="1" x14ac:dyDescent="0.3">
      <c r="B589" s="85"/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7"/>
    </row>
    <row r="590" spans="2:20" ht="10.050000000000001" customHeight="1" thickBot="1" x14ac:dyDescent="0.35">
      <c r="B590" s="88"/>
      <c r="C590" s="89"/>
      <c r="D590" s="89"/>
      <c r="E590" s="89"/>
      <c r="F590" s="89"/>
      <c r="G590" s="89"/>
      <c r="H590" s="89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90"/>
    </row>
    <row r="591" spans="2:20" ht="19.2" customHeight="1" x14ac:dyDescent="0.3"/>
  </sheetData>
  <sheetProtection algorithmName="SHA-512" hashValue="6s5rKJX00wgGdZtcbgnVFFCvHrg9rtb8bagwa3OfbkE1eBzPNiULJ0yG1qz7FH1LR5gSvHaWBQp4B3Y9pmYBSg==" saltValue="lH/NESOhENkLeeJp1C6ffg==" spinCount="100000" sheet="1" objects="1" scenarios="1" selectLockedCells="1"/>
  <mergeCells count="339">
    <mergeCell ref="D63:J63"/>
    <mergeCell ref="L63:R63"/>
    <mergeCell ref="D65:J66"/>
    <mergeCell ref="L65:R66"/>
    <mergeCell ref="D30:J31"/>
    <mergeCell ref="L30:R31"/>
    <mergeCell ref="D18:J18"/>
    <mergeCell ref="L18:R18"/>
    <mergeCell ref="D20:J21"/>
    <mergeCell ref="L20:R21"/>
    <mergeCell ref="D23:J23"/>
    <mergeCell ref="L23:R23"/>
    <mergeCell ref="D61:R61"/>
    <mergeCell ref="C4:H4"/>
    <mergeCell ref="J4:M4"/>
    <mergeCell ref="C6:H7"/>
    <mergeCell ref="J6:M7"/>
    <mergeCell ref="D16:R16"/>
    <mergeCell ref="D13:G14"/>
    <mergeCell ref="C1:G2"/>
    <mergeCell ref="D53:J53"/>
    <mergeCell ref="D55:J56"/>
    <mergeCell ref="D33:J33"/>
    <mergeCell ref="D35:J36"/>
    <mergeCell ref="D41:R41"/>
    <mergeCell ref="D43:J43"/>
    <mergeCell ref="L43:R43"/>
    <mergeCell ref="D45:J46"/>
    <mergeCell ref="L45:R46"/>
    <mergeCell ref="D48:J48"/>
    <mergeCell ref="L48:R48"/>
    <mergeCell ref="D50:J51"/>
    <mergeCell ref="L50:R51"/>
    <mergeCell ref="D25:J26"/>
    <mergeCell ref="L25:R26"/>
    <mergeCell ref="D28:J28"/>
    <mergeCell ref="L28:R28"/>
    <mergeCell ref="D89:J89"/>
    <mergeCell ref="L89:R89"/>
    <mergeCell ref="D91:J92"/>
    <mergeCell ref="L91:R92"/>
    <mergeCell ref="D94:J94"/>
    <mergeCell ref="L94:R94"/>
    <mergeCell ref="D79:G80"/>
    <mergeCell ref="D82:R82"/>
    <mergeCell ref="D84:J84"/>
    <mergeCell ref="L84:R84"/>
    <mergeCell ref="D86:J87"/>
    <mergeCell ref="L86:R87"/>
    <mergeCell ref="D112:R112"/>
    <mergeCell ref="D114:J114"/>
    <mergeCell ref="L114:R114"/>
    <mergeCell ref="D116:J117"/>
    <mergeCell ref="L116:R117"/>
    <mergeCell ref="D96:J97"/>
    <mergeCell ref="L96:R97"/>
    <mergeCell ref="D102:R102"/>
    <mergeCell ref="D104:R104"/>
    <mergeCell ref="D106:J107"/>
    <mergeCell ref="D129:J129"/>
    <mergeCell ref="L129:R129"/>
    <mergeCell ref="D131:J132"/>
    <mergeCell ref="L131:R132"/>
    <mergeCell ref="D134:J134"/>
    <mergeCell ref="L134:R134"/>
    <mergeCell ref="D119:J119"/>
    <mergeCell ref="L119:R119"/>
    <mergeCell ref="D121:J122"/>
    <mergeCell ref="L121:R122"/>
    <mergeCell ref="D127:R127"/>
    <mergeCell ref="D144:J144"/>
    <mergeCell ref="L144:R144"/>
    <mergeCell ref="D146:J147"/>
    <mergeCell ref="L146:R147"/>
    <mergeCell ref="D160:G161"/>
    <mergeCell ref="D136:J137"/>
    <mergeCell ref="L136:R137"/>
    <mergeCell ref="D139:J139"/>
    <mergeCell ref="L139:R139"/>
    <mergeCell ref="D141:J142"/>
    <mergeCell ref="L141:R142"/>
    <mergeCell ref="D170:J170"/>
    <mergeCell ref="L170:R170"/>
    <mergeCell ref="D172:J173"/>
    <mergeCell ref="L172:R173"/>
    <mergeCell ref="D175:J175"/>
    <mergeCell ref="D163:R163"/>
    <mergeCell ref="D165:J165"/>
    <mergeCell ref="L165:R165"/>
    <mergeCell ref="D167:J168"/>
    <mergeCell ref="L167:R168"/>
    <mergeCell ref="D190:J190"/>
    <mergeCell ref="D192:J193"/>
    <mergeCell ref="L192:N193"/>
    <mergeCell ref="P192:R193"/>
    <mergeCell ref="L195:N196"/>
    <mergeCell ref="P195:R196"/>
    <mergeCell ref="D177:J178"/>
    <mergeCell ref="D183:R183"/>
    <mergeCell ref="D185:J185"/>
    <mergeCell ref="L185:R185"/>
    <mergeCell ref="D187:J188"/>
    <mergeCell ref="L187:R188"/>
    <mergeCell ref="D207:J208"/>
    <mergeCell ref="L207:N208"/>
    <mergeCell ref="P207:R208"/>
    <mergeCell ref="D213:R213"/>
    <mergeCell ref="D215:J215"/>
    <mergeCell ref="L215:R215"/>
    <mergeCell ref="L198:N199"/>
    <mergeCell ref="P198:R199"/>
    <mergeCell ref="L201:N202"/>
    <mergeCell ref="P201:R202"/>
    <mergeCell ref="D204:J205"/>
    <mergeCell ref="L204:N205"/>
    <mergeCell ref="P204:R205"/>
    <mergeCell ref="D225:J225"/>
    <mergeCell ref="D227:J228"/>
    <mergeCell ref="D233:R233"/>
    <mergeCell ref="D235:R235"/>
    <mergeCell ref="D237:J238"/>
    <mergeCell ref="D217:J218"/>
    <mergeCell ref="L217:R218"/>
    <mergeCell ref="D220:J220"/>
    <mergeCell ref="L220:R220"/>
    <mergeCell ref="D222:J223"/>
    <mergeCell ref="L222:R223"/>
    <mergeCell ref="D250:J250"/>
    <mergeCell ref="L250:R250"/>
    <mergeCell ref="D252:J253"/>
    <mergeCell ref="L252:R253"/>
    <mergeCell ref="D258:R258"/>
    <mergeCell ref="D243:R243"/>
    <mergeCell ref="D245:J245"/>
    <mergeCell ref="L245:R245"/>
    <mergeCell ref="D247:J248"/>
    <mergeCell ref="L247:R248"/>
    <mergeCell ref="D267:J268"/>
    <mergeCell ref="D270:J270"/>
    <mergeCell ref="L270:R270"/>
    <mergeCell ref="D272:J273"/>
    <mergeCell ref="L272:R273"/>
    <mergeCell ref="D260:J260"/>
    <mergeCell ref="L260:R260"/>
    <mergeCell ref="D262:J263"/>
    <mergeCell ref="L262:R263"/>
    <mergeCell ref="D265:J265"/>
    <mergeCell ref="D285:J285"/>
    <mergeCell ref="L285:R285"/>
    <mergeCell ref="D287:J288"/>
    <mergeCell ref="L287:R288"/>
    <mergeCell ref="D290:J290"/>
    <mergeCell ref="L290:R290"/>
    <mergeCell ref="D278:R278"/>
    <mergeCell ref="D280:J280"/>
    <mergeCell ref="L280:R280"/>
    <mergeCell ref="D282:J283"/>
    <mergeCell ref="L282:R283"/>
    <mergeCell ref="D300:J300"/>
    <mergeCell ref="L300:R300"/>
    <mergeCell ref="D302:J303"/>
    <mergeCell ref="L302:R303"/>
    <mergeCell ref="D316:G317"/>
    <mergeCell ref="D292:J293"/>
    <mergeCell ref="L292:R293"/>
    <mergeCell ref="D295:J295"/>
    <mergeCell ref="L295:R295"/>
    <mergeCell ref="D297:J298"/>
    <mergeCell ref="L297:R298"/>
    <mergeCell ref="D326:J326"/>
    <mergeCell ref="L326:R326"/>
    <mergeCell ref="D328:J329"/>
    <mergeCell ref="L328:R329"/>
    <mergeCell ref="D331:J331"/>
    <mergeCell ref="L331:R331"/>
    <mergeCell ref="D319:R319"/>
    <mergeCell ref="D321:J321"/>
    <mergeCell ref="L321:R321"/>
    <mergeCell ref="D323:J324"/>
    <mergeCell ref="L323:R324"/>
    <mergeCell ref="D349:J349"/>
    <mergeCell ref="L349:R349"/>
    <mergeCell ref="D351:J352"/>
    <mergeCell ref="L351:R352"/>
    <mergeCell ref="D354:J354"/>
    <mergeCell ref="L354:R354"/>
    <mergeCell ref="D333:J334"/>
    <mergeCell ref="L333:R334"/>
    <mergeCell ref="D336:J336"/>
    <mergeCell ref="D338:J339"/>
    <mergeCell ref="D347:R347"/>
    <mergeCell ref="D364:J364"/>
    <mergeCell ref="L364:R364"/>
    <mergeCell ref="D366:J367"/>
    <mergeCell ref="L366:R367"/>
    <mergeCell ref="D369:J369"/>
    <mergeCell ref="L369:R369"/>
    <mergeCell ref="D356:J357"/>
    <mergeCell ref="L356:R357"/>
    <mergeCell ref="D359:J359"/>
    <mergeCell ref="L359:R359"/>
    <mergeCell ref="D361:J362"/>
    <mergeCell ref="L361:R362"/>
    <mergeCell ref="D382:R382"/>
    <mergeCell ref="D384:J384"/>
    <mergeCell ref="L384:R384"/>
    <mergeCell ref="D386:J387"/>
    <mergeCell ref="L386:R387"/>
    <mergeCell ref="D371:J372"/>
    <mergeCell ref="L371:R372"/>
    <mergeCell ref="D374:J374"/>
    <mergeCell ref="L374:R374"/>
    <mergeCell ref="D376:J377"/>
    <mergeCell ref="L376:R377"/>
    <mergeCell ref="D399:J399"/>
    <mergeCell ref="L399:R399"/>
    <mergeCell ref="D401:J402"/>
    <mergeCell ref="L401:R402"/>
    <mergeCell ref="D415:R415"/>
    <mergeCell ref="D389:J389"/>
    <mergeCell ref="L389:R389"/>
    <mergeCell ref="D391:J392"/>
    <mergeCell ref="L391:R392"/>
    <mergeCell ref="D397:R397"/>
    <mergeCell ref="D424:J425"/>
    <mergeCell ref="L424:R425"/>
    <mergeCell ref="D427:J427"/>
    <mergeCell ref="L427:R427"/>
    <mergeCell ref="D429:J430"/>
    <mergeCell ref="L429:R430"/>
    <mergeCell ref="D417:J417"/>
    <mergeCell ref="L417:R417"/>
    <mergeCell ref="D419:J420"/>
    <mergeCell ref="L419:R420"/>
    <mergeCell ref="D422:J422"/>
    <mergeCell ref="L422:R422"/>
    <mergeCell ref="D439:J440"/>
    <mergeCell ref="L439:R440"/>
    <mergeCell ref="D442:J442"/>
    <mergeCell ref="L442:R442"/>
    <mergeCell ref="D444:J445"/>
    <mergeCell ref="L444:R445"/>
    <mergeCell ref="D432:J432"/>
    <mergeCell ref="L432:R432"/>
    <mergeCell ref="D434:J435"/>
    <mergeCell ref="L434:R435"/>
    <mergeCell ref="D437:J437"/>
    <mergeCell ref="L437:R437"/>
    <mergeCell ref="D465:J465"/>
    <mergeCell ref="L465:R465"/>
    <mergeCell ref="D467:J468"/>
    <mergeCell ref="L467:R468"/>
    <mergeCell ref="D470:J470"/>
    <mergeCell ref="L470:R470"/>
    <mergeCell ref="D447:J447"/>
    <mergeCell ref="L447:R447"/>
    <mergeCell ref="D449:J450"/>
    <mergeCell ref="L449:R450"/>
    <mergeCell ref="D463:R463"/>
    <mergeCell ref="D480:J480"/>
    <mergeCell ref="L480:R480"/>
    <mergeCell ref="D482:J483"/>
    <mergeCell ref="L482:R483"/>
    <mergeCell ref="D485:J485"/>
    <mergeCell ref="L485:R485"/>
    <mergeCell ref="D472:J473"/>
    <mergeCell ref="L472:R473"/>
    <mergeCell ref="D475:J475"/>
    <mergeCell ref="L475:R475"/>
    <mergeCell ref="D477:J478"/>
    <mergeCell ref="L477:R478"/>
    <mergeCell ref="D508:J508"/>
    <mergeCell ref="L508:R508"/>
    <mergeCell ref="D510:J511"/>
    <mergeCell ref="L510:R511"/>
    <mergeCell ref="D513:J513"/>
    <mergeCell ref="L513:R513"/>
    <mergeCell ref="D487:J488"/>
    <mergeCell ref="L487:R488"/>
    <mergeCell ref="D490:J490"/>
    <mergeCell ref="D492:J493"/>
    <mergeCell ref="D506:R506"/>
    <mergeCell ref="D523:J523"/>
    <mergeCell ref="L523:R523"/>
    <mergeCell ref="D525:J526"/>
    <mergeCell ref="L525:R526"/>
    <mergeCell ref="D528:J528"/>
    <mergeCell ref="D515:J516"/>
    <mergeCell ref="L515:R516"/>
    <mergeCell ref="D518:J518"/>
    <mergeCell ref="L518:R518"/>
    <mergeCell ref="D520:J521"/>
    <mergeCell ref="L520:R521"/>
    <mergeCell ref="D551:J551"/>
    <mergeCell ref="L551:R551"/>
    <mergeCell ref="D553:J554"/>
    <mergeCell ref="L553:R554"/>
    <mergeCell ref="D556:J556"/>
    <mergeCell ref="L556:R556"/>
    <mergeCell ref="D530:J531"/>
    <mergeCell ref="D544:R544"/>
    <mergeCell ref="D546:J546"/>
    <mergeCell ref="L546:R546"/>
    <mergeCell ref="D548:J549"/>
    <mergeCell ref="L548:R549"/>
    <mergeCell ref="D568:J569"/>
    <mergeCell ref="L568:R569"/>
    <mergeCell ref="D571:J571"/>
    <mergeCell ref="L571:R571"/>
    <mergeCell ref="D558:J559"/>
    <mergeCell ref="L558:R559"/>
    <mergeCell ref="D561:J561"/>
    <mergeCell ref="L561:R561"/>
    <mergeCell ref="D563:J564"/>
    <mergeCell ref="L563:R564"/>
    <mergeCell ref="D581:J581"/>
    <mergeCell ref="L581:R581"/>
    <mergeCell ref="D583:J584"/>
    <mergeCell ref="L583:R584"/>
    <mergeCell ref="K192:K193"/>
    <mergeCell ref="O192:O193"/>
    <mergeCell ref="O195:O196"/>
    <mergeCell ref="K195:K196"/>
    <mergeCell ref="K198:K199"/>
    <mergeCell ref="K201:K202"/>
    <mergeCell ref="K204:K205"/>
    <mergeCell ref="K207:K208"/>
    <mergeCell ref="O198:O199"/>
    <mergeCell ref="O201:O202"/>
    <mergeCell ref="O204:O205"/>
    <mergeCell ref="O207:O208"/>
    <mergeCell ref="D573:J574"/>
    <mergeCell ref="L573:R574"/>
    <mergeCell ref="D576:J576"/>
    <mergeCell ref="L576:R576"/>
    <mergeCell ref="D578:J579"/>
    <mergeCell ref="L578:R579"/>
    <mergeCell ref="D566:J566"/>
    <mergeCell ref="L566:R566"/>
  </mergeCells>
  <dataValidations disablePrompts="1" count="19">
    <dataValidation type="list" allowBlank="1" showInputMessage="1" showErrorMessage="1" sqref="D65:J66 L302:R303" xr:uid="{D4F13379-5FD6-45D8-9A7E-D30450778EF0}">
      <formula1>lista14</formula1>
    </dataValidation>
    <dataValidation type="list" allowBlank="1" showInputMessage="1" showErrorMessage="1" sqref="D30:J31" xr:uid="{49635F96-1093-4601-8F19-13F305EE5C88}">
      <formula1>lista13</formula1>
    </dataValidation>
    <dataValidation type="list" allowBlank="1" showInputMessage="1" showErrorMessage="1" sqref="L25:R26" xr:uid="{594903B9-00E7-4507-B06F-E33A48963404}">
      <formula1>lista12</formula1>
    </dataValidation>
    <dataValidation type="list" allowBlank="1" showInputMessage="1" showErrorMessage="1" sqref="D20:J21 L20:R21 D25:J26 D45:J46 D50:J51 L50:R51 D55:J56 L141:R142 L187:R188 D302:J303" xr:uid="{954BD0B9-CD3D-4151-96EF-143ADAA22477}">
      <formula1>lista3</formula1>
    </dataValidation>
    <dataValidation type="list" allowBlank="1" showInputMessage="1" showErrorMessage="1" sqref="L146:R147" xr:uid="{E72E2C1D-A554-4D7E-9199-D5B23DA72C32}">
      <formula1>lista17</formula1>
    </dataValidation>
    <dataValidation type="list" allowBlank="1" showInputMessage="1" showErrorMessage="1" sqref="D141:J142 D297:J298 D338:J339 D356:J357 D429:J430 L472:R473" xr:uid="{84AC1F18-E37E-4C2D-BE9F-113A36940EC1}">
      <formula1>lista16</formula1>
    </dataValidation>
    <dataValidation type="list" allowBlank="1" showInputMessage="1" showErrorMessage="1" sqref="L136:R137 D146:J147 D187:J188 D192:J193 D262:J263 D272:J273 D361:J362 L366:R367 D376:J377 L424:R425 L429:R430 L434:R435 D444:J445 D477:J478 L477:R478 D482:J483 D520:J521 L520:R521 D578:J579 L558:R559 D563:J564 L568:R569" xr:uid="{F3922ED9-CD42-487C-9773-DF8012CAB6F0}">
      <formula1>lista1</formula1>
    </dataValidation>
    <dataValidation type="list" allowBlank="1" showInputMessage="1" showErrorMessage="1" sqref="L86:R87" xr:uid="{A54178E5-E352-4986-8194-AE5939210DFA}">
      <formula1>lista15</formula1>
    </dataValidation>
    <dataValidation type="list" allowBlank="1" showInputMessage="1" showErrorMessage="1" sqref="L297:R298 L401:R402" xr:uid="{37A8D994-B93A-45BE-83BA-F00BF6DC6813}">
      <formula1>lista0</formula1>
    </dataValidation>
    <dataValidation type="list" allowBlank="1" showInputMessage="1" showErrorMessage="1" sqref="L272:R273 L376:R377 L444:R445 L578:R579" xr:uid="{C8464810-F76B-4989-A2A1-CE0D12149278}">
      <formula1>lista20</formula1>
    </dataValidation>
    <dataValidation type="list" allowBlank="1" showInputMessage="1" showErrorMessage="1" sqref="D267:J268 L371:R372 L439:R440 L573:R574" xr:uid="{D84B8602-798D-4D48-BB99-9ADB8E4F0579}">
      <formula1>lista19</formula1>
    </dataValidation>
    <dataValidation type="list" allowBlank="1" showInputMessage="1" showErrorMessage="1" sqref="L262:R263 D371:J372 D439:J440 D573:J574" xr:uid="{AA1FEDF3-72F6-443D-A436-FE248290DBA3}">
      <formula1>lista21</formula1>
    </dataValidation>
    <dataValidation type="list" allowBlank="1" showInputMessage="1" showErrorMessage="1" sqref="L222:R223" xr:uid="{1B2D4827-2F60-466C-AB22-BE5749209C2C}">
      <formula1>lista2</formula1>
    </dataValidation>
    <dataValidation type="list" allowBlank="1" showInputMessage="1" showErrorMessage="1" sqref="L167:R168" xr:uid="{37AF2DE0-CDF9-47B1-AAD4-82C51888CCE6}">
      <formula1>lista18</formula1>
    </dataValidation>
    <dataValidation type="list" allowBlank="1" showInputMessage="1" showErrorMessage="1" sqref="D328:J329" xr:uid="{07A0B939-003C-412F-9FC7-CF7202BA5E8C}">
      <formula1>lista22</formula1>
    </dataValidation>
    <dataValidation type="list" allowBlank="1" showInputMessage="1" showErrorMessage="1" sqref="D366:J367 D434:J435 L482:R483 D525:J526 L563:R564" xr:uid="{09766452-78D7-4B30-B108-6D9D4463BA5B}">
      <formula1>lista23</formula1>
    </dataValidation>
    <dataValidation type="list" allowBlank="1" showInputMessage="1" showErrorMessage="1" sqref="D449:J450 L487:R488 L525:R526 D583:J584" xr:uid="{1349F8CD-6117-4E49-8FA4-7EA107FBD8B6}">
      <formula1>lista24</formula1>
    </dataValidation>
    <dataValidation type="list" allowBlank="1" showInputMessage="1" showErrorMessage="1" sqref="D487:J488 D568:J569" xr:uid="{47BBE9B4-5450-44F0-B962-5DB436DD2EE4}">
      <formula1>lista26</formula1>
    </dataValidation>
    <dataValidation type="list" allowBlank="1" showInputMessage="1" showErrorMessage="1" sqref="L515:R516 D558:J559" xr:uid="{CAC0EA71-9A00-4A89-BA96-0F93CA2381DB}">
      <formula1>lista25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AAAFF-D81A-464C-9D63-A4CB61B9DAE6}">
  <sheetPr codeName="Hoja17"/>
  <dimension ref="A1:I221"/>
  <sheetViews>
    <sheetView showGridLines="0" zoomScaleNormal="100" workbookViewId="0">
      <selection sqref="A1:A2"/>
    </sheetView>
  </sheetViews>
  <sheetFormatPr baseColWidth="10" defaultColWidth="0" defaultRowHeight="15" zeroHeight="1" x14ac:dyDescent="0.35"/>
  <cols>
    <col min="1" max="1" width="46" style="40" customWidth="1"/>
    <col min="2" max="7" width="12.77734375" style="40" customWidth="1"/>
    <col min="8" max="9" width="8.88671875" style="40" customWidth="1"/>
    <col min="10" max="16384" width="11.5546875" style="40" hidden="1"/>
  </cols>
  <sheetData>
    <row r="1" spans="1:7" x14ac:dyDescent="0.35">
      <c r="A1" s="139" t="s">
        <v>1876</v>
      </c>
      <c r="B1" s="103" t="s">
        <v>1877</v>
      </c>
      <c r="C1" s="99">
        <v>2030</v>
      </c>
      <c r="D1" s="99">
        <v>2026</v>
      </c>
      <c r="E1" s="99">
        <v>2025</v>
      </c>
      <c r="F1" s="99">
        <v>2030</v>
      </c>
      <c r="G1" s="100">
        <v>2026</v>
      </c>
    </row>
    <row r="2" spans="1:7" ht="15.6" thickBot="1" x14ac:dyDescent="0.4">
      <c r="A2" s="140"/>
      <c r="B2" s="104" t="s">
        <v>1878</v>
      </c>
      <c r="C2" s="101" t="s">
        <v>1864</v>
      </c>
      <c r="D2" s="101" t="s">
        <v>1865</v>
      </c>
      <c r="E2" s="101" t="s">
        <v>1866</v>
      </c>
      <c r="F2" s="101" t="s">
        <v>1867</v>
      </c>
      <c r="G2" s="102" t="s">
        <v>1868</v>
      </c>
    </row>
    <row r="3" spans="1:7" x14ac:dyDescent="0.35">
      <c r="A3" s="141" t="s">
        <v>2164</v>
      </c>
      <c r="B3" s="94" t="s">
        <v>1891</v>
      </c>
      <c r="C3" s="95">
        <f>_xlfn.XLOOKUP(C$2,MESES,LISTAS!$B$39:$B$50,"")</f>
        <v>1</v>
      </c>
      <c r="D3" s="95">
        <f>_xlfn.XLOOKUP(D$2,MESES,LISTAS!$B$39:$B$50,"")</f>
        <v>2</v>
      </c>
      <c r="E3" s="95">
        <f>_xlfn.XLOOKUP(E$2,MESES,LISTAS!$B$39:$B$50,"")</f>
        <v>3</v>
      </c>
      <c r="F3" s="95">
        <f>_xlfn.XLOOKUP(F$2,MESES,LISTAS!$B$39:$B$50,"")</f>
        <v>4</v>
      </c>
      <c r="G3" s="96">
        <f>_xlfn.XLOOKUP(G$2,MESES,LISTAS!$B$39:$B$50,"")</f>
        <v>5</v>
      </c>
    </row>
    <row r="4" spans="1:7" x14ac:dyDescent="0.35">
      <c r="A4" s="142"/>
      <c r="B4" s="97" t="s">
        <v>1892</v>
      </c>
      <c r="C4" s="41">
        <f>IF(OR(C$1="",C$3=""),"",DATE(C$1,C$3,1))</f>
        <v>47484</v>
      </c>
      <c r="D4" s="41">
        <f>IF(OR(D$1="",D$3=""),"",DATE(D$1,D$3,1))</f>
        <v>46054</v>
      </c>
      <c r="E4" s="41">
        <f>IF(OR(E$1="",E$3=""),"",DATE(E$1,E$3,1))</f>
        <v>45717</v>
      </c>
      <c r="F4" s="41">
        <f>IF(OR(F$1="",F$3=""),"",DATE(F$1,F$3,1))</f>
        <v>47574</v>
      </c>
      <c r="G4" s="42">
        <f>IF(OR(G$1="",G$3=""),"",DATE(G$1,G$3,1))</f>
        <v>46143</v>
      </c>
    </row>
    <row r="5" spans="1:7" ht="15.6" thickBot="1" x14ac:dyDescent="0.4">
      <c r="A5" s="142"/>
      <c r="B5" s="98" t="s">
        <v>1893</v>
      </c>
      <c r="C5" s="43">
        <f>IF(OR(C$1="",C$3=""),"",EOMONTH(DATE(C$1,C$3,1),0))</f>
        <v>47514</v>
      </c>
      <c r="D5" s="43">
        <f>IF(OR(D$1="",D$3=""),"",EOMONTH(DATE(D$1,D$3,1),0))</f>
        <v>46081</v>
      </c>
      <c r="E5" s="43">
        <f>IF(OR(E$1="",E$3=""),"",EOMONTH(DATE(E$1,E$3,1),0))</f>
        <v>45747</v>
      </c>
      <c r="F5" s="43">
        <f>IF(OR(F$1="",F$3=""),"",EOMONTH(DATE(F$1,F$3,1),0))</f>
        <v>47603</v>
      </c>
      <c r="G5" s="44">
        <f>IF(OR(G$1="",G$3=""),"",EOMONTH(DATE(G$1,G$3,1),0))</f>
        <v>46173</v>
      </c>
    </row>
    <row r="6" spans="1:7" ht="15.6" thickBot="1" x14ac:dyDescent="0.4">
      <c r="A6" s="136" t="s">
        <v>1902</v>
      </c>
      <c r="B6" s="137"/>
      <c r="C6" s="137"/>
      <c r="D6" s="137"/>
      <c r="E6" s="137"/>
      <c r="F6" s="137"/>
      <c r="G6" s="138"/>
    </row>
    <row r="7" spans="1:7" x14ac:dyDescent="0.35">
      <c r="A7" s="105" t="s">
        <v>1903</v>
      </c>
      <c r="B7" s="45">
        <f>IFERROR(COUNTIF(DB_TOTAL!$G:$G,"Segundo nivel")/COUNTA(DB_TOTAL!#REF!),0)</f>
        <v>0</v>
      </c>
      <c r="C7" s="45">
        <f>IFERROR(COUNTIFS(DB_TOTAL!$G:$G,"Segundo nivel",DB_TOTAL!$N:$N,"&gt;="&amp;C$4,DB_TOTAL!$N:$N,"&lt;="&amp;C$5)/COUNTIFS(DB_TOTAL!$H:$H,"&lt;&gt;",DB_TOTAL!$N:$N,"&gt;="&amp;C$4,DB_TOTAL!$N:$N,"&lt;="&amp;C$5),0)</f>
        <v>0</v>
      </c>
      <c r="D7" s="45">
        <f>IFERROR(COUNTIFS(DB_TOTAL!$G:$G,"Segundo nivel",DB_TOTAL!$N:$N,"&gt;="&amp;D$4,DB_TOTAL!$N:$N,"&lt;="&amp;D$5)/COUNTIFS(DB_TOTAL!$H:$H,"&lt;&gt;",DB_TOTAL!$N:$N,"&gt;="&amp;D$4,DB_TOTAL!$N:$N,"&lt;="&amp;D$5),0)</f>
        <v>0</v>
      </c>
      <c r="E7" s="45">
        <f>IFERROR(COUNTIFS(DB_TOTAL!$G:$G,"Segundo nivel",DB_TOTAL!$N:$N,"&gt;="&amp;E$4,DB_TOTAL!$N:$N,"&lt;="&amp;E$5)/COUNTIFS(DB_TOTAL!$H:$H,"&lt;&gt;",DB_TOTAL!$N:$N,"&gt;="&amp;E$4,DB_TOTAL!$N:$N,"&lt;="&amp;E$5),0)</f>
        <v>0</v>
      </c>
      <c r="F7" s="45">
        <f>IFERROR(COUNTIFS(DB_TOTAL!$G:$G,"Segundo nivel",DB_TOTAL!$N:$N,"&gt;="&amp;F$4,DB_TOTAL!$N:$N,"&lt;="&amp;F$5)/COUNTIFS(DB_TOTAL!$H:$H,"&lt;&gt;",DB_TOTAL!$N:$N,"&gt;="&amp;F$4,DB_TOTAL!$N:$N,"&lt;="&amp;F$5),0)</f>
        <v>0</v>
      </c>
      <c r="G7" s="46">
        <f>IFERROR(COUNTIFS(DB_TOTAL!$G:$G,"Segundo nivel",DB_TOTAL!$N:$N,"&gt;="&amp;G$4,DB_TOTAL!$N:$N,"&lt;="&amp;G$5)/COUNTIFS(DB_TOTAL!$H:$H,"&lt;&gt;",DB_TOTAL!$N:$N,"&gt;="&amp;G$4,DB_TOTAL!$N:$N,"&lt;="&amp;G$5),0)</f>
        <v>0</v>
      </c>
    </row>
    <row r="8" spans="1:7" x14ac:dyDescent="0.35">
      <c r="A8" s="106" t="s">
        <v>1904</v>
      </c>
      <c r="B8" s="47">
        <f>IFERROR(COUNTIF(DB_TOTAL!$G:$G,"Tercer nivel")/COUNTA(DB_TOTAL!#REF!),0)</f>
        <v>0</v>
      </c>
      <c r="C8" s="47">
        <f>IFERROR(COUNTIFS(DB_TOTAL!$G:$G,"Tercer nivel",DB_TOTAL!$N:$N,"&gt;="&amp;C$4,DB_TOTAL!$N:$N,"&lt;="&amp;C$5)/COUNTIFS(DB_TOTAL!$H:$H,"&lt;&gt;",DB_TOTAL!$N:$N,"&gt;="&amp;C$4,DB_TOTAL!$N:$N,"&lt;="&amp;C$5),0)</f>
        <v>0</v>
      </c>
      <c r="D8" s="47">
        <f>IFERROR(COUNTIFS(DB_TOTAL!$G:$G,"Tercer nivel",DB_TOTAL!$N:$N,"&gt;="&amp;D$4,DB_TOTAL!$N:$N,"&lt;="&amp;D$5)/COUNTIFS(DB_TOTAL!$H:$H,"&lt;&gt;",DB_TOTAL!$N:$N,"&gt;="&amp;D$4,DB_TOTAL!$N:$N,"&lt;="&amp;D$5),0)</f>
        <v>0</v>
      </c>
      <c r="E8" s="47">
        <f>IFERROR(COUNTIFS(DB_TOTAL!$G:$G,"Tercer nivel",DB_TOTAL!$N:$N,"&gt;="&amp;E$4,DB_TOTAL!$N:$N,"&lt;="&amp;E$5)/COUNTIFS(DB_TOTAL!$H:$H,"&lt;&gt;",DB_TOTAL!$N:$N,"&gt;="&amp;E$4,DB_TOTAL!$N:$N,"&lt;="&amp;E$5),0)</f>
        <v>0</v>
      </c>
      <c r="F8" s="47">
        <f>IFERROR(COUNTIFS(DB_TOTAL!$G:$G,"Tercer nivel",DB_TOTAL!$N:$N,"&gt;="&amp;F$4,DB_TOTAL!$N:$N,"&lt;="&amp;F$5)/COUNTIFS(DB_TOTAL!$H:$H,"&lt;&gt;",DB_TOTAL!$N:$N,"&gt;="&amp;F$4,DB_TOTAL!$N:$N,"&lt;="&amp;F$5),0)</f>
        <v>0</v>
      </c>
      <c r="G8" s="48">
        <f>IFERROR(COUNTIFS(DB_TOTAL!$G:$G,"Tercer nivel",DB_TOTAL!$N:$N,"&gt;="&amp;G$4,DB_TOTAL!$N:$N,"&lt;="&amp;G$5)/COUNTIFS(DB_TOTAL!$H:$H,"&lt;&gt;",DB_TOTAL!$N:$N,"&gt;="&amp;G$4,DB_TOTAL!$N:$N,"&lt;="&amp;G$5),0)</f>
        <v>0</v>
      </c>
    </row>
    <row r="9" spans="1:7" ht="30" x14ac:dyDescent="0.35">
      <c r="A9" s="106" t="s">
        <v>1905</v>
      </c>
      <c r="B9" s="49">
        <f>IFERROR(COUNTIF(DB_TOTAL!$H:$H,"Sí"),0)</f>
        <v>0</v>
      </c>
      <c r="C9" s="49">
        <f>IFERROR(COUNTIFS(DB_TOTAL!$H:$H,"Sí",DB_TOTAL!$N:$N,"&gt;="&amp;C$4,DB_TOTAL!$N:$N,"&lt;="&amp;C$5),0)</f>
        <v>0</v>
      </c>
      <c r="D9" s="49">
        <f>IFERROR(COUNTIFS(DB_TOTAL!$H:$H,"Sí",DB_TOTAL!$N:$N,"&gt;="&amp;D$4,DB_TOTAL!$N:$N,"&lt;="&amp;D$5),0)</f>
        <v>0</v>
      </c>
      <c r="E9" s="49">
        <f>IFERROR(COUNTIFS(DB_TOTAL!$H:$H,"Sí",DB_TOTAL!$N:$N,"&gt;="&amp;E$4,DB_TOTAL!$N:$N,"&lt;="&amp;E$5),0)</f>
        <v>0</v>
      </c>
      <c r="F9" s="49">
        <f>IFERROR(COUNTIFS(DB_TOTAL!$H:$H,"Sí",DB_TOTAL!$N:$N,"&gt;="&amp;F$4,DB_TOTAL!$N:$N,"&lt;="&amp;F$5),0)</f>
        <v>0</v>
      </c>
      <c r="G9" s="50">
        <f>IFERROR(COUNTIFS(DB_TOTAL!$H:$H,"Sí",DB_TOTAL!$N:$N,"&gt;="&amp;G$4,DB_TOTAL!$N:$N,"&lt;="&amp;G$5),0)</f>
        <v>0</v>
      </c>
    </row>
    <row r="10" spans="1:7" x14ac:dyDescent="0.35">
      <c r="A10" s="106" t="s">
        <v>1906</v>
      </c>
      <c r="B10" s="49">
        <f>IFERROR(COUNTIF(DB_TOTAL!$H:$H,"No")+COUNTIF(DB_TOTAL!$H:$H,"Sin información"),0)</f>
        <v>0</v>
      </c>
      <c r="C10" s="49">
        <f>IFERROR(COUNTIFS(DB_TOTAL!$H:$H,"No",DB_TOTAL!$N:$N,"&gt;="&amp;C$4,DB_TOTAL!$N:$N,"&lt;="&amp;C$5)+COUNTIFS(DB_TOTAL!$H:$H,"Sin información",DB_TOTAL!$N:$N,"&gt;="&amp;C$4,DB_TOTAL!$N:$N,"&lt;="&amp;C$5),0)</f>
        <v>0</v>
      </c>
      <c r="D10" s="49">
        <f>IFERROR(COUNTIFS(DB_TOTAL!$H:$H,"No",DB_TOTAL!$N:$N,"&gt;="&amp;D$4,DB_TOTAL!$N:$N,"&lt;="&amp;D$5)+COUNTIFS(DB_TOTAL!$H:$H,"Sin información",DB_TOTAL!$N:$N,"&gt;="&amp;D$4,DB_TOTAL!$N:$N,"&lt;="&amp;D$5),0)</f>
        <v>0</v>
      </c>
      <c r="E10" s="49">
        <f>IFERROR(COUNTIFS(DB_TOTAL!$H:$H,"No",DB_TOTAL!$N:$N,"&gt;="&amp;E$4,DB_TOTAL!$N:$N,"&lt;="&amp;E$5)+COUNTIFS(DB_TOTAL!$H:$H,"Sin información",DB_TOTAL!$N:$N,"&gt;="&amp;E$4,DB_TOTAL!$N:$N,"&lt;="&amp;E$5),0)</f>
        <v>0</v>
      </c>
      <c r="F10" s="49">
        <f>IFERROR(COUNTIFS(DB_TOTAL!$H:$H,"No",DB_TOTAL!$N:$N,"&gt;="&amp;F$4,DB_TOTAL!$N:$N,"&lt;="&amp;F$5)+COUNTIFS(DB_TOTAL!$H:$H,"Sin información",DB_TOTAL!$N:$N,"&gt;="&amp;F$4,DB_TOTAL!$N:$N,"&lt;="&amp;F$5),0)</f>
        <v>0</v>
      </c>
      <c r="G10" s="50">
        <f>IFERROR(COUNTIFS(DB_TOTAL!$H:$H,"No",DB_TOTAL!$N:$N,"&gt;="&amp;G$4,DB_TOTAL!$N:$N,"&lt;="&amp;G$5)+COUNTIFS(DB_TOTAL!$H:$H,"Sin información",DB_TOTAL!$N:$N,"&gt;="&amp;G$4,DB_TOTAL!$N:$N,"&lt;="&amp;G$5),0)</f>
        <v>0</v>
      </c>
    </row>
    <row r="11" spans="1:7" x14ac:dyDescent="0.35">
      <c r="A11" s="106" t="s">
        <v>1907</v>
      </c>
      <c r="B11" s="47">
        <f>IFERROR(COUNTIF(DB_TOTAL!$H:$H,"Sí")/COUNTA(DB_TOTAL!#REF!),0)</f>
        <v>0</v>
      </c>
      <c r="C11" s="47">
        <f>IFERROR(COUNTIFS(DB_TOTAL!$H:$H,"Sí",DB_TOTAL!$N:$N,"&gt;="&amp;C$4,DB_TOTAL!$N:$N,"&lt;="&amp;C$5)/COUNTIFS(DB_TOTAL!$H:$H,"&lt;&gt;",DB_TOTAL!$N:$N,"&gt;="&amp;C$4,DB_TOTAL!$N:$N,"&lt;="&amp;C$5),0)</f>
        <v>0</v>
      </c>
      <c r="D11" s="47">
        <f>IFERROR(COUNTIFS(DB_TOTAL!$H:$H,"Sí",DB_TOTAL!$N:$N,"&gt;="&amp;D$4,DB_TOTAL!$N:$N,"&lt;="&amp;D$5)/COUNTIFS(DB_TOTAL!$H:$H,"&lt;&gt;",DB_TOTAL!$N:$N,"&gt;="&amp;D$4,DB_TOTAL!$N:$N,"&lt;="&amp;D$5),0)</f>
        <v>0</v>
      </c>
      <c r="E11" s="47">
        <f>IFERROR(COUNTIFS(DB_TOTAL!$H:$H,"Sí",DB_TOTAL!$N:$N,"&gt;="&amp;E$4,DB_TOTAL!$N:$N,"&lt;="&amp;E$5)/COUNTIFS(DB_TOTAL!$H:$H,"&lt;&gt;",DB_TOTAL!$N:$N,"&gt;="&amp;E$4,DB_TOTAL!$N:$N,"&lt;="&amp;E$5),0)</f>
        <v>0</v>
      </c>
      <c r="F11" s="47">
        <f>IFERROR(COUNTIFS(DB_TOTAL!$H:$H,"Sí",DB_TOTAL!$N:$N,"&gt;="&amp;F$4,DB_TOTAL!$N:$N,"&lt;="&amp;F$5)/COUNTIFS(DB_TOTAL!$H:$H,"&lt;&gt;",DB_TOTAL!$N:$N,"&gt;="&amp;F$4,DB_TOTAL!$N:$N,"&lt;="&amp;F$5),0)</f>
        <v>0</v>
      </c>
      <c r="G11" s="48">
        <f>IFERROR(COUNTIFS(DB_TOTAL!$H:$H,"Sí",DB_TOTAL!$N:$N,"&gt;="&amp;G$4,DB_TOTAL!$N:$N,"&lt;="&amp;G$5)/COUNTIFS(DB_TOTAL!$H:$H,"&lt;&gt;",DB_TOTAL!$N:$N,"&gt;="&amp;G$4,DB_TOTAL!$N:$N,"&lt;="&amp;G$5),0)</f>
        <v>0</v>
      </c>
    </row>
    <row r="12" spans="1:7" x14ac:dyDescent="0.35">
      <c r="A12" s="106" t="s">
        <v>1908</v>
      </c>
      <c r="B12" s="47">
        <f>IFERROR((COUNTIF(DB_TOTAL!$H:$H,"No")+COUNTIF(DB_TOTAL!$H:$H,"Sin información"))/COUNTA(DB_TOTAL!#REF!),0)</f>
        <v>0</v>
      </c>
      <c r="C12" s="47">
        <f>IFERROR((COUNTIFS(DB_TOTAL!$H:$H,"No",DB_TOTAL!$N:$N,"&gt;="&amp;C$4,DB_TOTAL!$N:$N,"&lt;="&amp;C$5)+COUNTIFS(DB_TOTAL!$H:$H,"Sin información",DB_TOTAL!$N:$N,"&gt;="&amp;C$4,DB_TOTAL!$N:$N,"&lt;="&amp;C$5))/COUNTIFS(DB_TOTAL!$H:$H,"&lt;&gt;",DB_TOTAL!$N:$N,"&gt;="&amp;C$4,DB_TOTAL!$N:$N,"&lt;="&amp;C$5),0)</f>
        <v>0</v>
      </c>
      <c r="D12" s="47">
        <f>IFERROR((COUNTIFS(DB_TOTAL!$H:$H,"No",DB_TOTAL!$N:$N,"&gt;="&amp;D$4,DB_TOTAL!$N:$N,"&lt;="&amp;D$5)+COUNTIFS(DB_TOTAL!$H:$H,"Sin información",DB_TOTAL!$N:$N,"&gt;="&amp;D$4,DB_TOTAL!$N:$N,"&lt;="&amp;D$5))/COUNTIFS(DB_TOTAL!$H:$H,"&lt;&gt;",DB_TOTAL!$N:$N,"&gt;="&amp;D$4,DB_TOTAL!$N:$N,"&lt;="&amp;D$5),0)</f>
        <v>0</v>
      </c>
      <c r="E12" s="47">
        <f>IFERROR((COUNTIFS(DB_TOTAL!$H:$H,"No",DB_TOTAL!$N:$N,"&gt;="&amp;E$4,DB_TOTAL!$N:$N,"&lt;="&amp;E$5)+COUNTIFS(DB_TOTAL!$H:$H,"Sin información",DB_TOTAL!$N:$N,"&gt;="&amp;E$4,DB_TOTAL!$N:$N,"&lt;="&amp;E$5))/COUNTIFS(DB_TOTAL!$H:$H,"&lt;&gt;",DB_TOTAL!$N:$N,"&gt;="&amp;E$4,DB_TOTAL!$N:$N,"&lt;="&amp;E$5),0)</f>
        <v>0</v>
      </c>
      <c r="F12" s="47">
        <f>IFERROR((COUNTIFS(DB_TOTAL!$H:$H,"No",DB_TOTAL!$N:$N,"&gt;="&amp;F$4,DB_TOTAL!$N:$N,"&lt;="&amp;F$5)+COUNTIFS(DB_TOTAL!$H:$H,"Sin información",DB_TOTAL!$N:$N,"&gt;="&amp;F$4,DB_TOTAL!$N:$N,"&lt;="&amp;F$5))/COUNTIFS(DB_TOTAL!$H:$H,"&lt;&gt;",DB_TOTAL!$N:$N,"&gt;="&amp;F$4,DB_TOTAL!$N:$N,"&lt;="&amp;F$5),0)</f>
        <v>0</v>
      </c>
      <c r="G12" s="48">
        <f>IFERROR((COUNTIFS(DB_TOTAL!$H:$H,"No",DB_TOTAL!$N:$N,"&gt;="&amp;G$4,DB_TOTAL!$N:$N,"&lt;="&amp;G$5)+COUNTIFS(DB_TOTAL!$H:$H,"Sin información",DB_TOTAL!$N:$N,"&gt;="&amp;G$4,DB_TOTAL!$N:$N,"&lt;="&amp;G$5))/COUNTIFS(DB_TOTAL!$H:$H,"&lt;&gt;",DB_TOTAL!$N:$N,"&gt;="&amp;G$4,DB_TOTAL!$N:$N,"&lt;="&amp;G$5),0)</f>
        <v>0</v>
      </c>
    </row>
    <row r="13" spans="1:7" ht="30" x14ac:dyDescent="0.35">
      <c r="A13" s="106" t="s">
        <v>1909</v>
      </c>
      <c r="B13" s="49">
        <f>IFERROR(AVERAGE(DB_TOTAL!$M:$M),0)</f>
        <v>0</v>
      </c>
      <c r="C13" s="49">
        <f>IFERROR(AVERAGEIFS(DB_TOTAL!$M:$M,DB_TOTAL!$N:$N,"&gt;="&amp;C$4,DB_TOTAL!$N:$N,"&lt;="&amp;C$5),0)</f>
        <v>0</v>
      </c>
      <c r="D13" s="49">
        <f>IFERROR(AVERAGEIFS(DB_TOTAL!$M:$M,DB_TOTAL!$N:$N,"&gt;="&amp;D$4,DB_TOTAL!$N:$N,"&lt;="&amp;D$5),0)</f>
        <v>0</v>
      </c>
      <c r="E13" s="49">
        <f>IFERROR(AVERAGEIFS(DB_TOTAL!$M:$M,DB_TOTAL!$N:$N,"&gt;="&amp;E$4,DB_TOTAL!$N:$N,"&lt;="&amp;E$5),0)</f>
        <v>0</v>
      </c>
      <c r="F13" s="49">
        <f>IFERROR(AVERAGEIFS(DB_TOTAL!$M:$M,DB_TOTAL!$N:$N,"&gt;="&amp;F$4,DB_TOTAL!$N:$N,"&lt;="&amp;F$5),0)</f>
        <v>0</v>
      </c>
      <c r="G13" s="50">
        <f>IFERROR(AVERAGEIFS(DB_TOTAL!$M:$M,DB_TOTAL!$N:$N,"&gt;="&amp;G$4,DB_TOTAL!$N:$N,"&lt;="&amp;G$5),0)</f>
        <v>0</v>
      </c>
    </row>
    <row r="14" spans="1:7" ht="30" x14ac:dyDescent="0.35">
      <c r="A14" s="106" t="s">
        <v>1910</v>
      </c>
      <c r="B14" s="47">
        <f>IFERROR(COUNTIF(DB_TOTAL!$L:$L,"Sí")/COUNTA(DB_TOTAL!#REF!),0)</f>
        <v>0</v>
      </c>
      <c r="C14" s="47">
        <f>IFERROR(COUNTIFS(DB_TOTAL!$L:$L,"Sí",DB_TOTAL!$N:$N,"&gt;="&amp;C$4,DB_TOTAL!$N:$N,"&lt;="&amp;C$5)/COUNTIFS(DB_TOTAL!$L:$L,"&lt;&gt;",DB_TOTAL!$N:$N,"&gt;="&amp;C$4,DB_TOTAL!$N:$N,"&lt;="&amp;C$5),0)</f>
        <v>0</v>
      </c>
      <c r="D14" s="47">
        <f>IFERROR(COUNTIFS(DB_TOTAL!$L:$L,"Sí",DB_TOTAL!$N:$N,"&gt;="&amp;D$4,DB_TOTAL!$N:$N,"&lt;="&amp;D$5)/COUNTIFS(DB_TOTAL!$L:$L,"&lt;&gt;",DB_TOTAL!$N:$N,"&gt;="&amp;D$4,DB_TOTAL!$N:$N,"&lt;="&amp;D$5),0)</f>
        <v>0</v>
      </c>
      <c r="E14" s="47">
        <f>IFERROR(COUNTIFS(DB_TOTAL!$L:$L,"Sí",DB_TOTAL!$N:$N,"&gt;="&amp;E$4,DB_TOTAL!$N:$N,"&lt;="&amp;E$5)/COUNTIFS(DB_TOTAL!$L:$L,"&lt;&gt;",DB_TOTAL!$N:$N,"&gt;="&amp;E$4,DB_TOTAL!$N:$N,"&lt;="&amp;E$5),0)</f>
        <v>0</v>
      </c>
      <c r="F14" s="47">
        <f>IFERROR(COUNTIFS(DB_TOTAL!$L:$L,"Sí",DB_TOTAL!$N:$N,"&gt;="&amp;F$4,DB_TOTAL!$N:$N,"&lt;="&amp;F$5)/COUNTIFS(DB_TOTAL!$L:$L,"&lt;&gt;",DB_TOTAL!$N:$N,"&gt;="&amp;F$4,DB_TOTAL!$N:$N,"&lt;="&amp;F$5),0)</f>
        <v>0</v>
      </c>
      <c r="G14" s="48">
        <f>IFERROR(COUNTIFS(DB_TOTAL!$L:$L,"Sí",DB_TOTAL!$N:$N,"&gt;="&amp;G$4,DB_TOTAL!$N:$N,"&lt;="&amp;G$5)/COUNTIFS(DB_TOTAL!$L:$L,"&lt;&gt;",DB_TOTAL!$N:$N,"&gt;="&amp;G$4,DB_TOTAL!$N:$N,"&lt;="&amp;G$5),0)</f>
        <v>0</v>
      </c>
    </row>
    <row r="15" spans="1:7" x14ac:dyDescent="0.35">
      <c r="A15" s="106" t="s">
        <v>1911</v>
      </c>
      <c r="B15" s="47">
        <f>IFERROR(COUNTIF(DB_TOTAL!$K:$K,"Parto en comunidad (casa)")/COUNTA(DB_TOTAL!#REF!),0)</f>
        <v>0</v>
      </c>
      <c r="C15" s="47">
        <f>IFERROR(COUNTIFS(DB_TOTAL!$K:$K,"Parto en comunidad (casa)",DB_TOTAL!$N:$N,"&gt;="&amp;C$4,DB_TOTAL!$N:$N,"&lt;="&amp;C$5)/COUNTIFS(DB_TOTAL!$K:$K,"&lt;&gt;",DB_TOTAL!$N:$N,"&gt;="&amp;C$4,DB_TOTAL!$N:$N,"&lt;="&amp;C$5),0)</f>
        <v>0</v>
      </c>
      <c r="D15" s="47">
        <f>IFERROR(COUNTIFS(DB_TOTAL!$K:$K,"Parto en comunidad (casa)",DB_TOTAL!$N:$N,"&gt;="&amp;D$4,DB_TOTAL!$N:$N,"&lt;="&amp;D$5)/COUNTIFS(DB_TOTAL!$K:$K,"&lt;&gt;",DB_TOTAL!$N:$N,"&gt;="&amp;D$4,DB_TOTAL!$N:$N,"&lt;="&amp;D$5),0)</f>
        <v>0</v>
      </c>
      <c r="E15" s="47">
        <f>IFERROR(COUNTIFS(DB_TOTAL!$K:$K,"Parto en comunidad (casa)",DB_TOTAL!$N:$N,"&gt;="&amp;E$4,DB_TOTAL!$N:$N,"&lt;="&amp;E$5)/COUNTIFS(DB_TOTAL!$K:$K,"&lt;&gt;",DB_TOTAL!$N:$N,"&gt;="&amp;E$4,DB_TOTAL!$N:$N,"&lt;="&amp;E$5),0)</f>
        <v>0</v>
      </c>
      <c r="F15" s="47">
        <f>IFERROR(COUNTIFS(DB_TOTAL!$K:$K,"Parto en comunidad (casa)",DB_TOTAL!$N:$N,"&gt;="&amp;F$4,DB_TOTAL!$N:$N,"&lt;="&amp;F$5)/COUNTIFS(DB_TOTAL!$K:$K,"&lt;&gt;",DB_TOTAL!$N:$N,"&gt;="&amp;F$4,DB_TOTAL!$N:$N,"&lt;="&amp;F$5),0)</f>
        <v>0</v>
      </c>
      <c r="G15" s="48">
        <f>IFERROR(COUNTIFS(DB_TOTAL!$K:$K,"Parto en comunidad (casa)",DB_TOTAL!$N:$N,"&gt;="&amp;G$4,DB_TOTAL!$N:$N,"&lt;="&amp;G$5)/COUNTIFS(DB_TOTAL!$K:$K,"&lt;&gt;",DB_TOTAL!$N:$N,"&gt;="&amp;G$4,DB_TOTAL!$N:$N,"&lt;="&amp;G$5),0)</f>
        <v>0</v>
      </c>
    </row>
    <row r="16" spans="1:7" ht="30" x14ac:dyDescent="0.35">
      <c r="A16" s="106" t="s">
        <v>1912</v>
      </c>
      <c r="B16" s="47">
        <f>IFERROR(COUNTIF(DB_TOTAL!$K:$K,"Primer nivel (centro de salud)")/COUNTA(DB_TOTAL!#REF!),0)</f>
        <v>0</v>
      </c>
      <c r="C16" s="47">
        <f>IFERROR(COUNTIFS(DB_TOTAL!$K:$K,"Primer nivel (centro de salud)",DB_TOTAL!$N:$N,"&gt;="&amp;C$4,DB_TOTAL!$N:$N,"&lt;="&amp;C$5)/COUNTIFS(DB_TOTAL!$K:$K,"&lt;&gt;",DB_TOTAL!$N:$N,"&gt;="&amp;C$4,DB_TOTAL!$N:$N,"&lt;="&amp;C$5),0)</f>
        <v>0</v>
      </c>
      <c r="D16" s="47">
        <f>IFERROR(COUNTIFS(DB_TOTAL!$K:$K,"Primer nivel (centro de salud)",DB_TOTAL!$N:$N,"&gt;="&amp;D$4,DB_TOTAL!$N:$N,"&lt;="&amp;D$5)/COUNTIFS(DB_TOTAL!$K:$K,"&lt;&gt;",DB_TOTAL!$N:$N,"&gt;="&amp;D$4,DB_TOTAL!$N:$N,"&lt;="&amp;D$5),0)</f>
        <v>0</v>
      </c>
      <c r="E16" s="47">
        <f>IFERROR(COUNTIFS(DB_TOTAL!$K:$K,"Primer nivel (centro de salud)",DB_TOTAL!$N:$N,"&gt;="&amp;E$4,DB_TOTAL!$N:$N,"&lt;="&amp;E$5)/COUNTIFS(DB_TOTAL!$K:$K,"&lt;&gt;",DB_TOTAL!$N:$N,"&gt;="&amp;E$4,DB_TOTAL!$N:$N,"&lt;="&amp;E$5),0)</f>
        <v>0</v>
      </c>
      <c r="F16" s="47">
        <f>IFERROR(COUNTIFS(DB_TOTAL!$K:$K,"Primer nivel (centro de salud)",DB_TOTAL!$N:$N,"&gt;="&amp;F$4,DB_TOTAL!$N:$N,"&lt;="&amp;F$5)/COUNTIFS(DB_TOTAL!$K:$K,"&lt;&gt;",DB_TOTAL!$N:$N,"&gt;="&amp;F$4,DB_TOTAL!$N:$N,"&lt;="&amp;F$5),0)</f>
        <v>0</v>
      </c>
      <c r="G16" s="48">
        <f>IFERROR(COUNTIFS(DB_TOTAL!$K:$K,"Primer nivel (centro de salud)",DB_TOTAL!$N:$N,"&gt;="&amp;G$4,DB_TOTAL!$N:$N,"&lt;="&amp;G$5)/COUNTIFS(DB_TOTAL!$K:$K,"&lt;&gt;",DB_TOTAL!$N:$N,"&gt;="&amp;G$4,DB_TOTAL!$N:$N,"&lt;="&amp;G$5),0)</f>
        <v>0</v>
      </c>
    </row>
    <row r="17" spans="1:7" x14ac:dyDescent="0.35">
      <c r="A17" s="106" t="s">
        <v>1913</v>
      </c>
      <c r="B17" s="47">
        <f>IFERROR(COUNTIF(DB_TOTAL!$K:$K,"Segundo nivel")/COUNTA(DB_TOTAL!#REF!),0)</f>
        <v>0</v>
      </c>
      <c r="C17" s="47">
        <f>IFERROR(COUNTIFS(DB_TOTAL!$K:$K,"Segundo nivel",DB_TOTAL!$N:$N,"&gt;="&amp;C$4,DB_TOTAL!$N:$N,"&lt;="&amp;C$5)/COUNTIFS(DB_TOTAL!$K:$K,"&lt;&gt;",DB_TOTAL!$N:$N,"&gt;="&amp;C$4,DB_TOTAL!$N:$N,"&lt;="&amp;C$5),0)</f>
        <v>0</v>
      </c>
      <c r="D17" s="47">
        <f>IFERROR(COUNTIFS(DB_TOTAL!$K:$K,"Segundo nivel",DB_TOTAL!$N:$N,"&gt;="&amp;D$4,DB_TOTAL!$N:$N,"&lt;="&amp;D$5)/COUNTIFS(DB_TOTAL!$K:$K,"&lt;&gt;",DB_TOTAL!$N:$N,"&gt;="&amp;D$4,DB_TOTAL!$N:$N,"&lt;="&amp;D$5),0)</f>
        <v>0</v>
      </c>
      <c r="E17" s="47">
        <f>IFERROR(COUNTIFS(DB_TOTAL!$K:$K,"Segundo nivel",DB_TOTAL!$N:$N,"&gt;="&amp;E$4,DB_TOTAL!$N:$N,"&lt;="&amp;E$5)/COUNTIFS(DB_TOTAL!$K:$K,"&lt;&gt;",DB_TOTAL!$N:$N,"&gt;="&amp;E$4,DB_TOTAL!$N:$N,"&lt;="&amp;E$5),0)</f>
        <v>0</v>
      </c>
      <c r="F17" s="47">
        <f>IFERROR(COUNTIFS(DB_TOTAL!$K:$K,"Segundo nivel",DB_TOTAL!$N:$N,"&gt;="&amp;F$4,DB_TOTAL!$N:$N,"&lt;="&amp;F$5)/COUNTIFS(DB_TOTAL!$K:$K,"&lt;&gt;",DB_TOTAL!$N:$N,"&gt;="&amp;F$4,DB_TOTAL!$N:$N,"&lt;="&amp;F$5),0)</f>
        <v>0</v>
      </c>
      <c r="G17" s="48">
        <f>IFERROR(COUNTIFS(DB_TOTAL!$K:$K,"Segundo nivel",DB_TOTAL!$N:$N,"&gt;="&amp;G$4,DB_TOTAL!$N:$N,"&lt;="&amp;G$5)/COUNTIFS(DB_TOTAL!$K:$K,"&lt;&gt;",DB_TOTAL!$N:$N,"&gt;="&amp;G$4,DB_TOTAL!$N:$N,"&lt;="&amp;G$5),0)</f>
        <v>0</v>
      </c>
    </row>
    <row r="18" spans="1:7" x14ac:dyDescent="0.35">
      <c r="A18" s="106" t="s">
        <v>1914</v>
      </c>
      <c r="B18" s="47">
        <f>IFERROR(COUNTIF(DB_TOTAL!$K:$K,"Tercer nivel")/COUNTA(DB_TOTAL!#REF!),0)</f>
        <v>0</v>
      </c>
      <c r="C18" s="47">
        <f>IFERROR(COUNTIFS(DB_TOTAL!$K:$K,"Tercer nivel",DB_TOTAL!$N:$N,"&gt;="&amp;C$4,DB_TOTAL!$N:$N,"&lt;="&amp;C$5)/COUNTIFS(DB_TOTAL!$K:$K,"&lt;&gt;",DB_TOTAL!$N:$N,"&gt;="&amp;C$4,DB_TOTAL!$N:$N,"&lt;="&amp;C$5),0)</f>
        <v>0</v>
      </c>
      <c r="D18" s="47">
        <f>IFERROR(COUNTIFS(DB_TOTAL!$K:$K,"Tercer nivel",DB_TOTAL!$N:$N,"&gt;="&amp;D$4,DB_TOTAL!$N:$N,"&lt;="&amp;D$5)/COUNTIFS(DB_TOTAL!$K:$K,"&lt;&gt;",DB_TOTAL!$N:$N,"&gt;="&amp;D$4,DB_TOTAL!$N:$N,"&lt;="&amp;D$5),0)</f>
        <v>0</v>
      </c>
      <c r="E18" s="47">
        <f>IFERROR(COUNTIFS(DB_TOTAL!$K:$K,"Tercer nivel",DB_TOTAL!$N:$N,"&gt;="&amp;E$4,DB_TOTAL!$N:$N,"&lt;="&amp;E$5)/COUNTIFS(DB_TOTAL!$K:$K,"&lt;&gt;",DB_TOTAL!$N:$N,"&gt;="&amp;E$4,DB_TOTAL!$N:$N,"&lt;="&amp;E$5),0)</f>
        <v>0</v>
      </c>
      <c r="F18" s="47">
        <f>IFERROR(COUNTIFS(DB_TOTAL!$K:$K,"Tercer nivel",DB_TOTAL!$N:$N,"&gt;="&amp;F$4,DB_TOTAL!$N:$N,"&lt;="&amp;F$5)/COUNTIFS(DB_TOTAL!$K:$K,"&lt;&gt;",DB_TOTAL!$N:$N,"&gt;="&amp;F$4,DB_TOTAL!$N:$N,"&lt;="&amp;F$5),0)</f>
        <v>0</v>
      </c>
      <c r="G18" s="48">
        <f>IFERROR(COUNTIFS(DB_TOTAL!$K:$K,"Tercer nivel",DB_TOTAL!$N:$N,"&gt;="&amp;G$4,DB_TOTAL!$N:$N,"&lt;="&amp;G$5)/COUNTIFS(DB_TOTAL!$K:$K,"&lt;&gt;",DB_TOTAL!$N:$N,"&gt;="&amp;G$4,DB_TOTAL!$N:$N,"&lt;="&amp;G$5),0)</f>
        <v>0</v>
      </c>
    </row>
    <row r="19" spans="1:7" x14ac:dyDescent="0.35">
      <c r="A19" s="106" t="s">
        <v>1915</v>
      </c>
      <c r="B19" s="47">
        <f>IFERROR(COUNTIF(DB_TOTAL!$AC:$AC,"Sí")/COUNTA(DB_TOTAL!#REF!),0)</f>
        <v>0</v>
      </c>
      <c r="C19" s="47">
        <f>IFERROR(COUNTIFS(DB_TOTAL!$AC:$AC,"Sí",DB_TOTAL!$N:$N,"&gt;="&amp;C$4,DB_TOTAL!$N:$N,"&lt;="&amp;C$5)/COUNTIFS(DB_TOTAL!$AC:$AC,"&lt;&gt;",DB_TOTAL!$N:$N,"&gt;="&amp;C$4,DB_TOTAL!$N:$N,"&lt;="&amp;C$5),0)</f>
        <v>0</v>
      </c>
      <c r="D19" s="47">
        <f>IFERROR(COUNTIFS(DB_TOTAL!$AC:$AC,"Sí",DB_TOTAL!$N:$N,"&gt;="&amp;D$4,DB_TOTAL!$N:$N,"&lt;="&amp;D$5)/COUNTIFS(DB_TOTAL!$AC:$AC,"&lt;&gt;",DB_TOTAL!$N:$N,"&gt;="&amp;D$4,DB_TOTAL!$N:$N,"&lt;="&amp;D$5),0)</f>
        <v>0</v>
      </c>
      <c r="E19" s="47">
        <f>IFERROR(COUNTIFS(DB_TOTAL!$AC:$AC,"Sí",DB_TOTAL!$N:$N,"&gt;="&amp;E$4,DB_TOTAL!$N:$N,"&lt;="&amp;E$5)/COUNTIFS(DB_TOTAL!$AC:$AC,"&lt;&gt;",DB_TOTAL!$N:$N,"&gt;="&amp;E$4,DB_TOTAL!$N:$N,"&lt;="&amp;E$5),0)</f>
        <v>0</v>
      </c>
      <c r="F19" s="47">
        <f>IFERROR(COUNTIFS(DB_TOTAL!$AC:$AC,"Sí",DB_TOTAL!$N:$N,"&gt;="&amp;F$4,DB_TOTAL!$N:$N,"&lt;="&amp;F$5)/COUNTIFS(DB_TOTAL!$AC:$AC,"&lt;&gt;",DB_TOTAL!$N:$N,"&gt;="&amp;F$4,DB_TOTAL!$N:$N,"&lt;="&amp;F$5),0)</f>
        <v>0</v>
      </c>
      <c r="G19" s="48">
        <f>IFERROR(COUNTIFS(DB_TOTAL!$AC:$AC,"Sí",DB_TOTAL!$N:$N,"&gt;="&amp;G$4,DB_TOTAL!$N:$N,"&lt;="&amp;G$5)/COUNTIFS(DB_TOTAL!$AC:$AC,"&lt;&gt;",DB_TOTAL!$N:$N,"&gt;="&amp;G$4,DB_TOTAL!$N:$N,"&lt;="&amp;G$5),0)</f>
        <v>0</v>
      </c>
    </row>
    <row r="20" spans="1:7" x14ac:dyDescent="0.35">
      <c r="A20" s="106" t="s">
        <v>1916</v>
      </c>
      <c r="B20" s="47">
        <f>IFERROR(COUNTIF(DB_TOTAL!$O:$O,"Femenino")/COUNTA(DB_TOTAL!#REF!),0)</f>
        <v>0</v>
      </c>
      <c r="C20" s="47">
        <f>IFERROR(COUNTIFS(DB_TOTAL!$O:$O,"Femenino",DB_TOTAL!$N:$N,"&gt;="&amp;C$4,DB_TOTAL!$N:$N,"&lt;="&amp;C$5)/COUNTIFS(DB_TOTAL!$O:$O,"&lt;&gt;",DB_TOTAL!$N:$N,"&gt;="&amp;C$4,DB_TOTAL!$N:$N,"&lt;="&amp;C$5),0)</f>
        <v>0</v>
      </c>
      <c r="D20" s="47">
        <f>IFERROR(COUNTIFS(DB_TOTAL!$O:$O,"Femenino",DB_TOTAL!$N:$N,"&gt;="&amp;D$4,DB_TOTAL!$N:$N,"&lt;="&amp;D$5)/COUNTIFS(DB_TOTAL!$O:$O,"&lt;&gt;",DB_TOTAL!$N:$N,"&gt;="&amp;D$4,DB_TOTAL!$N:$N,"&lt;="&amp;D$5),0)</f>
        <v>0</v>
      </c>
      <c r="E20" s="47">
        <f>IFERROR(COUNTIFS(DB_TOTAL!$O:$O,"Femenino",DB_TOTAL!$N:$N,"&gt;="&amp;E$4,DB_TOTAL!$N:$N,"&lt;="&amp;E$5)/COUNTIFS(DB_TOTAL!$O:$O,"&lt;&gt;",DB_TOTAL!$N:$N,"&gt;="&amp;E$4,DB_TOTAL!$N:$N,"&lt;="&amp;E$5),0)</f>
        <v>0</v>
      </c>
      <c r="F20" s="47">
        <f>IFERROR(COUNTIFS(DB_TOTAL!$O:$O,"Femenino",DB_TOTAL!$N:$N,"&gt;="&amp;F$4,DB_TOTAL!$N:$N,"&lt;="&amp;F$5)/COUNTIFS(DB_TOTAL!$O:$O,"&lt;&gt;",DB_TOTAL!$N:$N,"&gt;="&amp;F$4,DB_TOTAL!$N:$N,"&lt;="&amp;F$5),0)</f>
        <v>0</v>
      </c>
      <c r="G20" s="48">
        <f>IFERROR(COUNTIFS(DB_TOTAL!$O:$O,"Femenino",DB_TOTAL!$N:$N,"&gt;="&amp;G$4,DB_TOTAL!$N:$N,"&lt;="&amp;G$5)/COUNTIFS(DB_TOTAL!$O:$O,"&lt;&gt;",DB_TOTAL!$N:$N,"&gt;="&amp;G$4,DB_TOTAL!$N:$N,"&lt;="&amp;G$5),0)</f>
        <v>0</v>
      </c>
    </row>
    <row r="21" spans="1:7" x14ac:dyDescent="0.35">
      <c r="A21" s="106" t="s">
        <v>1917</v>
      </c>
      <c r="B21" s="47">
        <f>IFERROR(COUNTIF(DB_TOTAL!$O:$O,"Masculino")/COUNTA(DB_TOTAL!#REF!),0)</f>
        <v>0</v>
      </c>
      <c r="C21" s="47">
        <f>IFERROR(COUNTIFS(DB_TOTAL!$O:$O,"Masculino",DB_TOTAL!$N:$N,"&gt;="&amp;C$4,DB_TOTAL!$N:$N,"&lt;="&amp;C$5)/COUNTIFS(DB_TOTAL!$O:$O,"&lt;&gt;",DB_TOTAL!$N:$N,"&gt;="&amp;C$4,DB_TOTAL!$N:$N,"&lt;="&amp;C$5),0)</f>
        <v>0</v>
      </c>
      <c r="D21" s="47">
        <f>IFERROR(COUNTIFS(DB_TOTAL!$O:$O,"Masculino",DB_TOTAL!$N:$N,"&gt;="&amp;D$4,DB_TOTAL!$N:$N,"&lt;="&amp;D$5)/COUNTIFS(DB_TOTAL!$O:$O,"&lt;&gt;",DB_TOTAL!$N:$N,"&gt;="&amp;D$4,DB_TOTAL!$N:$N,"&lt;="&amp;D$5),0)</f>
        <v>0</v>
      </c>
      <c r="E21" s="47">
        <f>IFERROR(COUNTIFS(DB_TOTAL!$O:$O,"Masculino",DB_TOTAL!$N:$N,"&gt;="&amp;E$4,DB_TOTAL!$N:$N,"&lt;="&amp;E$5)/COUNTIFS(DB_TOTAL!$O:$O,"&lt;&gt;",DB_TOTAL!$N:$N,"&gt;="&amp;E$4,DB_TOTAL!$N:$N,"&lt;="&amp;E$5),0)</f>
        <v>0</v>
      </c>
      <c r="F21" s="47">
        <f>IFERROR(COUNTIFS(DB_TOTAL!$O:$O,"Masculino",DB_TOTAL!$N:$N,"&gt;="&amp;F$4,DB_TOTAL!$N:$N,"&lt;="&amp;F$5)/COUNTIFS(DB_TOTAL!$O:$O,"&lt;&gt;",DB_TOTAL!$N:$N,"&gt;="&amp;F$4,DB_TOTAL!$N:$N,"&lt;="&amp;F$5),0)</f>
        <v>0</v>
      </c>
      <c r="G21" s="48">
        <f>IFERROR(COUNTIFS(DB_TOTAL!$O:$O,"Masculino",DB_TOTAL!$N:$N,"&gt;="&amp;G$4,DB_TOTAL!$N:$N,"&lt;="&amp;G$5)/COUNTIFS(DB_TOTAL!$O:$O,"&lt;&gt;",DB_TOTAL!$N:$N,"&gt;="&amp;G$4,DB_TOTAL!$N:$N,"&lt;="&amp;G$5),0)</f>
        <v>0</v>
      </c>
    </row>
    <row r="22" spans="1:7" x14ac:dyDescent="0.35">
      <c r="A22" s="106" t="s">
        <v>1918</v>
      </c>
      <c r="B22" s="47">
        <f>IFERROR(COUNTIF(DB_TOTAL!$O:$O,"Ambiguo")/COUNTA(DB_TOTAL!#REF!),0)</f>
        <v>0</v>
      </c>
      <c r="C22" s="47">
        <f>IFERROR(COUNTIFS(DB_TOTAL!$O:$O,"Ambiguo",DB_TOTAL!$N:$N,"&gt;="&amp;C$4,DB_TOTAL!$N:$N,"&lt;="&amp;C$5)/COUNTIFS(DB_TOTAL!$O:$O,"&lt;&gt;",DB_TOTAL!$N:$N,"&gt;="&amp;C$4,DB_TOTAL!$N:$N,"&lt;="&amp;C$5),0)</f>
        <v>0</v>
      </c>
      <c r="D22" s="47">
        <f>IFERROR(COUNTIFS(DB_TOTAL!$O:$O,"Ambiguo",DB_TOTAL!$N:$N,"&gt;="&amp;D$4,DB_TOTAL!$N:$N,"&lt;="&amp;D$5)/COUNTIFS(DB_TOTAL!$O:$O,"&lt;&gt;",DB_TOTAL!$N:$N,"&gt;="&amp;D$4,DB_TOTAL!$N:$N,"&lt;="&amp;D$5),0)</f>
        <v>0</v>
      </c>
      <c r="E22" s="47">
        <f>IFERROR(COUNTIFS(DB_TOTAL!$O:$O,"Ambiguo",DB_TOTAL!$N:$N,"&gt;="&amp;E$4,DB_TOTAL!$N:$N,"&lt;="&amp;E$5)/COUNTIFS(DB_TOTAL!$O:$O,"&lt;&gt;",DB_TOTAL!$N:$N,"&gt;="&amp;E$4,DB_TOTAL!$N:$N,"&lt;="&amp;E$5),0)</f>
        <v>0</v>
      </c>
      <c r="F22" s="47">
        <f>IFERROR(COUNTIFS(DB_TOTAL!$O:$O,"Ambiguo",DB_TOTAL!$N:$N,"&gt;="&amp;F$4,DB_TOTAL!$N:$N,"&lt;="&amp;F$5)/COUNTIFS(DB_TOTAL!$O:$O,"&lt;&gt;",DB_TOTAL!$N:$N,"&gt;="&amp;F$4,DB_TOTAL!$N:$N,"&lt;="&amp;F$5),0)</f>
        <v>0</v>
      </c>
      <c r="G22" s="48">
        <f>IFERROR(COUNTIFS(DB_TOTAL!$O:$O,"Ambiguo",DB_TOTAL!$N:$N,"&gt;="&amp;G$4,DB_TOTAL!$N:$N,"&lt;="&amp;G$5)/COUNTIFS(DB_TOTAL!$O:$O,"&lt;&gt;",DB_TOTAL!$N:$N,"&gt;="&amp;G$4,DB_TOTAL!$N:$N,"&lt;="&amp;G$5),0)</f>
        <v>0</v>
      </c>
    </row>
    <row r="23" spans="1:7" x14ac:dyDescent="0.35">
      <c r="A23" s="106" t="s">
        <v>1919</v>
      </c>
      <c r="B23" s="49">
        <f>IFERROR(AVERAGE(DB_TOTAL!$P:$P),0)</f>
        <v>0</v>
      </c>
      <c r="C23" s="49">
        <f>IFERROR(AVERAGEIFS(DB_TOTAL!$P:$P,DB_TOTAL!$N:$N,"&gt;="&amp;C$4,DB_TOTAL!$N:$N,"&lt;="&amp;C$5),0)</f>
        <v>0</v>
      </c>
      <c r="D23" s="49">
        <f>IFERROR(AVERAGEIFS(DB_TOTAL!$P:$P,DB_TOTAL!$N:$N,"&gt;="&amp;D$4,DB_TOTAL!$N:$N,"&lt;="&amp;D$5),0)</f>
        <v>0</v>
      </c>
      <c r="E23" s="49">
        <f>IFERROR(AVERAGEIFS(DB_TOTAL!$P:$P,DB_TOTAL!$N:$N,"&gt;="&amp;E$4,DB_TOTAL!$N:$N,"&lt;="&amp;E$5),0)</f>
        <v>0</v>
      </c>
      <c r="F23" s="49">
        <f>IFERROR(AVERAGEIFS(DB_TOTAL!$P:$P,DB_TOTAL!$N:$N,"&gt;="&amp;F$4,DB_TOTAL!$N:$N,"&lt;="&amp;F$5),0)</f>
        <v>0</v>
      </c>
      <c r="G23" s="50">
        <f>IFERROR(AVERAGEIFS(DB_TOTAL!$P:$P,DB_TOTAL!$N:$N,"&gt;="&amp;G$4,DB_TOTAL!$N:$N,"&lt;="&amp;G$5),0)</f>
        <v>0</v>
      </c>
    </row>
    <row r="24" spans="1:7" x14ac:dyDescent="0.35">
      <c r="A24" s="106" t="s">
        <v>1920</v>
      </c>
      <c r="B24" s="47">
        <f>IFERROR(COUNTIF(DB_TOTAL!$P:$P,"&lt;37")/COUNTA(DB_TOTAL!#REF!),0)</f>
        <v>0</v>
      </c>
      <c r="C24" s="47">
        <f>IFERROR(COUNTIFS(DB_TOTAL!$P:$P,"&lt;37",DB_TOTAL!$N:$N,"&gt;="&amp;C$4,DB_TOTAL!$N:$N,"&lt;="&amp;C$5)/COUNTIFS(DB_TOTAL!$P:$P,"&lt;&gt;",DB_TOTAL!$N:$N,"&gt;="&amp;C$4,DB_TOTAL!$N:$N,"&lt;="&amp;C$5),0)</f>
        <v>0</v>
      </c>
      <c r="D24" s="47">
        <f>IFERROR(COUNTIFS(DB_TOTAL!$P:$P,"&lt;37",DB_TOTAL!$N:$N,"&gt;="&amp;D$4,DB_TOTAL!$N:$N,"&lt;="&amp;D$5)/COUNTIFS(DB_TOTAL!$P:$P,"&lt;&gt;",DB_TOTAL!$N:$N,"&gt;="&amp;D$4,DB_TOTAL!$N:$N,"&lt;="&amp;D$5),0)</f>
        <v>0</v>
      </c>
      <c r="E24" s="47">
        <f>IFERROR(COUNTIFS(DB_TOTAL!$P:$P,"&lt;37",DB_TOTAL!$N:$N,"&gt;="&amp;E$4,DB_TOTAL!$N:$N,"&lt;="&amp;E$5)/COUNTIFS(DB_TOTAL!$P:$P,"&lt;&gt;",DB_TOTAL!$N:$N,"&gt;="&amp;E$4,DB_TOTAL!$N:$N,"&lt;="&amp;E$5),0)</f>
        <v>0</v>
      </c>
      <c r="F24" s="47">
        <f>IFERROR(COUNTIFS(DB_TOTAL!$P:$P,"&lt;37",DB_TOTAL!$N:$N,"&gt;="&amp;F$4,DB_TOTAL!$N:$N,"&lt;="&amp;F$5)/COUNTIFS(DB_TOTAL!$P:$P,"&lt;&gt;",DB_TOTAL!$N:$N,"&gt;="&amp;F$4,DB_TOTAL!$N:$N,"&lt;="&amp;F$5),0)</f>
        <v>0</v>
      </c>
      <c r="G24" s="48">
        <f>IFERROR(COUNTIFS(DB_TOTAL!$P:$P,"&lt;37",DB_TOTAL!$N:$N,"&gt;="&amp;G$4,DB_TOTAL!$N:$N,"&lt;="&amp;G$5)/COUNTIFS(DB_TOTAL!$P:$P,"&lt;&gt;",DB_TOTAL!$N:$N,"&gt;="&amp;G$4,DB_TOTAL!$N:$N,"&lt;="&amp;G$5),0)</f>
        <v>0</v>
      </c>
    </row>
    <row r="25" spans="1:7" ht="30" x14ac:dyDescent="0.35">
      <c r="A25" s="106" t="s">
        <v>1921</v>
      </c>
      <c r="B25" s="47">
        <f>IFERROR(COUNTIF(DB_TOTAL!$P:$P,"&lt;34")/COUNTA(DB_TOTAL!#REF!),0)</f>
        <v>0</v>
      </c>
      <c r="C25" s="47">
        <f>IFERROR(COUNTIFS(DB_TOTAL!$P:$P,"&lt;34",DB_TOTAL!$N:$N,"&gt;="&amp;C$4,DB_TOTAL!$N:$N,"&lt;="&amp;C$5)/COUNTIFS(DB_TOTAL!$P:$P,"&lt;&gt;",DB_TOTAL!$N:$N,"&gt;="&amp;C$4,DB_TOTAL!$N:$N,"&lt;="&amp;C$5),0)</f>
        <v>0</v>
      </c>
      <c r="D25" s="47">
        <f>IFERROR(COUNTIFS(DB_TOTAL!$P:$P,"&lt;34",DB_TOTAL!$N:$N,"&gt;="&amp;D$4,DB_TOTAL!$N:$N,"&lt;="&amp;D$5)/COUNTIFS(DB_TOTAL!$P:$P,"&lt;&gt;",DB_TOTAL!$N:$N,"&gt;="&amp;D$4,DB_TOTAL!$N:$N,"&lt;="&amp;D$5),0)</f>
        <v>0</v>
      </c>
      <c r="E25" s="47">
        <f>IFERROR(COUNTIFS(DB_TOTAL!$P:$P,"&lt;34",DB_TOTAL!$N:$N,"&gt;="&amp;E$4,DB_TOTAL!$N:$N,"&lt;="&amp;E$5)/COUNTIFS(DB_TOTAL!$P:$P,"&lt;&gt;",DB_TOTAL!$N:$N,"&gt;="&amp;E$4,DB_TOTAL!$N:$N,"&lt;="&amp;E$5),0)</f>
        <v>0</v>
      </c>
      <c r="F25" s="47">
        <f>IFERROR(COUNTIFS(DB_TOTAL!$P:$P,"&lt;34",DB_TOTAL!$N:$N,"&gt;="&amp;F$4,DB_TOTAL!$N:$N,"&lt;="&amp;F$5)/COUNTIFS(DB_TOTAL!$P:$P,"&lt;&gt;",DB_TOTAL!$N:$N,"&gt;="&amp;F$4,DB_TOTAL!$N:$N,"&lt;="&amp;F$5),0)</f>
        <v>0</v>
      </c>
      <c r="G25" s="48">
        <f>IFERROR(COUNTIFS(DB_TOTAL!$P:$P,"&lt;34",DB_TOTAL!$N:$N,"&gt;="&amp;G$4,DB_TOTAL!$N:$N,"&lt;="&amp;G$5)/COUNTIFS(DB_TOTAL!$P:$P,"&lt;&gt;",DB_TOTAL!$N:$N,"&gt;="&amp;G$4,DB_TOTAL!$N:$N,"&lt;="&amp;G$5),0)</f>
        <v>0</v>
      </c>
    </row>
    <row r="26" spans="1:7" x14ac:dyDescent="0.35">
      <c r="A26" s="106" t="s">
        <v>1922</v>
      </c>
      <c r="B26" s="49">
        <f>IFERROR(AVERAGE(DB_TOTAL!$Q:$Q),0)</f>
        <v>0</v>
      </c>
      <c r="C26" s="49">
        <f>IFERROR(AVERAGEIFS(DB_TOTAL!$Q:$Q,DB_TOTAL!$N:$N,"&gt;="&amp;C$4,DB_TOTAL!$N:$N,"&lt;="&amp;C$5),0)</f>
        <v>0</v>
      </c>
      <c r="D26" s="49">
        <f>IFERROR(AVERAGEIFS(DB_TOTAL!$Q:$Q,DB_TOTAL!$N:$N,"&gt;="&amp;D$4,DB_TOTAL!$N:$N,"&lt;="&amp;D$5),0)</f>
        <v>0</v>
      </c>
      <c r="E26" s="49">
        <f>IFERROR(AVERAGEIFS(DB_TOTAL!$Q:$Q,DB_TOTAL!$N:$N,"&gt;="&amp;E$4,DB_TOTAL!$N:$N,"&lt;="&amp;E$5),0)</f>
        <v>0</v>
      </c>
      <c r="F26" s="49">
        <f>IFERROR(AVERAGEIFS(DB_TOTAL!$Q:$Q,DB_TOTAL!$N:$N,"&gt;="&amp;F$4,DB_TOTAL!$N:$N,"&lt;="&amp;F$5),0)</f>
        <v>0</v>
      </c>
      <c r="G26" s="50">
        <f>IFERROR(AVERAGEIFS(DB_TOTAL!$Q:$Q,DB_TOTAL!$N:$N,"&gt;="&amp;G$4,DB_TOTAL!$N:$N,"&lt;="&amp;G$5),0)</f>
        <v>0</v>
      </c>
    </row>
    <row r="27" spans="1:7" ht="30" x14ac:dyDescent="0.35">
      <c r="A27" s="106" t="s">
        <v>1923</v>
      </c>
      <c r="B27" s="47">
        <f>IFERROR(COUNTIF(DB_TOTAL!$Q:$Q,"&lt;2500")/COUNTA(DB_TOTAL!#REF!),0)</f>
        <v>0</v>
      </c>
      <c r="C27" s="47">
        <f>IFERROR(COUNTIFS(DB_TOTAL!$Q:$Q,"&lt;2500",DB_TOTAL!$N:$N,"&gt;="&amp;C$4,DB_TOTAL!$N:$N,"&lt;="&amp;C$5)/COUNTIFS(DB_TOTAL!$Q:$Q,"&lt;&gt;",DB_TOTAL!$N:$N,"&gt;="&amp;C$4,DB_TOTAL!$N:$N,"&lt;="&amp;C$5),0)</f>
        <v>0</v>
      </c>
      <c r="D27" s="47">
        <f>IFERROR(COUNTIFS(DB_TOTAL!$Q:$Q,"&lt;2500",DB_TOTAL!$N:$N,"&gt;="&amp;D$4,DB_TOTAL!$N:$N,"&lt;="&amp;D$5)/COUNTIFS(DB_TOTAL!$Q:$Q,"&lt;&gt;",DB_TOTAL!$N:$N,"&gt;="&amp;D$4,DB_TOTAL!$N:$N,"&lt;="&amp;D$5),0)</f>
        <v>0</v>
      </c>
      <c r="E27" s="47">
        <f>IFERROR(COUNTIFS(DB_TOTAL!$Q:$Q,"&lt;2500",DB_TOTAL!$N:$N,"&gt;="&amp;E$4,DB_TOTAL!$N:$N,"&lt;="&amp;E$5)/COUNTIFS(DB_TOTAL!$Q:$Q,"&lt;&gt;",DB_TOTAL!$N:$N,"&gt;="&amp;E$4,DB_TOTAL!$N:$N,"&lt;="&amp;E$5),0)</f>
        <v>0</v>
      </c>
      <c r="F27" s="47">
        <f>IFERROR(COUNTIFS(DB_TOTAL!$Q:$Q,"&lt;2500",DB_TOTAL!$N:$N,"&gt;="&amp;F$4,DB_TOTAL!$N:$N,"&lt;="&amp;F$5)/COUNTIFS(DB_TOTAL!$Q:$Q,"&lt;&gt;",DB_TOTAL!$N:$N,"&gt;="&amp;F$4,DB_TOTAL!$N:$N,"&lt;="&amp;F$5),0)</f>
        <v>0</v>
      </c>
      <c r="G27" s="48">
        <f>IFERROR(COUNTIFS(DB_TOTAL!$Q:$Q,"&lt;2500",DB_TOTAL!$N:$N,"&gt;="&amp;G$4,DB_TOTAL!$N:$N,"&lt;="&amp;G$5)/COUNTIFS(DB_TOTAL!$Q:$Q,"&lt;&gt;",DB_TOTAL!$N:$N,"&gt;="&amp;G$4,DB_TOTAL!$N:$N,"&lt;="&amp;G$5),0)</f>
        <v>0</v>
      </c>
    </row>
    <row r="28" spans="1:7" x14ac:dyDescent="0.35">
      <c r="A28" s="106" t="s">
        <v>1924</v>
      </c>
      <c r="B28" s="47">
        <f>IFERROR(COUNTIF(DB_TOTAL!$Q:$Q,"&lt;1500")/COUNTA(DB_TOTAL!#REF!),0)</f>
        <v>0</v>
      </c>
      <c r="C28" s="47">
        <f>IFERROR(COUNTIFS(DB_TOTAL!$Q:$Q,"&lt;1500",DB_TOTAL!$N:$N,"&gt;="&amp;C$4,DB_TOTAL!$N:$N,"&lt;="&amp;C$5)/COUNTIFS(DB_TOTAL!$Q:$Q,"&lt;&gt;",DB_TOTAL!$N:$N,"&gt;="&amp;C$4,DB_TOTAL!$N:$N,"&lt;="&amp;C$5),0)</f>
        <v>0</v>
      </c>
      <c r="D28" s="47">
        <f>IFERROR(COUNTIFS(DB_TOTAL!$Q:$Q,"&lt;1500",DB_TOTAL!$N:$N,"&gt;="&amp;D$4,DB_TOTAL!$N:$N,"&lt;="&amp;D$5)/COUNTIFS(DB_TOTAL!$Q:$Q,"&lt;&gt;",DB_TOTAL!$N:$N,"&gt;="&amp;D$4,DB_TOTAL!$N:$N,"&lt;="&amp;D$5),0)</f>
        <v>0</v>
      </c>
      <c r="E28" s="47">
        <f>IFERROR(COUNTIFS(DB_TOTAL!$Q:$Q,"&lt;1500",DB_TOTAL!$N:$N,"&gt;="&amp;E$4,DB_TOTAL!$N:$N,"&lt;="&amp;E$5)/COUNTIFS(DB_TOTAL!$Q:$Q,"&lt;&gt;",DB_TOTAL!$N:$N,"&gt;="&amp;E$4,DB_TOTAL!$N:$N,"&lt;="&amp;E$5),0)</f>
        <v>0</v>
      </c>
      <c r="F28" s="47">
        <f>IFERROR(COUNTIFS(DB_TOTAL!$Q:$Q,"&lt;1500",DB_TOTAL!$N:$N,"&gt;="&amp;F$4,DB_TOTAL!$N:$N,"&lt;="&amp;F$5)/COUNTIFS(DB_TOTAL!$Q:$Q,"&lt;&gt;",DB_TOTAL!$N:$N,"&gt;="&amp;F$4,DB_TOTAL!$N:$N,"&lt;="&amp;F$5),0)</f>
        <v>0</v>
      </c>
      <c r="G28" s="48">
        <f>IFERROR(COUNTIFS(DB_TOTAL!$Q:$Q,"&lt;1500",DB_TOTAL!$N:$N,"&gt;="&amp;G$4,DB_TOTAL!$N:$N,"&lt;="&amp;G$5)/COUNTIFS(DB_TOTAL!$Q:$Q,"&lt;&gt;",DB_TOTAL!$N:$N,"&gt;="&amp;G$4,DB_TOTAL!$N:$N,"&lt;="&amp;G$5),0)</f>
        <v>0</v>
      </c>
    </row>
    <row r="29" spans="1:7" x14ac:dyDescent="0.35">
      <c r="A29" s="106" t="s">
        <v>1925</v>
      </c>
      <c r="B29" s="49">
        <f>IFERROR(AVERAGE(DB_TOTAL!$R:$R),0)</f>
        <v>0</v>
      </c>
      <c r="C29" s="49">
        <f>IFERROR(AVERAGEIFS(DB_TOTAL!$R:$R,DB_TOTAL!$N:$N,"&gt;="&amp;C$4,DB_TOTAL!$N:$N,"&lt;="&amp;C$5),0)</f>
        <v>0</v>
      </c>
      <c r="D29" s="49">
        <f>IFERROR(AVERAGEIFS(DB_TOTAL!$R:$R,DB_TOTAL!$N:$N,"&gt;="&amp;D$4,DB_TOTAL!$N:$N,"&lt;="&amp;D$5),0)</f>
        <v>0</v>
      </c>
      <c r="E29" s="49">
        <f>IFERROR(AVERAGEIFS(DB_TOTAL!$R:$R,DB_TOTAL!$N:$N,"&gt;="&amp;E$4,DB_TOTAL!$N:$N,"&lt;="&amp;E$5),0)</f>
        <v>0</v>
      </c>
      <c r="F29" s="49">
        <f>IFERROR(AVERAGEIFS(DB_TOTAL!$R:$R,DB_TOTAL!$N:$N,"&gt;="&amp;F$4,DB_TOTAL!$N:$N,"&lt;="&amp;F$5),0)</f>
        <v>0</v>
      </c>
      <c r="G29" s="50">
        <f>IFERROR(AVERAGEIFS(DB_TOTAL!$R:$R,DB_TOTAL!$N:$N,"&gt;="&amp;G$4,DB_TOTAL!$N:$N,"&lt;="&amp;G$5),0)</f>
        <v>0</v>
      </c>
    </row>
    <row r="30" spans="1:7" x14ac:dyDescent="0.35">
      <c r="A30" s="106" t="s">
        <v>1926</v>
      </c>
      <c r="B30" s="49">
        <f>IFERROR(AVERAGE(DB_TOTAL!$S:$S),0)</f>
        <v>0</v>
      </c>
      <c r="C30" s="49">
        <f>IFERROR(AVERAGEIFS(DB_TOTAL!$S:$S,DB_TOTAL!$N:$N,"&gt;="&amp;C$4,DB_TOTAL!$N:$N,"&lt;="&amp;C$5),0)</f>
        <v>0</v>
      </c>
      <c r="D30" s="49">
        <f>IFERROR(AVERAGEIFS(DB_TOTAL!$S:$S,DB_TOTAL!$N:$N,"&gt;="&amp;D$4,DB_TOTAL!$N:$N,"&lt;="&amp;D$5),0)</f>
        <v>0</v>
      </c>
      <c r="E30" s="49">
        <f>IFERROR(AVERAGEIFS(DB_TOTAL!$S:$S,DB_TOTAL!$N:$N,"&gt;="&amp;E$4,DB_TOTAL!$N:$N,"&lt;="&amp;E$5),0)</f>
        <v>0</v>
      </c>
      <c r="F30" s="49">
        <f>IFERROR(AVERAGEIFS(DB_TOTAL!$S:$S,DB_TOTAL!$N:$N,"&gt;="&amp;F$4,DB_TOTAL!$N:$N,"&lt;="&amp;F$5),0)</f>
        <v>0</v>
      </c>
      <c r="G30" s="50">
        <f>IFERROR(AVERAGEIFS(DB_TOTAL!$S:$S,DB_TOTAL!$N:$N,"&gt;="&amp;G$4,DB_TOTAL!$N:$N,"&lt;="&amp;G$5),0)</f>
        <v>0</v>
      </c>
    </row>
    <row r="31" spans="1:7" x14ac:dyDescent="0.35">
      <c r="A31" s="106" t="s">
        <v>1927</v>
      </c>
      <c r="B31" s="47">
        <f>IFERROR(COUNTIF(DB_TOTAL!$T:$T,"Sí")/COUNTA(DB_TOTAL!#REF!),0)</f>
        <v>0</v>
      </c>
      <c r="C31" s="47">
        <f>IFERROR(COUNTIFS(DB_TOTAL!$T:$T,"Sí",DB_TOTAL!$N:$N,"&gt;="&amp;C$4,DB_TOTAL!$N:$N,"&lt;="&amp;C$5)/COUNTIFS(DB_TOTAL!$T:$T,"&lt;&gt;",DB_TOTAL!$N:$N,"&gt;="&amp;C$4,DB_TOTAL!$N:$N,"&lt;="&amp;C$5),0)</f>
        <v>0</v>
      </c>
      <c r="D31" s="47">
        <f>IFERROR(COUNTIFS(DB_TOTAL!$T:$T,"Sí",DB_TOTAL!$N:$N,"&gt;="&amp;D$4,DB_TOTAL!$N:$N,"&lt;="&amp;D$5)/COUNTIFS(DB_TOTAL!$T:$T,"&lt;&gt;",DB_TOTAL!$N:$N,"&gt;="&amp;D$4,DB_TOTAL!$N:$N,"&lt;="&amp;D$5),0)</f>
        <v>0</v>
      </c>
      <c r="E31" s="47">
        <f>IFERROR(COUNTIFS(DB_TOTAL!$T:$T,"Sí",DB_TOTAL!$N:$N,"&gt;="&amp;E$4,DB_TOTAL!$N:$N,"&lt;="&amp;E$5)/COUNTIFS(DB_TOTAL!$T:$T,"&lt;&gt;",DB_TOTAL!$N:$N,"&gt;="&amp;E$4,DB_TOTAL!$N:$N,"&lt;="&amp;E$5),0)</f>
        <v>0</v>
      </c>
      <c r="F31" s="47">
        <f>IFERROR(COUNTIFS(DB_TOTAL!$T:$T,"Sí",DB_TOTAL!$N:$N,"&gt;="&amp;F$4,DB_TOTAL!$N:$N,"&lt;="&amp;F$5)/COUNTIFS(DB_TOTAL!$T:$T,"&lt;&gt;",DB_TOTAL!$N:$N,"&gt;="&amp;F$4,DB_TOTAL!$N:$N,"&lt;="&amp;F$5),0)</f>
        <v>0</v>
      </c>
      <c r="G31" s="48">
        <f>IFERROR(COUNTIFS(DB_TOTAL!$T:$T,"Sí",DB_TOTAL!$N:$N,"&gt;="&amp;G$4,DB_TOTAL!$N:$N,"&lt;="&amp;G$5)/COUNTIFS(DB_TOTAL!$T:$T,"&lt;&gt;",DB_TOTAL!$N:$N,"&gt;="&amp;G$4,DB_TOTAL!$N:$N,"&lt;="&amp;G$5),0)</f>
        <v>0</v>
      </c>
    </row>
    <row r="32" spans="1:7" ht="30" x14ac:dyDescent="0.35">
      <c r="A32" s="106" t="s">
        <v>1928</v>
      </c>
      <c r="B32" s="49">
        <f>IFERROR(COUNTIF(DB_TOTAL!$AF:$AF,"Fallecido"),0)</f>
        <v>0</v>
      </c>
      <c r="C32" s="49">
        <f>IFERROR(COUNTIFS(DB_TOTAL!$AF:$AF,"Fallecido",DB_TOTAL!$N:$N,"&gt;="&amp;C$4,DB_TOTAL!$N:$N,"&lt;="&amp;C$5),0)</f>
        <v>0</v>
      </c>
      <c r="D32" s="49">
        <f>IFERROR(COUNTIFS(DB_TOTAL!$AF:$AF,"Fallecido",DB_TOTAL!$N:$N,"&gt;="&amp;D$4,DB_TOTAL!$N:$N,"&lt;="&amp;D$5),0)</f>
        <v>0</v>
      </c>
      <c r="E32" s="49">
        <f>IFERROR(COUNTIFS(DB_TOTAL!$AF:$AF,"Fallecido",DB_TOTAL!$N:$N,"&gt;="&amp;E$4,DB_TOTAL!$N:$N,"&lt;="&amp;E$5),0)</f>
        <v>0</v>
      </c>
      <c r="F32" s="49">
        <f>IFERROR(COUNTIFS(DB_TOTAL!$AF:$AF,"Fallecido",DB_TOTAL!$N:$N,"&gt;="&amp;F$4,DB_TOTAL!$N:$N,"&lt;="&amp;F$5),0)</f>
        <v>0</v>
      </c>
      <c r="G32" s="50">
        <f>IFERROR(COUNTIFS(DB_TOTAL!$AF:$AF,"Fallecido",DB_TOTAL!$N:$N,"&gt;="&amp;G$4,DB_TOTAL!$N:$N,"&lt;="&amp;G$5),0)</f>
        <v>0</v>
      </c>
    </row>
    <row r="33" spans="1:7" ht="45" x14ac:dyDescent="0.35">
      <c r="A33" s="106" t="s">
        <v>2112</v>
      </c>
      <c r="B33" s="47">
        <f>IFERROR(COUNTIFS(DB_TOTAL!$AF:$AF,"Fallecido",DB_TOTAL!$AJ:$AJ,"&lt;=1")/COUNTIFS(DB_TOTAL!$AF:$AF,"Fallecido",DB_TOTAL!$AJ:$AJ,"&lt;=28"),0)</f>
        <v>0</v>
      </c>
      <c r="C33" s="47">
        <f>IFERROR(COUNTIFS(DB_TOTAL!$AF:$AF,"Fallecido",DB_TOTAL!$AJ:$AJ,"&lt;=1",DB_TOTAL!$N:$N,"&gt;="&amp;C$4,DB_TOTAL!$N:$N,"&lt;="&amp;C$5)/COUNTIFS(DB_TOTAL!$AF:$AF,"Fallecido",DB_TOTAL!$AJ:$AJ,"&lt;=28",DB_TOTAL!$N:$N,"&gt;="&amp;C$4,DB_TOTAL!$N:$N,"&lt;="&amp;C$5),0)</f>
        <v>0</v>
      </c>
      <c r="D33" s="47">
        <f>IFERROR(COUNTIFS(DB_TOTAL!$AF:$AF,"Fallecido",DB_TOTAL!$AJ:$AJ,"&lt;=1",DB_TOTAL!$N:$N,"&gt;="&amp;D$4,DB_TOTAL!$N:$N,"&lt;="&amp;D$5)/COUNTIFS(DB_TOTAL!$AF:$AF,"Fallecido",DB_TOTAL!$AJ:$AJ,"&lt;=28",DB_TOTAL!$N:$N,"&gt;="&amp;D$4,DB_TOTAL!$N:$N,"&lt;="&amp;D$5),0)</f>
        <v>0</v>
      </c>
      <c r="E33" s="47">
        <f>IFERROR(COUNTIFS(DB_TOTAL!$AF:$AF,"Fallecido",DB_TOTAL!$AJ:$AJ,"&lt;=1",DB_TOTAL!$N:$N,"&gt;="&amp;E$4,DB_TOTAL!$N:$N,"&lt;="&amp;E$5)/COUNTIFS(DB_TOTAL!$AF:$AF,"Fallecido",DB_TOTAL!$AJ:$AJ,"&lt;=28",DB_TOTAL!$N:$N,"&gt;="&amp;E$4,DB_TOTAL!$N:$N,"&lt;="&amp;E$5),0)</f>
        <v>0</v>
      </c>
      <c r="F33" s="47">
        <f>IFERROR(COUNTIFS(DB_TOTAL!$AF:$AF,"Fallecido",DB_TOTAL!$AJ:$AJ,"&lt;=1",DB_TOTAL!$N:$N,"&gt;="&amp;F$4,DB_TOTAL!$N:$N,"&lt;="&amp;F$5)/COUNTIFS(DB_TOTAL!$AF:$AF,"Fallecido",DB_TOTAL!$AJ:$AJ,"&lt;=28",DB_TOTAL!$N:$N,"&gt;="&amp;F$4,DB_TOTAL!$N:$N,"&lt;="&amp;F$5),0)</f>
        <v>0</v>
      </c>
      <c r="G33" s="48">
        <f>IFERROR(COUNTIFS(DB_TOTAL!$AF:$AF,"Fallecido",DB_TOTAL!$AJ:$AJ,"&lt;=1",DB_TOTAL!$N:$N,"&gt;="&amp;G$4,DB_TOTAL!$N:$N,"&lt;="&amp;G$5)/COUNTIFS(DB_TOTAL!$AF:$AF,"Fallecido",DB_TOTAL!$AJ:$AJ,"&lt;=28",DB_TOTAL!$N:$N,"&gt;="&amp;G$4,DB_TOTAL!$N:$N,"&lt;="&amp;G$5),0)</f>
        <v>0</v>
      </c>
    </row>
    <row r="34" spans="1:7" ht="45" x14ac:dyDescent="0.35">
      <c r="A34" s="106" t="s">
        <v>2113</v>
      </c>
      <c r="B34" s="47">
        <f>IFERROR(COUNTIFS(DB_TOTAL!$AF:$AF,"Fallecido",DB_TOTAL!$AJ:$AJ,"&lt;=6",DB_TOTAL!$AJ:$AJ,"&gt;1")/COUNTIFS(DB_TOTAL!$AF:$AF,"Fallecido",DB_TOTAL!$AJ:$AJ,"&lt;=28"),0)</f>
        <v>0</v>
      </c>
      <c r="C34" s="47">
        <f>IFERROR(COUNTIFS(DB_TOTAL!$AF:$AF,"Fallecido",DB_TOTAL!$AJ:$AJ,"&lt;=6",DB_TOTAL!$AJ:$AJ,"&gt;1",DB_TOTAL!$N:$N,"&gt;="&amp;C$4,DB_TOTAL!$N:$N,"&lt;="&amp;C$5)/COUNTIFS(DB_TOTAL!$AF:$AF,"Fallecido",DB_TOTAL!$AJ:$AJ,"&lt;=28",DB_TOTAL!$N:$N,"&gt;="&amp;C$4,DB_TOTAL!$N:$N,"&lt;="&amp;C$5),0)</f>
        <v>0</v>
      </c>
      <c r="D34" s="47">
        <f>IFERROR(COUNTIFS(DB_TOTAL!$AF:$AF,"Fallecido",DB_TOTAL!$AJ:$AJ,"&lt;=6",DB_TOTAL!$AJ:$AJ,"&gt;1",DB_TOTAL!$N:$N,"&gt;="&amp;D$4,DB_TOTAL!$N:$N,"&lt;="&amp;D$5)/COUNTIFS(DB_TOTAL!$AF:$AF,"Fallecido",DB_TOTAL!$AJ:$AJ,"&lt;=28",DB_TOTAL!$N:$N,"&gt;="&amp;D$4,DB_TOTAL!$N:$N,"&lt;="&amp;D$5),0)</f>
        <v>0</v>
      </c>
      <c r="E34" s="47">
        <f>IFERROR(COUNTIFS(DB_TOTAL!$AF:$AF,"Fallecido",DB_TOTAL!$AJ:$AJ,"&lt;=6",DB_TOTAL!$AJ:$AJ,"&gt;1",DB_TOTAL!$N:$N,"&gt;="&amp;E$4,DB_TOTAL!$N:$N,"&lt;="&amp;E$5)/COUNTIFS(DB_TOTAL!$AF:$AF,"Fallecido",DB_TOTAL!$AJ:$AJ,"&lt;=28",DB_TOTAL!$N:$N,"&gt;="&amp;E$4,DB_TOTAL!$N:$N,"&lt;="&amp;E$5),0)</f>
        <v>0</v>
      </c>
      <c r="F34" s="47">
        <f>IFERROR(COUNTIFS(DB_TOTAL!$AF:$AF,"Fallecido",DB_TOTAL!$AJ:$AJ,"&lt;=6",DB_TOTAL!$AJ:$AJ,"&gt;1",DB_TOTAL!$N:$N,"&gt;="&amp;F$4,DB_TOTAL!$N:$N,"&lt;="&amp;F$5)/COUNTIFS(DB_TOTAL!$AF:$AF,"Fallecido",DB_TOTAL!$AJ:$AJ,"&lt;=28",DB_TOTAL!$N:$N,"&gt;="&amp;F$4,DB_TOTAL!$N:$N,"&lt;="&amp;F$5),0)</f>
        <v>0</v>
      </c>
      <c r="G34" s="48">
        <f>IFERROR(COUNTIFS(DB_TOTAL!$AF:$AF,"Fallecido",DB_TOTAL!$AJ:$AJ,"&lt;=6",DB_TOTAL!$AJ:$AJ,"&gt;1",DB_TOTAL!$N:$N,"&gt;="&amp;G$4,DB_TOTAL!$N:$N,"&lt;="&amp;G$5)/COUNTIFS(DB_TOTAL!$AF:$AF,"Fallecido",DB_TOTAL!$AJ:$AJ,"&lt;=28",DB_TOTAL!$N:$N,"&gt;="&amp;G$4,DB_TOTAL!$N:$N,"&lt;="&amp;G$5),0)</f>
        <v>0</v>
      </c>
    </row>
    <row r="35" spans="1:7" ht="45" x14ac:dyDescent="0.35">
      <c r="A35" s="106" t="s">
        <v>2114</v>
      </c>
      <c r="B35" s="47">
        <f>IFERROR(COUNTIFS(DB_TOTAL!$AF:$AF,"Fallecido",DB_TOTAL!$AJ:$AJ,"&lt;=28",DB_TOTAL!$AJ:$AJ,"&gt;6")/COUNTIFS(DB_TOTAL!$AF:$AF,"Fallecido",DB_TOTAL!$AJ:$AJ,"&lt;=28"),0)</f>
        <v>0</v>
      </c>
      <c r="C35" s="47">
        <f>IFERROR(COUNTIFS(DB_TOTAL!$AF:$AF,"Fallecido",DB_TOTAL!$AJ:$AJ,"&lt;=28",DB_TOTAL!$AJ:$AJ,"&gt;6",DB_TOTAL!$N:$N,"&gt;="&amp;C$4,DB_TOTAL!$N:$N,"&lt;="&amp;C$5)/COUNTIFS(DB_TOTAL!$AF:$AF,"Fallecido",DB_TOTAL!$AJ:$AJ,"&lt;=28",DB_TOTAL!$N:$N,"&gt;="&amp;C$4,DB_TOTAL!$N:$N,"&lt;="&amp;C$5),0)</f>
        <v>0</v>
      </c>
      <c r="D35" s="47">
        <f>IFERROR(COUNTIFS(DB_TOTAL!$AF:$AF,"Fallecido",DB_TOTAL!$AJ:$AJ,"&lt;=28",DB_TOTAL!$AJ:$AJ,"&gt;6",DB_TOTAL!$N:$N,"&gt;="&amp;D$4,DB_TOTAL!$N:$N,"&lt;="&amp;D$5)/COUNTIFS(DB_TOTAL!$AF:$AF,"Fallecido",DB_TOTAL!$AJ:$AJ,"&lt;=28",DB_TOTAL!$N:$N,"&gt;="&amp;D$4,DB_TOTAL!$N:$N,"&lt;="&amp;D$5),0)</f>
        <v>0</v>
      </c>
      <c r="E35" s="47">
        <f>IFERROR(COUNTIFS(DB_TOTAL!$AF:$AF,"Fallecido",DB_TOTAL!$AJ:$AJ,"&lt;=28",DB_TOTAL!$AJ:$AJ,"&gt;6",DB_TOTAL!$N:$N,"&gt;="&amp;E$4,DB_TOTAL!$N:$N,"&lt;="&amp;E$5)/COUNTIFS(DB_TOTAL!$AF:$AF,"Fallecido",DB_TOTAL!$AJ:$AJ,"&lt;=28",DB_TOTAL!$N:$N,"&gt;="&amp;E$4,DB_TOTAL!$N:$N,"&lt;="&amp;E$5),0)</f>
        <v>0</v>
      </c>
      <c r="F35" s="47">
        <f>IFERROR(COUNTIFS(DB_TOTAL!$AF:$AF,"Fallecido",DB_TOTAL!$AJ:$AJ,"&lt;=28",DB_TOTAL!$AJ:$AJ,"&gt;6",DB_TOTAL!$N:$N,"&gt;="&amp;F$4,DB_TOTAL!$N:$N,"&lt;="&amp;F$5)/COUNTIFS(DB_TOTAL!$AF:$AF,"Fallecido",DB_TOTAL!$AJ:$AJ,"&lt;=28",DB_TOTAL!$N:$N,"&gt;="&amp;F$4,DB_TOTAL!$N:$N,"&lt;="&amp;F$5),0)</f>
        <v>0</v>
      </c>
      <c r="G35" s="48">
        <f>IFERROR(COUNTIFS(DB_TOTAL!$AF:$AF,"Fallecido",DB_TOTAL!$AJ:$AJ,"&lt;=28",DB_TOTAL!$AJ:$AJ,"&gt;6",DB_TOTAL!$N:$N,"&gt;="&amp;G$4,DB_TOTAL!$N:$N,"&lt;="&amp;G$5)/COUNTIFS(DB_TOTAL!$AF:$AF,"Fallecido",DB_TOTAL!$AJ:$AJ,"&lt;=28",DB_TOTAL!$N:$N,"&gt;="&amp;G$4,DB_TOTAL!$N:$N,"&lt;="&amp;G$5),0)</f>
        <v>0</v>
      </c>
    </row>
    <row r="36" spans="1:7" ht="75" x14ac:dyDescent="0.35">
      <c r="A36" s="106" t="s">
        <v>2115</v>
      </c>
      <c r="B36" s="47">
        <f>IFERROR((COUNTIFS(DB_TOTAL!$AF:$AF,"Fallecido",DB_TOTAL!$AH:$AH,"Sala de partos")+COUNTIFS(DB_TOTAL!$AF:$AF,"Fallecido",DB_TOTAL!$AH:$AH,"Unidad neonatal")+COUNTIFS(DB_TOTAL!$AF:$AF,"Fallecido",DB_TOTAL!$AH:$AH,"Alojamiento Canguro"))/COUNTIF(DB_TOTAL!$AF:$AF,"Fallecido"),0)</f>
        <v>0</v>
      </c>
      <c r="C36" s="47">
        <f>IFERROR((COUNTIFS(DB_TOTAL!$AF:$AF,"Fallecido",DB_TOTAL!$AH:$AH,"Sala de partos",DB_TOTAL!$N:$N,"&gt;="&amp;C$4,DB_TOTAL!$N:$N,"&lt;="&amp;C$5)+COUNTIFS(DB_TOTAL!$AF:$AF,"Fallecido",DB_TOTAL!$AH:$AH,"Unidad neonatal",DB_TOTAL!$N:$N,"&gt;="&amp;C$4,DB_TOTAL!$N:$N,"&lt;="&amp;C$5)+COUNTIFS(DB_TOTAL!$AF:$AF,"Fallecido",DB_TOTAL!$AH:$AH,"Alojamiento Canguro",DB_TOTAL!$N:$N,"&gt;="&amp;C$4,DB_TOTAL!$N:$N,"&lt;="&amp;C$5))/COUNTIFS(DB_TOTAL!$AF:$AF,"Fallecido",DB_TOTAL!$N:$N,"&gt;="&amp;C$4,DB_TOTAL!$N:$N,"&lt;="&amp;C$5),0)</f>
        <v>0</v>
      </c>
      <c r="D36" s="47">
        <f>IFERROR((COUNTIFS(DB_TOTAL!$AF:$AF,"Fallecido",DB_TOTAL!$AH:$AH,"Sala de partos",DB_TOTAL!$N:$N,"&gt;="&amp;D$4,DB_TOTAL!$N:$N,"&lt;="&amp;D$5)+COUNTIFS(DB_TOTAL!$AF:$AF,"Fallecido",DB_TOTAL!$AH:$AH,"Unidad neonatal",DB_TOTAL!$N:$N,"&gt;="&amp;D$4,DB_TOTAL!$N:$N,"&lt;="&amp;D$5)+COUNTIFS(DB_TOTAL!$AF:$AF,"Fallecido",DB_TOTAL!$AH:$AH,"Alojamiento Canguro",DB_TOTAL!$N:$N,"&gt;="&amp;D$4,DB_TOTAL!$N:$N,"&lt;="&amp;D$5))/COUNTIFS(DB_TOTAL!$AF:$AF,"Fallecido",DB_TOTAL!$N:$N,"&gt;="&amp;D$4,DB_TOTAL!$N:$N,"&lt;="&amp;D$5),0)</f>
        <v>0</v>
      </c>
      <c r="E36" s="47">
        <f>IFERROR((COUNTIFS(DB_TOTAL!$AF:$AF,"Fallecido",DB_TOTAL!$AH:$AH,"Sala de partos",DB_TOTAL!$N:$N,"&gt;="&amp;E$4,DB_TOTAL!$N:$N,"&lt;="&amp;E$5)+COUNTIFS(DB_TOTAL!$AF:$AF,"Fallecido",DB_TOTAL!$AH:$AH,"Unidad neonatal",DB_TOTAL!$N:$N,"&gt;="&amp;E$4,DB_TOTAL!$N:$N,"&lt;="&amp;E$5)+COUNTIFS(DB_TOTAL!$AF:$AF,"Fallecido",DB_TOTAL!$AH:$AH,"Alojamiento Canguro",DB_TOTAL!$N:$N,"&gt;="&amp;E$4,DB_TOTAL!$N:$N,"&lt;="&amp;E$5))/COUNTIFS(DB_TOTAL!$AF:$AF,"Fallecido",DB_TOTAL!$N:$N,"&gt;="&amp;E$4,DB_TOTAL!$N:$N,"&lt;="&amp;E$5),0)</f>
        <v>0</v>
      </c>
      <c r="F36" s="47">
        <f>IFERROR((COUNTIFS(DB_TOTAL!$AF:$AF,"Fallecido",DB_TOTAL!$AH:$AH,"Sala de partos",DB_TOTAL!$N:$N,"&gt;="&amp;F$4,DB_TOTAL!$N:$N,"&lt;="&amp;F$5)+COUNTIFS(DB_TOTAL!$AF:$AF,"Fallecido",DB_TOTAL!$AH:$AH,"Unidad neonatal",DB_TOTAL!$N:$N,"&gt;="&amp;F$4,DB_TOTAL!$N:$N,"&lt;="&amp;F$5)+COUNTIFS(DB_TOTAL!$AF:$AF,"Fallecido",DB_TOTAL!$AH:$AH,"Alojamiento Canguro",DB_TOTAL!$N:$N,"&gt;="&amp;F$4,DB_TOTAL!$N:$N,"&lt;="&amp;F$5))/COUNTIFS(DB_TOTAL!$AF:$AF,"Fallecido",DB_TOTAL!$N:$N,"&gt;="&amp;F$4,DB_TOTAL!$N:$N,"&lt;="&amp;F$5),0)</f>
        <v>0</v>
      </c>
      <c r="G36" s="48">
        <f>IFERROR((COUNTIFS(DB_TOTAL!$AF:$AF,"Fallecido",DB_TOTAL!$AH:$AH,"Sala de partos",DB_TOTAL!$N:$N,"&gt;="&amp;G$4,DB_TOTAL!$N:$N,"&lt;="&amp;G$5)+COUNTIFS(DB_TOTAL!$AF:$AF,"Fallecido",DB_TOTAL!$AH:$AH,"Unidad neonatal",DB_TOTAL!$N:$N,"&gt;="&amp;G$4,DB_TOTAL!$N:$N,"&lt;="&amp;G$5)+COUNTIFS(DB_TOTAL!$AF:$AF,"Fallecido",DB_TOTAL!$AH:$AH,"Alojamiento Canguro",DB_TOTAL!$N:$N,"&gt;="&amp;G$4,DB_TOTAL!$N:$N,"&lt;="&amp;G$5))/COUNTIFS(DB_TOTAL!$AF:$AF,"Fallecido",DB_TOTAL!$N:$N,"&gt;="&amp;G$4,DB_TOTAL!$N:$N,"&lt;="&amp;G$5),0)</f>
        <v>0</v>
      </c>
    </row>
    <row r="37" spans="1:7" ht="45" x14ac:dyDescent="0.35">
      <c r="A37" s="106" t="s">
        <v>1929</v>
      </c>
      <c r="B37" s="47">
        <f>IFERROR(COUNTIFS(DB_TOTAL!$AF:$AF,"Fallecido",DB_TOTAL!$AH:$AH,"Durante el parto en casa")/COUNTIF(DB_TOTAL!$AF:$AF,"Fallecido"),0)</f>
        <v>0</v>
      </c>
      <c r="C37" s="47">
        <f>IFERROR(COUNTIFS(DB_TOTAL!$AF:$AF,"Fallecido",DB_TOTAL!$AH:$AH,"Durante el parto en casa",DB_TOTAL!$N:$N,"&gt;="&amp;C$4,DB_TOTAL!$N:$N,"&lt;="&amp;C$5)/COUNTIFS(DB_TOTAL!$AF:$AF,"Fallecido",DB_TOTAL!$N:$N,"&gt;="&amp;C$4,DB_TOTAL!$N:$N,"&lt;="&amp;C$5),0)</f>
        <v>0</v>
      </c>
      <c r="D37" s="47">
        <f>IFERROR(COUNTIFS(DB_TOTAL!$AF:$AF,"Fallecido",DB_TOTAL!$AH:$AH,"Durante el parto en casa",DB_TOTAL!$N:$N,"&gt;="&amp;D$4,DB_TOTAL!$N:$N,"&lt;="&amp;D$5)/COUNTIFS(DB_TOTAL!$AF:$AF,"Fallecido",DB_TOTAL!$N:$N,"&gt;="&amp;D$4,DB_TOTAL!$N:$N,"&lt;="&amp;D$5),0)</f>
        <v>0</v>
      </c>
      <c r="E37" s="47">
        <f>IFERROR(COUNTIFS(DB_TOTAL!$AF:$AF,"Fallecido",DB_TOTAL!$AH:$AH,"Durante el parto en casa",DB_TOTAL!$N:$N,"&gt;="&amp;E$4,DB_TOTAL!$N:$N,"&lt;="&amp;E$5)/COUNTIFS(DB_TOTAL!$AF:$AF,"Fallecido",DB_TOTAL!$N:$N,"&gt;="&amp;E$4,DB_TOTAL!$N:$N,"&lt;="&amp;E$5),0)</f>
        <v>0</v>
      </c>
      <c r="F37" s="47">
        <f>IFERROR(COUNTIFS(DB_TOTAL!$AF:$AF,"Fallecido",DB_TOTAL!$AH:$AH,"Durante el parto en casa",DB_TOTAL!$N:$N,"&gt;="&amp;F$4,DB_TOTAL!$N:$N,"&lt;="&amp;F$5)/COUNTIFS(DB_TOTAL!$AF:$AF,"Fallecido",DB_TOTAL!$N:$N,"&gt;="&amp;F$4,DB_TOTAL!$N:$N,"&lt;="&amp;F$5),0)</f>
        <v>0</v>
      </c>
      <c r="G37" s="48">
        <f>IFERROR(COUNTIFS(DB_TOTAL!$AF:$AF,"Fallecido",DB_TOTAL!$AH:$AH,"Durante el parto en casa",DB_TOTAL!$N:$N,"&gt;="&amp;G$4,DB_TOTAL!$N:$N,"&lt;="&amp;G$5)/COUNTIFS(DB_TOTAL!$AF:$AF,"Fallecido",DB_TOTAL!$N:$N,"&gt;="&amp;G$4,DB_TOTAL!$N:$N,"&lt;="&amp;G$5),0)</f>
        <v>0</v>
      </c>
    </row>
    <row r="38" spans="1:7" x14ac:dyDescent="0.35">
      <c r="A38" s="106" t="s">
        <v>1930</v>
      </c>
      <c r="B38" s="47">
        <f>IFERROR(COUNTIFS(DB_TOTAL!$AF:$AF,"Fallecido",DB_TOTAL!$AH:$AH,"Sala de partos")/COUNTIF(DB_TOTAL!$AF:$AF,"Fallecido"),0)</f>
        <v>0</v>
      </c>
      <c r="C38" s="47">
        <f>IFERROR(COUNTIFS(DB_TOTAL!$AF:$AF,"Fallecido",DB_TOTAL!$AH:$AH,"Sala de partos",DB_TOTAL!$N:$N,"&gt;="&amp;C$4,DB_TOTAL!$N:$N,"&lt;="&amp;C$5)/COUNTIFS(DB_TOTAL!$AF:$AF,"Fallecido",DB_TOTAL!$N:$N,"&gt;="&amp;C$4,DB_TOTAL!$N:$N,"&lt;="&amp;C$5),0)</f>
        <v>0</v>
      </c>
      <c r="D38" s="47">
        <f>IFERROR(COUNTIFS(DB_TOTAL!$AF:$AF,"Fallecido",DB_TOTAL!$AH:$AH,"Sala de partos",DB_TOTAL!$N:$N,"&gt;="&amp;D$4,DB_TOTAL!$N:$N,"&lt;="&amp;D$5)/COUNTIFS(DB_TOTAL!$AF:$AF,"Fallecido",DB_TOTAL!$N:$N,"&gt;="&amp;D$4,DB_TOTAL!$N:$N,"&lt;="&amp;D$5),0)</f>
        <v>0</v>
      </c>
      <c r="E38" s="47">
        <f>IFERROR(COUNTIFS(DB_TOTAL!$AF:$AF,"Fallecido",DB_TOTAL!$AH:$AH,"Sala de partos",DB_TOTAL!$N:$N,"&gt;="&amp;E$4,DB_TOTAL!$N:$N,"&lt;="&amp;E$5)/COUNTIFS(DB_TOTAL!$AF:$AF,"Fallecido",DB_TOTAL!$N:$N,"&gt;="&amp;E$4,DB_TOTAL!$N:$N,"&lt;="&amp;E$5),0)</f>
        <v>0</v>
      </c>
      <c r="F38" s="47">
        <f>IFERROR(COUNTIFS(DB_TOTAL!$AF:$AF,"Fallecido",DB_TOTAL!$AH:$AH,"Sala de partos",DB_TOTAL!$N:$N,"&gt;="&amp;F$4,DB_TOTAL!$N:$N,"&lt;="&amp;F$5)/COUNTIFS(DB_TOTAL!$AF:$AF,"Fallecido",DB_TOTAL!$N:$N,"&gt;="&amp;F$4,DB_TOTAL!$N:$N,"&lt;="&amp;F$5),0)</f>
        <v>0</v>
      </c>
      <c r="G38" s="48">
        <f>IFERROR(COUNTIFS(DB_TOTAL!$AF:$AF,"Fallecido",DB_TOTAL!$AH:$AH,"Sala de partos",DB_TOTAL!$N:$N,"&gt;="&amp;G$4,DB_TOTAL!$N:$N,"&lt;="&amp;G$5)/COUNTIFS(DB_TOTAL!$AF:$AF,"Fallecido",DB_TOTAL!$N:$N,"&gt;="&amp;G$4,DB_TOTAL!$N:$N,"&lt;="&amp;G$5),0)</f>
        <v>0</v>
      </c>
    </row>
    <row r="39" spans="1:7" x14ac:dyDescent="0.35">
      <c r="A39" s="106" t="s">
        <v>1931</v>
      </c>
      <c r="B39" s="47">
        <f>IFERROR(COUNTIFS(DB_TOTAL!$AF:$AF,"Fallecido",DB_TOTAL!$AH:$AH,"Unidad neonatal")/COUNTIF(DB_TOTAL!$AF:$AF,"Fallecido"),0)</f>
        <v>0</v>
      </c>
      <c r="C39" s="47">
        <f>IFERROR(COUNTIFS(DB_TOTAL!$AF:$AF,"Fallecido",DB_TOTAL!$AH:$AH,"Unidad neonatal",DB_TOTAL!$N:$N,"&gt;="&amp;C$4,DB_TOTAL!$N:$N,"&lt;="&amp;C$5)/COUNTIFS(DB_TOTAL!$AF:$AF,"Fallecido",DB_TOTAL!$N:$N,"&gt;="&amp;C$4,DB_TOTAL!$N:$N,"&lt;="&amp;C$5),0)</f>
        <v>0</v>
      </c>
      <c r="D39" s="47">
        <f>IFERROR(COUNTIFS(DB_TOTAL!$AF:$AF,"Fallecido",DB_TOTAL!$AH:$AH,"Unidad neonatal",DB_TOTAL!$N:$N,"&gt;="&amp;D$4,DB_TOTAL!$N:$N,"&lt;="&amp;D$5)/COUNTIFS(DB_TOTAL!$AF:$AF,"Fallecido",DB_TOTAL!$N:$N,"&gt;="&amp;D$4,DB_TOTAL!$N:$N,"&lt;="&amp;D$5),0)</f>
        <v>0</v>
      </c>
      <c r="E39" s="47">
        <f>IFERROR(COUNTIFS(DB_TOTAL!$AF:$AF,"Fallecido",DB_TOTAL!$AH:$AH,"Unidad neonatal",DB_TOTAL!$N:$N,"&gt;="&amp;E$4,DB_TOTAL!$N:$N,"&lt;="&amp;E$5)/COUNTIFS(DB_TOTAL!$AF:$AF,"Fallecido",DB_TOTAL!$N:$N,"&gt;="&amp;E$4,DB_TOTAL!$N:$N,"&lt;="&amp;E$5),0)</f>
        <v>0</v>
      </c>
      <c r="F39" s="47">
        <f>IFERROR(COUNTIFS(DB_TOTAL!$AF:$AF,"Fallecido",DB_TOTAL!$AH:$AH,"Unidad neonatal",DB_TOTAL!$N:$N,"&gt;="&amp;F$4,DB_TOTAL!$N:$N,"&lt;="&amp;F$5)/COUNTIFS(DB_TOTAL!$AF:$AF,"Fallecido",DB_TOTAL!$N:$N,"&gt;="&amp;F$4,DB_TOTAL!$N:$N,"&lt;="&amp;F$5),0)</f>
        <v>0</v>
      </c>
      <c r="G39" s="48">
        <f>IFERROR(COUNTIFS(DB_TOTAL!$AF:$AF,"Fallecido",DB_TOTAL!$AH:$AH,"Unidad neonatal",DB_TOTAL!$N:$N,"&gt;="&amp;G$4,DB_TOTAL!$N:$N,"&lt;="&amp;G$5)/COUNTIFS(DB_TOTAL!$AF:$AF,"Fallecido",DB_TOTAL!$N:$N,"&gt;="&amp;G$4,DB_TOTAL!$N:$N,"&lt;="&amp;G$5),0)</f>
        <v>0</v>
      </c>
    </row>
    <row r="40" spans="1:7" x14ac:dyDescent="0.35">
      <c r="A40" s="106" t="s">
        <v>1932</v>
      </c>
      <c r="B40" s="47">
        <f>IFERROR(COUNTIFS(DB_TOTAL!$AF:$AF,"Fallecido",DB_TOTAL!$AH:$AH,"Alojamiento Canguro")/COUNTIF(DB_TOTAL!$AF:$AF,"Fallecido"),0)</f>
        <v>0</v>
      </c>
      <c r="C40" s="47">
        <f>IFERROR(COUNTIFS(DB_TOTAL!$AF:$AF,"Fallecido",DB_TOTAL!$AH:$AH,"Alojamiento Canguro",DB_TOTAL!$N:$N,"&gt;="&amp;C$4,DB_TOTAL!$N:$N,"&lt;="&amp;C$5)/COUNTIFS(DB_TOTAL!$AF:$AF,"Fallecido",DB_TOTAL!$N:$N,"&gt;="&amp;C$4,DB_TOTAL!$N:$N,"&lt;="&amp;C$5),0)</f>
        <v>0</v>
      </c>
      <c r="D40" s="47">
        <f>IFERROR(COUNTIFS(DB_TOTAL!$AF:$AF,"Fallecido",DB_TOTAL!$AH:$AH,"Alojamiento Canguro",DB_TOTAL!$N:$N,"&gt;="&amp;D$4,DB_TOTAL!$N:$N,"&lt;="&amp;D$5)/COUNTIFS(DB_TOTAL!$AF:$AF,"Fallecido",DB_TOTAL!$N:$N,"&gt;="&amp;D$4,DB_TOTAL!$N:$N,"&lt;="&amp;D$5),0)</f>
        <v>0</v>
      </c>
      <c r="E40" s="47">
        <f>IFERROR(COUNTIFS(DB_TOTAL!$AF:$AF,"Fallecido",DB_TOTAL!$AH:$AH,"Alojamiento Canguro",DB_TOTAL!$N:$N,"&gt;="&amp;E$4,DB_TOTAL!$N:$N,"&lt;="&amp;E$5)/COUNTIFS(DB_TOTAL!$AF:$AF,"Fallecido",DB_TOTAL!$N:$N,"&gt;="&amp;E$4,DB_TOTAL!$N:$N,"&lt;="&amp;E$5),0)</f>
        <v>0</v>
      </c>
      <c r="F40" s="47">
        <f>IFERROR(COUNTIFS(DB_TOTAL!$AF:$AF,"Fallecido",DB_TOTAL!$AH:$AH,"Alojamiento Canguro",DB_TOTAL!$N:$N,"&gt;="&amp;F$4,DB_TOTAL!$N:$N,"&lt;="&amp;F$5)/COUNTIFS(DB_TOTAL!$AF:$AF,"Fallecido",DB_TOTAL!$N:$N,"&gt;="&amp;F$4,DB_TOTAL!$N:$N,"&lt;="&amp;F$5),0)</f>
        <v>0</v>
      </c>
      <c r="G40" s="48">
        <f>IFERROR(COUNTIFS(DB_TOTAL!$AF:$AF,"Fallecido",DB_TOTAL!$AH:$AH,"Alojamiento Canguro",DB_TOTAL!$N:$N,"&gt;="&amp;G$4,DB_TOTAL!$N:$N,"&lt;="&amp;G$5)/COUNTIFS(DB_TOTAL!$AF:$AF,"Fallecido",DB_TOTAL!$N:$N,"&gt;="&amp;G$4,DB_TOTAL!$N:$N,"&lt;="&amp;G$5),0)</f>
        <v>0</v>
      </c>
    </row>
    <row r="41" spans="1:7" x14ac:dyDescent="0.35">
      <c r="A41" s="106" t="s">
        <v>1933</v>
      </c>
      <c r="B41" s="47">
        <f>IFERROR(COUNTIFS(DB_TOTAL!$AF:$AF,"Fallecido",DB_TOTAL!$AH:$AH,"Ambulatorio en casa")/COUNTIF(DB_TOTAL!$AF:$AF,"Fallecido"),0)</f>
        <v>0</v>
      </c>
      <c r="C41" s="47">
        <f>IFERROR(COUNTIFS(DB_TOTAL!$AF:$AF,"Fallecido",DB_TOTAL!$AH:$AH,"Ambulatorio en casa",DB_TOTAL!$N:$N,"&gt;="&amp;C$4,DB_TOTAL!$N:$N,"&lt;="&amp;C$5)/COUNTIFS(DB_TOTAL!$AF:$AF,"Fallecido",DB_TOTAL!$N:$N,"&gt;="&amp;C$4,DB_TOTAL!$N:$N,"&lt;="&amp;C$5),0)</f>
        <v>0</v>
      </c>
      <c r="D41" s="47">
        <f>IFERROR(COUNTIFS(DB_TOTAL!$AF:$AF,"Fallecido",DB_TOTAL!$AH:$AH,"Ambulatorio en casa",DB_TOTAL!$N:$N,"&gt;="&amp;D$4,DB_TOTAL!$N:$N,"&lt;="&amp;D$5)/COUNTIFS(DB_TOTAL!$AF:$AF,"Fallecido",DB_TOTAL!$N:$N,"&gt;="&amp;D$4,DB_TOTAL!$N:$N,"&lt;="&amp;D$5),0)</f>
        <v>0</v>
      </c>
      <c r="E41" s="47">
        <f>IFERROR(COUNTIFS(DB_TOTAL!$AF:$AF,"Fallecido",DB_TOTAL!$AH:$AH,"Ambulatorio en casa",DB_TOTAL!$N:$N,"&gt;="&amp;E$4,DB_TOTAL!$N:$N,"&lt;="&amp;E$5)/COUNTIFS(DB_TOTAL!$AF:$AF,"Fallecido",DB_TOTAL!$N:$N,"&gt;="&amp;E$4,DB_TOTAL!$N:$N,"&lt;="&amp;E$5),0)</f>
        <v>0</v>
      </c>
      <c r="F41" s="47">
        <f>IFERROR(COUNTIFS(DB_TOTAL!$AF:$AF,"Fallecido",DB_TOTAL!$AH:$AH,"Ambulatorio en casa",DB_TOTAL!$N:$N,"&gt;="&amp;F$4,DB_TOTAL!$N:$N,"&lt;="&amp;F$5)/COUNTIFS(DB_TOTAL!$AF:$AF,"Fallecido",DB_TOTAL!$N:$N,"&gt;="&amp;F$4,DB_TOTAL!$N:$N,"&lt;="&amp;F$5),0)</f>
        <v>0</v>
      </c>
      <c r="G41" s="48">
        <f>IFERROR(COUNTIFS(DB_TOTAL!$AF:$AF,"Fallecido",DB_TOTAL!$AH:$AH,"Ambulatorio en casa",DB_TOTAL!$N:$N,"&gt;="&amp;G$4,DB_TOTAL!$N:$N,"&lt;="&amp;G$5)/COUNTIFS(DB_TOTAL!$AF:$AF,"Fallecido",DB_TOTAL!$N:$N,"&gt;="&amp;G$4,DB_TOTAL!$N:$N,"&lt;="&amp;G$5),0)</f>
        <v>0</v>
      </c>
    </row>
    <row r="42" spans="1:7" x14ac:dyDescent="0.35">
      <c r="A42" s="106" t="s">
        <v>1934</v>
      </c>
      <c r="B42" s="47">
        <f>IFERROR(COUNTIFS(DB_TOTAL!$AF:$AF,"Fallecido",DB_TOTAL!$AH:$AH,"Rehospitalización")/COUNTIF(DB_TOTAL!$AF:$AF,"Fallecido"),0)</f>
        <v>0</v>
      </c>
      <c r="C42" s="47">
        <f>IFERROR(COUNTIFS(DB_TOTAL!$AF:$AF,"Fallecido",DB_TOTAL!$AH:$AH,"Rehospitalización",DB_TOTAL!$N:$N,"&gt;="&amp;C$4,DB_TOTAL!$N:$N,"&lt;="&amp;C$5)/COUNTIFS(DB_TOTAL!$AF:$AF,"Fallecido",DB_TOTAL!$N:$N,"&gt;="&amp;C$4,DB_TOTAL!$N:$N,"&lt;="&amp;C$5),0)</f>
        <v>0</v>
      </c>
      <c r="D42" s="47">
        <f>IFERROR(COUNTIFS(DB_TOTAL!$AF:$AF,"Fallecido",DB_TOTAL!$AH:$AH,"Rehospitalización",DB_TOTAL!$N:$N,"&gt;="&amp;D$4,DB_TOTAL!$N:$N,"&lt;="&amp;D$5)/COUNTIFS(DB_TOTAL!$AF:$AF,"Fallecido",DB_TOTAL!$N:$N,"&gt;="&amp;D$4,DB_TOTAL!$N:$N,"&lt;="&amp;D$5),0)</f>
        <v>0</v>
      </c>
      <c r="E42" s="47">
        <f>IFERROR(COUNTIFS(DB_TOTAL!$AF:$AF,"Fallecido",DB_TOTAL!$AH:$AH,"Rehospitalización",DB_TOTAL!$N:$N,"&gt;="&amp;E$4,DB_TOTAL!$N:$N,"&lt;="&amp;E$5)/COUNTIFS(DB_TOTAL!$AF:$AF,"Fallecido",DB_TOTAL!$N:$N,"&gt;="&amp;E$4,DB_TOTAL!$N:$N,"&lt;="&amp;E$5),0)</f>
        <v>0</v>
      </c>
      <c r="F42" s="47">
        <f>IFERROR(COUNTIFS(DB_TOTAL!$AF:$AF,"Fallecido",DB_TOTAL!$AH:$AH,"Rehospitalización",DB_TOTAL!$N:$N,"&gt;="&amp;F$4,DB_TOTAL!$N:$N,"&lt;="&amp;F$5)/COUNTIFS(DB_TOTAL!$AF:$AF,"Fallecido",DB_TOTAL!$N:$N,"&gt;="&amp;F$4,DB_TOTAL!$N:$N,"&lt;="&amp;F$5),0)</f>
        <v>0</v>
      </c>
      <c r="G42" s="48">
        <f>IFERROR(COUNTIFS(DB_TOTAL!$AF:$AF,"Fallecido",DB_TOTAL!$AH:$AH,"Rehospitalización",DB_TOTAL!$N:$N,"&gt;="&amp;G$4,DB_TOTAL!$N:$N,"&lt;="&amp;G$5)/COUNTIFS(DB_TOTAL!$AF:$AF,"Fallecido",DB_TOTAL!$N:$N,"&gt;="&amp;G$4,DB_TOTAL!$N:$N,"&lt;="&amp;G$5),0)</f>
        <v>0</v>
      </c>
    </row>
    <row r="43" spans="1:7" ht="30" x14ac:dyDescent="0.35">
      <c r="A43" s="106" t="s">
        <v>1935</v>
      </c>
      <c r="B43" s="47">
        <f>IFERROR(COUNTIF(DB_TOTAL!$AI:$AI,"Sí")/COUNTA(DB_TOTAL!#REF!),0)</f>
        <v>0</v>
      </c>
      <c r="C43" s="47">
        <f>IFERROR(COUNTIFS(DB_TOTAL!$AI:$AI,"Sí",DB_TOTAL!$N:$N,"&gt;="&amp;C$4,DB_TOTAL!$N:$N,"&lt;="&amp;C$5)/COUNTIFS(DB_TOTAL!$AI:$AI,"&lt;&gt;",DB_TOTAL!$N:$N,"&gt;="&amp;C$4,DB_TOTAL!$N:$N,"&lt;="&amp;C$5),0)</f>
        <v>0</v>
      </c>
      <c r="D43" s="47">
        <f>IFERROR(COUNTIFS(DB_TOTAL!$AI:$AI,"Sí",DB_TOTAL!$N:$N,"&gt;="&amp;D$4,DB_TOTAL!$N:$N,"&lt;="&amp;D$5)/COUNTIFS(DB_TOTAL!$AI:$AI,"&lt;&gt;",DB_TOTAL!$N:$N,"&gt;="&amp;D$4,DB_TOTAL!$N:$N,"&lt;="&amp;D$5),0)</f>
        <v>0</v>
      </c>
      <c r="E43" s="47">
        <f>IFERROR(COUNTIFS(DB_TOTAL!$AI:$AI,"Sí",DB_TOTAL!$N:$N,"&gt;="&amp;E$4,DB_TOTAL!$N:$N,"&lt;="&amp;E$5)/COUNTIFS(DB_TOTAL!$AI:$AI,"&lt;&gt;",DB_TOTAL!$N:$N,"&gt;="&amp;E$4,DB_TOTAL!$N:$N,"&lt;="&amp;E$5),0)</f>
        <v>0</v>
      </c>
      <c r="F43" s="47">
        <f>IFERROR(COUNTIFS(DB_TOTAL!$AI:$AI,"Sí",DB_TOTAL!$N:$N,"&gt;="&amp;F$4,DB_TOTAL!$N:$N,"&lt;="&amp;F$5)/COUNTIFS(DB_TOTAL!$AI:$AI,"&lt;&gt;",DB_TOTAL!$N:$N,"&gt;="&amp;F$4,DB_TOTAL!$N:$N,"&lt;="&amp;F$5),0)</f>
        <v>0</v>
      </c>
      <c r="G43" s="48">
        <f>IFERROR(COUNTIFS(DB_TOTAL!$AI:$AI,"Sí",DB_TOTAL!$N:$N,"&gt;="&amp;G$4,DB_TOTAL!$N:$N,"&lt;="&amp;G$5)/COUNTIFS(DB_TOTAL!$AI:$AI,"&lt;&gt;",DB_TOTAL!$N:$N,"&gt;="&amp;G$4,DB_TOTAL!$N:$N,"&lt;="&amp;G$5),0)</f>
        <v>0</v>
      </c>
    </row>
    <row r="44" spans="1:7" x14ac:dyDescent="0.35">
      <c r="A44" s="106" t="s">
        <v>1936</v>
      </c>
      <c r="B44" s="47">
        <f>IFERROR(COUNTIF(DB_TOTAL!$AI:$AI,"No - deserción 40 semanas")/COUNTA(DB_TOTAL!#REF!),0)</f>
        <v>0</v>
      </c>
      <c r="C44" s="47">
        <f>IFERROR(COUNTIFS(DB_TOTAL!$AI:$AI,"No - deserción 40 semanas",DB_TOTAL!$N:$N,"&gt;="&amp;C$4,DB_TOTAL!$N:$N,"&lt;="&amp;C$5)/COUNTIFS(DB_TOTAL!$AI:$AI,"&lt;&gt;",DB_TOTAL!$N:$N,"&gt;="&amp;C$4,DB_TOTAL!$N:$N,"&lt;="&amp;C$5),0)</f>
        <v>0</v>
      </c>
      <c r="D44" s="47">
        <f>IFERROR(COUNTIFS(DB_TOTAL!$AI:$AI,"No - deserción 40 semanas",DB_TOTAL!$N:$N,"&gt;="&amp;D$4,DB_TOTAL!$N:$N,"&lt;="&amp;D$5)/COUNTIFS(DB_TOTAL!$AI:$AI,"&lt;&gt;",DB_TOTAL!$N:$N,"&gt;="&amp;D$4,DB_TOTAL!$N:$N,"&lt;="&amp;D$5),0)</f>
        <v>0</v>
      </c>
      <c r="E44" s="47">
        <f>IFERROR(COUNTIFS(DB_TOTAL!$AI:$AI,"No - deserción 40 semanas",DB_TOTAL!$N:$N,"&gt;="&amp;E$4,DB_TOTAL!$N:$N,"&lt;="&amp;E$5)/COUNTIFS(DB_TOTAL!$AI:$AI,"&lt;&gt;",DB_TOTAL!$N:$N,"&gt;="&amp;E$4,DB_TOTAL!$N:$N,"&lt;="&amp;E$5),0)</f>
        <v>0</v>
      </c>
      <c r="F44" s="47">
        <f>IFERROR(COUNTIFS(DB_TOTAL!$AI:$AI,"No - deserción 40 semanas",DB_TOTAL!$N:$N,"&gt;="&amp;F$4,DB_TOTAL!$N:$N,"&lt;="&amp;F$5)/COUNTIFS(DB_TOTAL!$AI:$AI,"&lt;&gt;",DB_TOTAL!$N:$N,"&gt;="&amp;F$4,DB_TOTAL!$N:$N,"&lt;="&amp;F$5),0)</f>
        <v>0</v>
      </c>
      <c r="G44" s="48">
        <f>IFERROR(COUNTIFS(DB_TOTAL!$AI:$AI,"No - deserción 40 semanas",DB_TOTAL!$N:$N,"&gt;="&amp;G$4,DB_TOTAL!$N:$N,"&lt;="&amp;G$5)/COUNTIFS(DB_TOTAL!$AI:$AI,"&lt;&gt;",DB_TOTAL!$N:$N,"&gt;="&amp;G$4,DB_TOTAL!$N:$N,"&lt;="&amp;G$5),0)</f>
        <v>0</v>
      </c>
    </row>
    <row r="45" spans="1:7" x14ac:dyDescent="0.35">
      <c r="A45" s="106" t="s">
        <v>1937</v>
      </c>
      <c r="B45" s="47">
        <f>IFERROR(COUNTIF(DB_TOTAL!$AI:$AI,"No - deserción 3 meses EC")/COUNTA(DB_TOTAL!#REF!),0)</f>
        <v>0</v>
      </c>
      <c r="C45" s="47">
        <f>IFERROR(COUNTIFS(DB_TOTAL!$AI:$AI,"No - deserción 3 meses EC",DB_TOTAL!$N:$N,"&gt;="&amp;C$4,DB_TOTAL!$N:$N,"&lt;="&amp;C$5)/COUNTIFS(DB_TOTAL!$AI:$AI,"&lt;&gt;",DB_TOTAL!$N:$N,"&gt;="&amp;C$4,DB_TOTAL!$N:$N,"&lt;="&amp;C$5),0)</f>
        <v>0</v>
      </c>
      <c r="D45" s="47">
        <f>IFERROR(COUNTIFS(DB_TOTAL!$AI:$AI,"No - deserción 3 meses EC",DB_TOTAL!$N:$N,"&gt;="&amp;D$4,DB_TOTAL!$N:$N,"&lt;="&amp;D$5)/COUNTIFS(DB_TOTAL!$AI:$AI,"&lt;&gt;",DB_TOTAL!$N:$N,"&gt;="&amp;D$4,DB_TOTAL!$N:$N,"&lt;="&amp;D$5),0)</f>
        <v>0</v>
      </c>
      <c r="E45" s="47">
        <f>IFERROR(COUNTIFS(DB_TOTAL!$AI:$AI,"No - deserción 3 meses EC",DB_TOTAL!$N:$N,"&gt;="&amp;E$4,DB_TOTAL!$N:$N,"&lt;="&amp;E$5)/COUNTIFS(DB_TOTAL!$AI:$AI,"&lt;&gt;",DB_TOTAL!$N:$N,"&gt;="&amp;E$4,DB_TOTAL!$N:$N,"&lt;="&amp;E$5),0)</f>
        <v>0</v>
      </c>
      <c r="F45" s="47">
        <f>IFERROR(COUNTIFS(DB_TOTAL!$AI:$AI,"No - deserción 3 meses EC",DB_TOTAL!$N:$N,"&gt;="&amp;F$4,DB_TOTAL!$N:$N,"&lt;="&amp;F$5)/COUNTIFS(DB_TOTAL!$AI:$AI,"&lt;&gt;",DB_TOTAL!$N:$N,"&gt;="&amp;F$4,DB_TOTAL!$N:$N,"&lt;="&amp;F$5),0)</f>
        <v>0</v>
      </c>
      <c r="G45" s="48">
        <f>IFERROR(COUNTIFS(DB_TOTAL!$AI:$AI,"No - deserción 3 meses EC",DB_TOTAL!$N:$N,"&gt;="&amp;G$4,DB_TOTAL!$N:$N,"&lt;="&amp;G$5)/COUNTIFS(DB_TOTAL!$AI:$AI,"&lt;&gt;",DB_TOTAL!$N:$N,"&gt;="&amp;G$4,DB_TOTAL!$N:$N,"&lt;="&amp;G$5),0)</f>
        <v>0</v>
      </c>
    </row>
    <row r="46" spans="1:7" x14ac:dyDescent="0.35">
      <c r="A46" s="106" t="s">
        <v>1938</v>
      </c>
      <c r="B46" s="47">
        <f>IFERROR(COUNTIF(DB_TOTAL!$AI:$AI,"No - deserción 6 meses EC")/COUNTA(DB_TOTAL!#REF!),0)</f>
        <v>0</v>
      </c>
      <c r="C46" s="47">
        <f>IFERROR(COUNTIFS(DB_TOTAL!$AI:$AI,"No - deserción 6 meses EC",DB_TOTAL!$N:$N,"&gt;="&amp;C$4,DB_TOTAL!$N:$N,"&lt;="&amp;C$5)/COUNTIFS(DB_TOTAL!$AI:$AI,"&lt;&gt;",DB_TOTAL!$N:$N,"&gt;="&amp;C$4,DB_TOTAL!$N:$N,"&lt;="&amp;C$5),0)</f>
        <v>0</v>
      </c>
      <c r="D46" s="47">
        <f>IFERROR(COUNTIFS(DB_TOTAL!$AI:$AI,"No - deserción 6 meses EC",DB_TOTAL!$N:$N,"&gt;="&amp;D$4,DB_TOTAL!$N:$N,"&lt;="&amp;D$5)/COUNTIFS(DB_TOTAL!$AI:$AI,"&lt;&gt;",DB_TOTAL!$N:$N,"&gt;="&amp;D$4,DB_TOTAL!$N:$N,"&lt;="&amp;D$5),0)</f>
        <v>0</v>
      </c>
      <c r="E46" s="47">
        <f>IFERROR(COUNTIFS(DB_TOTAL!$AI:$AI,"No - deserción 6 meses EC",DB_TOTAL!$N:$N,"&gt;="&amp;E$4,DB_TOTAL!$N:$N,"&lt;="&amp;E$5)/COUNTIFS(DB_TOTAL!$AI:$AI,"&lt;&gt;",DB_TOTAL!$N:$N,"&gt;="&amp;E$4,DB_TOTAL!$N:$N,"&lt;="&amp;E$5),0)</f>
        <v>0</v>
      </c>
      <c r="F46" s="47">
        <f>IFERROR(COUNTIFS(DB_TOTAL!$AI:$AI,"No - deserción 6 meses EC",DB_TOTAL!$N:$N,"&gt;="&amp;F$4,DB_TOTAL!$N:$N,"&lt;="&amp;F$5)/COUNTIFS(DB_TOTAL!$AI:$AI,"&lt;&gt;",DB_TOTAL!$N:$N,"&gt;="&amp;F$4,DB_TOTAL!$N:$N,"&lt;="&amp;F$5),0)</f>
        <v>0</v>
      </c>
      <c r="G46" s="48">
        <f>IFERROR(COUNTIFS(DB_TOTAL!$AI:$AI,"No - deserción 6 meses EC",DB_TOTAL!$N:$N,"&gt;="&amp;G$4,DB_TOTAL!$N:$N,"&lt;="&amp;G$5)/COUNTIFS(DB_TOTAL!$AI:$AI,"&lt;&gt;",DB_TOTAL!$N:$N,"&gt;="&amp;G$4,DB_TOTAL!$N:$N,"&lt;="&amp;G$5),0)</f>
        <v>0</v>
      </c>
    </row>
    <row r="47" spans="1:7" x14ac:dyDescent="0.35">
      <c r="A47" s="106" t="s">
        <v>1939</v>
      </c>
      <c r="B47" s="47">
        <f>IFERROR(COUNTIF(DB_TOTAL!$AI:$AI,"No - deserción 9 meses EC")/COUNTA(DB_TOTAL!#REF!),0)</f>
        <v>0</v>
      </c>
      <c r="C47" s="47">
        <f>IFERROR(COUNTIFS(DB_TOTAL!$AI:$AI,"No - deserción 9 meses EC",DB_TOTAL!$N:$N,"&gt;="&amp;C$4,DB_TOTAL!$N:$N,"&lt;="&amp;C$5)/COUNTIFS(DB_TOTAL!$AI:$AI,"&lt;&gt;",DB_TOTAL!$N:$N,"&gt;="&amp;C$4,DB_TOTAL!$N:$N,"&lt;="&amp;C$5),0)</f>
        <v>0</v>
      </c>
      <c r="D47" s="47">
        <f>IFERROR(COUNTIFS(DB_TOTAL!$AI:$AI,"No - deserción 9 meses EC",DB_TOTAL!$N:$N,"&gt;="&amp;D$4,DB_TOTAL!$N:$N,"&lt;="&amp;D$5)/COUNTIFS(DB_TOTAL!$AI:$AI,"&lt;&gt;",DB_TOTAL!$N:$N,"&gt;="&amp;D$4,DB_TOTAL!$N:$N,"&lt;="&amp;D$5),0)</f>
        <v>0</v>
      </c>
      <c r="E47" s="47">
        <f>IFERROR(COUNTIFS(DB_TOTAL!$AI:$AI,"No - deserción 9 meses EC",DB_TOTAL!$N:$N,"&gt;="&amp;E$4,DB_TOTAL!$N:$N,"&lt;="&amp;E$5)/COUNTIFS(DB_TOTAL!$AI:$AI,"&lt;&gt;",DB_TOTAL!$N:$N,"&gt;="&amp;E$4,DB_TOTAL!$N:$N,"&lt;="&amp;E$5),0)</f>
        <v>0</v>
      </c>
      <c r="F47" s="47">
        <f>IFERROR(COUNTIFS(DB_TOTAL!$AI:$AI,"No - deserción 9 meses EC",DB_TOTAL!$N:$N,"&gt;="&amp;F$4,DB_TOTAL!$N:$N,"&lt;="&amp;F$5)/COUNTIFS(DB_TOTAL!$AI:$AI,"&lt;&gt;",DB_TOTAL!$N:$N,"&gt;="&amp;F$4,DB_TOTAL!$N:$N,"&lt;="&amp;F$5),0)</f>
        <v>0</v>
      </c>
      <c r="G47" s="48">
        <f>IFERROR(COUNTIFS(DB_TOTAL!$AI:$AI,"No - deserción 9 meses EC",DB_TOTAL!$N:$N,"&gt;="&amp;G$4,DB_TOTAL!$N:$N,"&lt;="&amp;G$5)/COUNTIFS(DB_TOTAL!$AI:$AI,"&lt;&gt;",DB_TOTAL!$N:$N,"&gt;="&amp;G$4,DB_TOTAL!$N:$N,"&lt;="&amp;G$5),0)</f>
        <v>0</v>
      </c>
    </row>
    <row r="48" spans="1:7" ht="30" x14ac:dyDescent="0.35">
      <c r="A48" s="106" t="s">
        <v>1940</v>
      </c>
      <c r="B48" s="47">
        <f>IFERROR(COUNTIF(DB_TOTAL!$AI:$AI,"No - deserción 12 meses EC")/COUNTA(DB_TOTAL!#REF!),0)</f>
        <v>0</v>
      </c>
      <c r="C48" s="47">
        <f>IFERROR(COUNTIFS(DB_TOTAL!$AI:$AI,"No - deserción 12 meses EC",DB_TOTAL!$N:$N,"&gt;="&amp;C$4,DB_TOTAL!$N:$N,"&lt;="&amp;C$5)/COUNTIFS(DB_TOTAL!$AI:$AI,"&lt;&gt;",DB_TOTAL!$N:$N,"&gt;="&amp;C$4,DB_TOTAL!$N:$N,"&lt;="&amp;C$5),0)</f>
        <v>0</v>
      </c>
      <c r="D48" s="47">
        <f>IFERROR(COUNTIFS(DB_TOTAL!$AI:$AI,"No - deserción 12 meses EC",DB_TOTAL!$N:$N,"&gt;="&amp;D$4,DB_TOTAL!$N:$N,"&lt;="&amp;D$5)/COUNTIFS(DB_TOTAL!$AI:$AI,"&lt;&gt;",DB_TOTAL!$N:$N,"&gt;="&amp;D$4,DB_TOTAL!$N:$N,"&lt;="&amp;D$5),0)</f>
        <v>0</v>
      </c>
      <c r="E48" s="47">
        <f>IFERROR(COUNTIFS(DB_TOTAL!$AI:$AI,"No - deserción 12 meses EC",DB_TOTAL!$N:$N,"&gt;="&amp;E$4,DB_TOTAL!$N:$N,"&lt;="&amp;E$5)/COUNTIFS(DB_TOTAL!$AI:$AI,"&lt;&gt;",DB_TOTAL!$N:$N,"&gt;="&amp;E$4,DB_TOTAL!$N:$N,"&lt;="&amp;E$5),0)</f>
        <v>0</v>
      </c>
      <c r="F48" s="47">
        <f>IFERROR(COUNTIFS(DB_TOTAL!$AI:$AI,"No - deserción 12 meses EC",DB_TOTAL!$N:$N,"&gt;="&amp;F$4,DB_TOTAL!$N:$N,"&lt;="&amp;F$5)/COUNTIFS(DB_TOTAL!$AI:$AI,"&lt;&gt;",DB_TOTAL!$N:$N,"&gt;="&amp;F$4,DB_TOTAL!$N:$N,"&lt;="&amp;F$5),0)</f>
        <v>0</v>
      </c>
      <c r="G48" s="48">
        <f>IFERROR(COUNTIFS(DB_TOTAL!$AI:$AI,"No - deserción 12 meses EC",DB_TOTAL!$N:$N,"&gt;="&amp;G$4,DB_TOTAL!$N:$N,"&lt;="&amp;G$5)/COUNTIFS(DB_TOTAL!$AI:$AI,"&lt;&gt;",DB_TOTAL!$N:$N,"&gt;="&amp;G$4,DB_TOTAL!$N:$N,"&lt;="&amp;G$5),0)</f>
        <v>0</v>
      </c>
    </row>
    <row r="49" spans="1:7" x14ac:dyDescent="0.35">
      <c r="A49" s="106" t="s">
        <v>1941</v>
      </c>
      <c r="B49" s="47">
        <f>IFERROR(COUNTIF(DB_TOTAL!$U:$U,"&lt;20")/COUNTA(DB_TOTAL!#REF!),0)</f>
        <v>0</v>
      </c>
      <c r="C49" s="47">
        <f>IFERROR(COUNTIFS(DB_TOTAL!$U:$U,"&lt;20",DB_TOTAL!$N:$N,"&gt;="&amp;C$4,DB_TOTAL!$N:$N,"&lt;="&amp;C$5)/COUNTIFS(DB_TOTAL!$U:$U,"&lt;&gt;",DB_TOTAL!$N:$N,"&gt;="&amp;C$4,DB_TOTAL!$N:$N,"&lt;="&amp;C$5),0)</f>
        <v>0</v>
      </c>
      <c r="D49" s="47">
        <f>IFERROR(COUNTIFS(DB_TOTAL!$U:$U,"&lt;20",DB_TOTAL!$N:$N,"&gt;="&amp;D$4,DB_TOTAL!$N:$N,"&lt;="&amp;D$5)/COUNTIFS(DB_TOTAL!$U:$U,"&lt;&gt;",DB_TOTAL!$N:$N,"&gt;="&amp;D$4,DB_TOTAL!$N:$N,"&lt;="&amp;D$5),0)</f>
        <v>0</v>
      </c>
      <c r="E49" s="47">
        <f>IFERROR(COUNTIFS(DB_TOTAL!$U:$U,"&lt;20",DB_TOTAL!$N:$N,"&gt;="&amp;E$4,DB_TOTAL!$N:$N,"&lt;="&amp;E$5)/COUNTIFS(DB_TOTAL!$U:$U,"&lt;&gt;",DB_TOTAL!$N:$N,"&gt;="&amp;E$4,DB_TOTAL!$N:$N,"&lt;="&amp;E$5),0)</f>
        <v>0</v>
      </c>
      <c r="F49" s="47">
        <f>IFERROR(COUNTIFS(DB_TOTAL!$U:$U,"&lt;20",DB_TOTAL!$N:$N,"&gt;="&amp;F$4,DB_TOTAL!$N:$N,"&lt;="&amp;F$5)/COUNTIFS(DB_TOTAL!$U:$U,"&lt;&gt;",DB_TOTAL!$N:$N,"&gt;="&amp;F$4,DB_TOTAL!$N:$N,"&lt;="&amp;F$5),0)</f>
        <v>0</v>
      </c>
      <c r="G49" s="48">
        <f>IFERROR(COUNTIFS(DB_TOTAL!$U:$U,"&lt;20",DB_TOTAL!$N:$N,"&gt;="&amp;G$4,DB_TOTAL!$N:$N,"&lt;="&amp;G$5)/COUNTIFS(DB_TOTAL!$U:$U,"&lt;&gt;",DB_TOTAL!$N:$N,"&gt;="&amp;G$4,DB_TOTAL!$N:$N,"&lt;="&amp;G$5),0)</f>
        <v>0</v>
      </c>
    </row>
    <row r="50" spans="1:7" x14ac:dyDescent="0.35">
      <c r="A50" s="106" t="s">
        <v>1942</v>
      </c>
      <c r="B50" s="49">
        <f>IFERROR(AVERAGE(DB_TOTAL!$V:$V),0)</f>
        <v>0</v>
      </c>
      <c r="C50" s="49">
        <f>IFERROR(AVERAGEIFS(DB_TOTAL!$V:$V,DB_TOTAL!$N:$N,"&gt;="&amp;C$4,DB_TOTAL!$N:$N,"&lt;="&amp;C$5),0)</f>
        <v>0</v>
      </c>
      <c r="D50" s="49">
        <f>IFERROR(AVERAGEIFS(DB_TOTAL!$V:$V,DB_TOTAL!$N:$N,"&gt;="&amp;D$4,DB_TOTAL!$N:$N,"&lt;="&amp;D$5),0)</f>
        <v>0</v>
      </c>
      <c r="E50" s="49">
        <f>IFERROR(AVERAGEIFS(DB_TOTAL!$V:$V,DB_TOTAL!$N:$N,"&gt;="&amp;E$4,DB_TOTAL!$N:$N,"&lt;="&amp;E$5),0)</f>
        <v>0</v>
      </c>
      <c r="F50" s="49">
        <f>IFERROR(AVERAGEIFS(DB_TOTAL!$V:$V,DB_TOTAL!$N:$N,"&gt;="&amp;F$4,DB_TOTAL!$N:$N,"&lt;="&amp;F$5),0)</f>
        <v>0</v>
      </c>
      <c r="G50" s="50">
        <f>IFERROR(AVERAGEIFS(DB_TOTAL!$V:$V,DB_TOTAL!$N:$N,"&gt;="&amp;G$4,DB_TOTAL!$N:$N,"&lt;="&amp;G$5),0)</f>
        <v>0</v>
      </c>
    </row>
    <row r="51" spans="1:7" ht="30" x14ac:dyDescent="0.35">
      <c r="A51" s="106" t="s">
        <v>1943</v>
      </c>
      <c r="B51" s="47">
        <f>IFERROR(COUNTIF(DB_TOTAL!$W:$W,"Primaria")/COUNTA(DB_TOTAL!#REF!),0)</f>
        <v>0</v>
      </c>
      <c r="C51" s="47">
        <f>IFERROR(COUNTIFS(DB_TOTAL!$W:$W,"Primaria",DB_TOTAL!$N:$N,"&gt;="&amp;C$4,DB_TOTAL!$N:$N,"&lt;="&amp;C$5)/COUNTIFS(DB_TOTAL!$W:$W,"&lt;&gt;",DB_TOTAL!$N:$N,"&gt;="&amp;C$4,DB_TOTAL!$N:$N,"&lt;="&amp;C$5),0)</f>
        <v>0</v>
      </c>
      <c r="D51" s="47">
        <f>IFERROR(COUNTIFS(DB_TOTAL!$W:$W,"Primaria",DB_TOTAL!$N:$N,"&gt;="&amp;D$4,DB_TOTAL!$N:$N,"&lt;="&amp;D$5)/COUNTIFS(DB_TOTAL!$W:$W,"&lt;&gt;",DB_TOTAL!$N:$N,"&gt;="&amp;D$4,DB_TOTAL!$N:$N,"&lt;="&amp;D$5),0)</f>
        <v>0</v>
      </c>
      <c r="E51" s="47">
        <f>IFERROR(COUNTIFS(DB_TOTAL!$W:$W,"Primaria",DB_TOTAL!$N:$N,"&gt;="&amp;E$4,DB_TOTAL!$N:$N,"&lt;="&amp;E$5)/COUNTIFS(DB_TOTAL!$W:$W,"&lt;&gt;",DB_TOTAL!$N:$N,"&gt;="&amp;E$4,DB_TOTAL!$N:$N,"&lt;="&amp;E$5),0)</f>
        <v>0</v>
      </c>
      <c r="F51" s="47">
        <f>IFERROR(COUNTIFS(DB_TOTAL!$W:$W,"Primaria",DB_TOTAL!$N:$N,"&gt;="&amp;F$4,DB_TOTAL!$N:$N,"&lt;="&amp;F$5)/COUNTIFS(DB_TOTAL!$W:$W,"&lt;&gt;",DB_TOTAL!$N:$N,"&gt;="&amp;F$4,DB_TOTAL!$N:$N,"&lt;="&amp;F$5),0)</f>
        <v>0</v>
      </c>
      <c r="G51" s="48">
        <f>IFERROR(COUNTIFS(DB_TOTAL!$W:$W,"Primaria",DB_TOTAL!$N:$N,"&gt;="&amp;G$4,DB_TOTAL!$N:$N,"&lt;="&amp;G$5)/COUNTIFS(DB_TOTAL!$W:$W,"&lt;&gt;",DB_TOTAL!$N:$N,"&gt;="&amp;G$4,DB_TOTAL!$N:$N,"&lt;="&amp;G$5),0)</f>
        <v>0</v>
      </c>
    </row>
    <row r="52" spans="1:7" x14ac:dyDescent="0.35">
      <c r="A52" s="106" t="s">
        <v>1944</v>
      </c>
      <c r="B52" s="47">
        <f>IFERROR(COUNTIF(DB_TOTAL!$X:$X,"Soltera sola")/COUNTA(DB_TOTAL!#REF!),0)</f>
        <v>0</v>
      </c>
      <c r="C52" s="47">
        <f>IFERROR(COUNTIFS(DB_TOTAL!$X:$X,"Soltera sola",DB_TOTAL!$N:$N,"&gt;="&amp;C$4,DB_TOTAL!$N:$N,"&lt;="&amp;C$5)/COUNTIFS(DB_TOTAL!$X:$X,"&lt;&gt;",DB_TOTAL!$N:$N,"&gt;="&amp;C$4,DB_TOTAL!$N:$N,"&lt;="&amp;C$5),0)</f>
        <v>0</v>
      </c>
      <c r="D52" s="47">
        <f>IFERROR(COUNTIFS(DB_TOTAL!$X:$X,"Soltera sola",DB_TOTAL!$N:$N,"&gt;="&amp;D$4,DB_TOTAL!$N:$N,"&lt;="&amp;D$5)/COUNTIFS(DB_TOTAL!$X:$X,"&lt;&gt;",DB_TOTAL!$N:$N,"&gt;="&amp;D$4,DB_TOTAL!$N:$N,"&lt;="&amp;D$5),0)</f>
        <v>0</v>
      </c>
      <c r="E52" s="47">
        <f>IFERROR(COUNTIFS(DB_TOTAL!$X:$X,"Soltera sola",DB_TOTAL!$N:$N,"&gt;="&amp;E$4,DB_TOTAL!$N:$N,"&lt;="&amp;E$5)/COUNTIFS(DB_TOTAL!$X:$X,"&lt;&gt;",DB_TOTAL!$N:$N,"&gt;="&amp;E$4,DB_TOTAL!$N:$N,"&lt;="&amp;E$5),0)</f>
        <v>0</v>
      </c>
      <c r="F52" s="47">
        <f>IFERROR(COUNTIFS(DB_TOTAL!$X:$X,"Soltera sola",DB_TOTAL!$N:$N,"&gt;="&amp;F$4,DB_TOTAL!$N:$N,"&lt;="&amp;F$5)/COUNTIFS(DB_TOTAL!$X:$X,"&lt;&gt;",DB_TOTAL!$N:$N,"&gt;="&amp;F$4,DB_TOTAL!$N:$N,"&lt;="&amp;F$5),0)</f>
        <v>0</v>
      </c>
      <c r="G52" s="48">
        <f>IFERROR(COUNTIFS(DB_TOTAL!$X:$X,"Soltera sola",DB_TOTAL!$N:$N,"&gt;="&amp;G$4,DB_TOTAL!$N:$N,"&lt;="&amp;G$5)/COUNTIFS(DB_TOTAL!$X:$X,"&lt;&gt;",DB_TOTAL!$N:$N,"&gt;="&amp;G$4,DB_TOTAL!$N:$N,"&lt;="&amp;G$5),0)</f>
        <v>0</v>
      </c>
    </row>
    <row r="53" spans="1:7" x14ac:dyDescent="0.35">
      <c r="A53" s="106" t="s">
        <v>1945</v>
      </c>
      <c r="B53" s="47">
        <f>IFERROR(COUNTIF(DB_TOTAL!$Y:$Y,"No")/COUNTA(DB_TOTAL!#REF!),0)</f>
        <v>0</v>
      </c>
      <c r="C53" s="47">
        <f>IFERROR(COUNTIFS(DB_TOTAL!$Y:$Y,"No",DB_TOTAL!$N:$N,"&gt;="&amp;C$4,DB_TOTAL!$N:$N,"&lt;="&amp;C$5)/COUNTIFS(DB_TOTAL!$Y:$Y,"&lt;&gt;",DB_TOTAL!$N:$N,"&gt;="&amp;C$4,DB_TOTAL!$N:$N,"&lt;="&amp;C$5),0)</f>
        <v>0</v>
      </c>
      <c r="D53" s="47">
        <f>IFERROR(COUNTIFS(DB_TOTAL!$Y:$Y,"No",DB_TOTAL!$N:$N,"&gt;="&amp;D$4,DB_TOTAL!$N:$N,"&lt;="&amp;D$5)/COUNTIFS(DB_TOTAL!$Y:$Y,"&lt;&gt;",DB_TOTAL!$N:$N,"&gt;="&amp;D$4,DB_TOTAL!$N:$N,"&lt;="&amp;D$5),0)</f>
        <v>0</v>
      </c>
      <c r="E53" s="47">
        <f>IFERROR(COUNTIFS(DB_TOTAL!$Y:$Y,"No",DB_TOTAL!$N:$N,"&gt;="&amp;E$4,DB_TOTAL!$N:$N,"&lt;="&amp;E$5)/COUNTIFS(DB_TOTAL!$Y:$Y,"&lt;&gt;",DB_TOTAL!$N:$N,"&gt;="&amp;E$4,DB_TOTAL!$N:$N,"&lt;="&amp;E$5),0)</f>
        <v>0</v>
      </c>
      <c r="F53" s="47">
        <f>IFERROR(COUNTIFS(DB_TOTAL!$Y:$Y,"No",DB_TOTAL!$N:$N,"&gt;="&amp;F$4,DB_TOTAL!$N:$N,"&lt;="&amp;F$5)/COUNTIFS(DB_TOTAL!$Y:$Y,"&lt;&gt;",DB_TOTAL!$N:$N,"&gt;="&amp;F$4,DB_TOTAL!$N:$N,"&lt;="&amp;F$5),0)</f>
        <v>0</v>
      </c>
      <c r="G53" s="48">
        <f>IFERROR(COUNTIFS(DB_TOTAL!$Y:$Y,"No",DB_TOTAL!$N:$N,"&gt;="&amp;G$4,DB_TOTAL!$N:$N,"&lt;="&amp;G$5)/COUNTIFS(DB_TOTAL!$Y:$Y,"&lt;&gt;",DB_TOTAL!$N:$N,"&gt;="&amp;G$4,DB_TOTAL!$N:$N,"&lt;="&amp;G$5),0)</f>
        <v>0</v>
      </c>
    </row>
    <row r="54" spans="1:7" x14ac:dyDescent="0.35">
      <c r="A54" s="106" t="s">
        <v>1946</v>
      </c>
      <c r="B54" s="47">
        <f>IFERROR(COUNTIF(DB_TOTAL!$Z:$Z,"Sí")/COUNTA(DB_TOTAL!#REF!),0)</f>
        <v>0</v>
      </c>
      <c r="C54" s="47">
        <f>IFERROR(COUNTIFS(DB_TOTAL!$Z:$Z,"Sí",DB_TOTAL!$N:$N,"&gt;="&amp;C$4,DB_TOTAL!$N:$N,"&lt;="&amp;C$5)/COUNTIFS(DB_TOTAL!$Z:$Z,"&lt;&gt;",DB_TOTAL!$N:$N,"&gt;="&amp;C$4,DB_TOTAL!$N:$N,"&lt;="&amp;C$5),0)</f>
        <v>0</v>
      </c>
      <c r="D54" s="47">
        <f>IFERROR(COUNTIFS(DB_TOTAL!$Z:$Z,"Sí",DB_TOTAL!$N:$N,"&gt;="&amp;D$4,DB_TOTAL!$N:$N,"&lt;="&amp;D$5)/COUNTIFS(DB_TOTAL!$Z:$Z,"&lt;&gt;",DB_TOTAL!$N:$N,"&gt;="&amp;D$4,DB_TOTAL!$N:$N,"&lt;="&amp;D$5),0)</f>
        <v>0</v>
      </c>
      <c r="E54" s="47">
        <f>IFERROR(COUNTIFS(DB_TOTAL!$Z:$Z,"Sí",DB_TOTAL!$N:$N,"&gt;="&amp;E$4,DB_TOTAL!$N:$N,"&lt;="&amp;E$5)/COUNTIFS(DB_TOTAL!$Z:$Z,"&lt;&gt;",DB_TOTAL!$N:$N,"&gt;="&amp;E$4,DB_TOTAL!$N:$N,"&lt;="&amp;E$5),0)</f>
        <v>0</v>
      </c>
      <c r="F54" s="47">
        <f>IFERROR(COUNTIFS(DB_TOTAL!$Z:$Z,"Sí",DB_TOTAL!$N:$N,"&gt;="&amp;F$4,DB_TOTAL!$N:$N,"&lt;="&amp;F$5)/COUNTIFS(DB_TOTAL!$Z:$Z,"&lt;&gt;",DB_TOTAL!$N:$N,"&gt;="&amp;F$4,DB_TOTAL!$N:$N,"&lt;="&amp;F$5),0)</f>
        <v>0</v>
      </c>
      <c r="G54" s="48">
        <f>IFERROR(COUNTIFS(DB_TOTAL!$Z:$Z,"Sí",DB_TOTAL!$N:$N,"&gt;="&amp;G$4,DB_TOTAL!$N:$N,"&lt;="&amp;G$5)/COUNTIFS(DB_TOTAL!$Z:$Z,"&lt;&gt;",DB_TOTAL!$N:$N,"&gt;="&amp;G$4,DB_TOTAL!$N:$N,"&lt;="&amp;G$5),0)</f>
        <v>0</v>
      </c>
    </row>
    <row r="55" spans="1:7" ht="30" x14ac:dyDescent="0.35">
      <c r="A55" s="106" t="s">
        <v>1947</v>
      </c>
      <c r="B55" s="47">
        <f>IFERROR(COUNTIF(DB_TOTAL!$AA:$AA,"Sí")/COUNTA(DB_TOTAL!#REF!),0)</f>
        <v>0</v>
      </c>
      <c r="C55" s="47">
        <f>IFERROR(COUNTIFS(DB_TOTAL!$AA:$AA,"Sí",DB_TOTAL!$N:$N,"&gt;="&amp;C$4,DB_TOTAL!$N:$N,"&lt;="&amp;C$5)/COUNTIFS(DB_TOTAL!$AA:$AA,"&lt;&gt;",DB_TOTAL!$N:$N,"&gt;="&amp;C$4,DB_TOTAL!$N:$N,"&lt;="&amp;C$5),0)</f>
        <v>0</v>
      </c>
      <c r="D55" s="47">
        <f>IFERROR(COUNTIFS(DB_TOTAL!$AA:$AA,"Sí",DB_TOTAL!$N:$N,"&gt;="&amp;D$4,DB_TOTAL!$N:$N,"&lt;="&amp;D$5)/COUNTIFS(DB_TOTAL!$AA:$AA,"&lt;&gt;",DB_TOTAL!$N:$N,"&gt;="&amp;D$4,DB_TOTAL!$N:$N,"&lt;="&amp;D$5),0)</f>
        <v>0</v>
      </c>
      <c r="E55" s="47">
        <f>IFERROR(COUNTIFS(DB_TOTAL!$AA:$AA,"Sí",DB_TOTAL!$N:$N,"&gt;="&amp;E$4,DB_TOTAL!$N:$N,"&lt;="&amp;E$5)/COUNTIFS(DB_TOTAL!$AA:$AA,"&lt;&gt;",DB_TOTAL!$N:$N,"&gt;="&amp;E$4,DB_TOTAL!$N:$N,"&lt;="&amp;E$5),0)</f>
        <v>0</v>
      </c>
      <c r="F55" s="47">
        <f>IFERROR(COUNTIFS(DB_TOTAL!$AA:$AA,"Sí",DB_TOTAL!$N:$N,"&gt;="&amp;F$4,DB_TOTAL!$N:$N,"&lt;="&amp;F$5)/COUNTIFS(DB_TOTAL!$AA:$AA,"&lt;&gt;",DB_TOTAL!$N:$N,"&gt;="&amp;F$4,DB_TOTAL!$N:$N,"&lt;="&amp;F$5),0)</f>
        <v>0</v>
      </c>
      <c r="G55" s="48">
        <f>IFERROR(COUNTIFS(DB_TOTAL!$AA:$AA,"Sí",DB_TOTAL!$N:$N,"&gt;="&amp;G$4,DB_TOTAL!$N:$N,"&lt;="&amp;G$5)/COUNTIFS(DB_TOTAL!$AA:$AA,"&lt;&gt;",DB_TOTAL!$N:$N,"&gt;="&amp;G$4,DB_TOTAL!$N:$N,"&lt;="&amp;G$5),0)</f>
        <v>0</v>
      </c>
    </row>
    <row r="56" spans="1:7" ht="15.6" thickBot="1" x14ac:dyDescent="0.4">
      <c r="A56" s="108" t="s">
        <v>1948</v>
      </c>
      <c r="B56" s="51">
        <f>IFERROR(COUNTIF(DB_TOTAL!$AB:$AB,"Sí")/COUNTA(DB_TOTAL!#REF!),0)</f>
        <v>0</v>
      </c>
      <c r="C56" s="51">
        <f>IFERROR(COUNTIFS(DB_TOTAL!$AB:$AB,"Sí",DB_TOTAL!$N:$N,"&gt;="&amp;C$4,DB_TOTAL!$N:$N,"&lt;="&amp;C$5)/COUNTIFS(DB_TOTAL!$AB:$AB,"&lt;&gt;",DB_TOTAL!$N:$N,"&gt;="&amp;C$4,DB_TOTAL!$N:$N,"&lt;="&amp;C$5),0)</f>
        <v>0</v>
      </c>
      <c r="D56" s="51">
        <f>IFERROR(COUNTIFS(DB_TOTAL!$AB:$AB,"Sí",DB_TOTAL!$N:$N,"&gt;="&amp;D$4,DB_TOTAL!$N:$N,"&lt;="&amp;D$5)/COUNTIFS(DB_TOTAL!$AB:$AB,"&lt;&gt;",DB_TOTAL!$N:$N,"&gt;="&amp;D$4,DB_TOTAL!$N:$N,"&lt;="&amp;D$5),0)</f>
        <v>0</v>
      </c>
      <c r="E56" s="51">
        <f>IFERROR(COUNTIFS(DB_TOTAL!$AB:$AB,"Sí",DB_TOTAL!$N:$N,"&gt;="&amp;E$4,DB_TOTAL!$N:$N,"&lt;="&amp;E$5)/COUNTIFS(DB_TOTAL!$AB:$AB,"&lt;&gt;",DB_TOTAL!$N:$N,"&gt;="&amp;E$4,DB_TOTAL!$N:$N,"&lt;="&amp;E$5),0)</f>
        <v>0</v>
      </c>
      <c r="F56" s="51">
        <f>IFERROR(COUNTIFS(DB_TOTAL!$AB:$AB,"Sí",DB_TOTAL!$N:$N,"&gt;="&amp;F$4,DB_TOTAL!$N:$N,"&lt;="&amp;F$5)/COUNTIFS(DB_TOTAL!$AB:$AB,"&lt;&gt;",DB_TOTAL!$N:$N,"&gt;="&amp;F$4,DB_TOTAL!$N:$N,"&lt;="&amp;F$5),0)</f>
        <v>0</v>
      </c>
      <c r="G56" s="52">
        <f>IFERROR(COUNTIFS(DB_TOTAL!$AB:$AB,"Sí",DB_TOTAL!$N:$N,"&gt;="&amp;G$4,DB_TOTAL!$N:$N,"&lt;="&amp;G$5)/COUNTIFS(DB_TOTAL!$AB:$AB,"&lt;&gt;",DB_TOTAL!$N:$N,"&gt;="&amp;G$4,DB_TOTAL!$N:$N,"&lt;="&amp;G$5),0)</f>
        <v>0</v>
      </c>
    </row>
    <row r="57" spans="1:7" ht="15.6" thickBot="1" x14ac:dyDescent="0.4">
      <c r="A57" s="136" t="s">
        <v>1949</v>
      </c>
      <c r="B57" s="137"/>
      <c r="C57" s="137"/>
      <c r="D57" s="137"/>
      <c r="E57" s="137"/>
      <c r="F57" s="137"/>
      <c r="G57" s="138"/>
    </row>
    <row r="58" spans="1:7" x14ac:dyDescent="0.35">
      <c r="A58" s="105" t="s">
        <v>1950</v>
      </c>
      <c r="B58" s="45"/>
      <c r="C58" s="45"/>
      <c r="D58" s="45"/>
      <c r="E58" s="45"/>
      <c r="F58" s="45"/>
      <c r="G58" s="46"/>
    </row>
    <row r="59" spans="1:7" ht="30" x14ac:dyDescent="0.35">
      <c r="A59" s="106" t="s">
        <v>1951</v>
      </c>
      <c r="B59" s="47"/>
      <c r="C59" s="47"/>
      <c r="D59" s="47"/>
      <c r="E59" s="47"/>
      <c r="F59" s="47"/>
      <c r="G59" s="48"/>
    </row>
    <row r="60" spans="1:7" ht="30" x14ac:dyDescent="0.35">
      <c r="A60" s="106" t="s">
        <v>1952</v>
      </c>
      <c r="B60" s="47"/>
      <c r="C60" s="47"/>
      <c r="D60" s="47"/>
      <c r="E60" s="47"/>
      <c r="F60" s="47"/>
      <c r="G60" s="48"/>
    </row>
    <row r="61" spans="1:7" ht="30" x14ac:dyDescent="0.35">
      <c r="A61" s="106" t="s">
        <v>1953</v>
      </c>
      <c r="B61" s="47"/>
      <c r="C61" s="47"/>
      <c r="D61" s="47"/>
      <c r="E61" s="47"/>
      <c r="F61" s="47"/>
      <c r="G61" s="48"/>
    </row>
    <row r="62" spans="1:7" ht="30" x14ac:dyDescent="0.35">
      <c r="A62" s="106" t="s">
        <v>1954</v>
      </c>
      <c r="B62" s="47"/>
      <c r="C62" s="47"/>
      <c r="D62" s="47"/>
      <c r="E62" s="47"/>
      <c r="F62" s="47"/>
      <c r="G62" s="48"/>
    </row>
    <row r="63" spans="1:7" ht="30" x14ac:dyDescent="0.35">
      <c r="A63" s="106" t="s">
        <v>1955</v>
      </c>
      <c r="B63" s="47"/>
      <c r="C63" s="47"/>
      <c r="D63" s="47"/>
      <c r="E63" s="47"/>
      <c r="F63" s="47"/>
      <c r="G63" s="48"/>
    </row>
    <row r="64" spans="1:7" ht="30" x14ac:dyDescent="0.35">
      <c r="A64" s="106" t="s">
        <v>1956</v>
      </c>
      <c r="B64" s="47"/>
      <c r="C64" s="47"/>
      <c r="D64" s="47"/>
      <c r="E64" s="47"/>
      <c r="F64" s="47"/>
      <c r="G64" s="48"/>
    </row>
    <row r="65" spans="1:7" ht="30" x14ac:dyDescent="0.35">
      <c r="A65" s="106" t="s">
        <v>1957</v>
      </c>
      <c r="B65" s="47"/>
      <c r="C65" s="47"/>
      <c r="D65" s="47"/>
      <c r="E65" s="47"/>
      <c r="F65" s="47"/>
      <c r="G65" s="48"/>
    </row>
    <row r="66" spans="1:7" ht="30" x14ac:dyDescent="0.35">
      <c r="A66" s="106" t="s">
        <v>1958</v>
      </c>
      <c r="B66" s="47"/>
      <c r="C66" s="47"/>
      <c r="D66" s="47"/>
      <c r="E66" s="47"/>
      <c r="F66" s="47"/>
      <c r="G66" s="48"/>
    </row>
    <row r="67" spans="1:7" ht="30" x14ac:dyDescent="0.35">
      <c r="A67" s="106" t="s">
        <v>1959</v>
      </c>
      <c r="B67" s="47"/>
      <c r="C67" s="47"/>
      <c r="D67" s="47"/>
      <c r="E67" s="47"/>
      <c r="F67" s="47"/>
      <c r="G67" s="48"/>
    </row>
    <row r="68" spans="1:7" ht="30" x14ac:dyDescent="0.35">
      <c r="A68" s="106" t="s">
        <v>1960</v>
      </c>
      <c r="B68" s="47"/>
      <c r="C68" s="47"/>
      <c r="D68" s="47"/>
      <c r="E68" s="47"/>
      <c r="F68" s="47"/>
      <c r="G68" s="48"/>
    </row>
    <row r="69" spans="1:7" ht="30" x14ac:dyDescent="0.35">
      <c r="A69" s="106" t="s">
        <v>1961</v>
      </c>
      <c r="B69" s="47"/>
      <c r="C69" s="47"/>
      <c r="D69" s="47"/>
      <c r="E69" s="47"/>
      <c r="F69" s="47"/>
      <c r="G69" s="48"/>
    </row>
    <row r="70" spans="1:7" ht="30" x14ac:dyDescent="0.35">
      <c r="A70" s="106" t="s">
        <v>1962</v>
      </c>
      <c r="B70" s="47"/>
      <c r="C70" s="47"/>
      <c r="D70" s="47"/>
      <c r="E70" s="47"/>
      <c r="F70" s="47"/>
      <c r="G70" s="48"/>
    </row>
    <row r="71" spans="1:7" ht="30" x14ac:dyDescent="0.35">
      <c r="A71" s="106" t="s">
        <v>1963</v>
      </c>
      <c r="B71" s="47"/>
      <c r="C71" s="47"/>
      <c r="D71" s="47"/>
      <c r="E71" s="47"/>
      <c r="F71" s="47"/>
      <c r="G71" s="48"/>
    </row>
    <row r="72" spans="1:7" ht="30.6" thickBot="1" x14ac:dyDescent="0.4">
      <c r="A72" s="108" t="s">
        <v>1964</v>
      </c>
      <c r="B72" s="51"/>
      <c r="C72" s="51"/>
      <c r="D72" s="51"/>
      <c r="E72" s="51"/>
      <c r="F72" s="51"/>
      <c r="G72" s="52"/>
    </row>
    <row r="73" spans="1:7" ht="15.6" thickBot="1" x14ac:dyDescent="0.4">
      <c r="A73" s="136" t="s">
        <v>1965</v>
      </c>
      <c r="B73" s="137"/>
      <c r="C73" s="137"/>
      <c r="D73" s="137"/>
      <c r="E73" s="137"/>
      <c r="F73" s="137"/>
      <c r="G73" s="138"/>
    </row>
    <row r="74" spans="1:7" ht="30" x14ac:dyDescent="0.35">
      <c r="A74" s="105" t="s">
        <v>1966</v>
      </c>
      <c r="B74" s="45"/>
      <c r="C74" s="45"/>
      <c r="D74" s="45"/>
      <c r="E74" s="45"/>
      <c r="F74" s="45"/>
      <c r="G74" s="46"/>
    </row>
    <row r="75" spans="1:7" ht="30" x14ac:dyDescent="0.35">
      <c r="A75" s="106" t="s">
        <v>1967</v>
      </c>
      <c r="B75" s="47"/>
      <c r="C75" s="47"/>
      <c r="D75" s="47"/>
      <c r="E75" s="47"/>
      <c r="F75" s="47"/>
      <c r="G75" s="48"/>
    </row>
    <row r="76" spans="1:7" ht="30" x14ac:dyDescent="0.35">
      <c r="A76" s="106" t="s">
        <v>1968</v>
      </c>
      <c r="B76" s="47"/>
      <c r="C76" s="47"/>
      <c r="D76" s="47"/>
      <c r="E76" s="47"/>
      <c r="F76" s="47"/>
      <c r="G76" s="48"/>
    </row>
    <row r="77" spans="1:7" ht="30" x14ac:dyDescent="0.35">
      <c r="A77" s="106" t="s">
        <v>1969</v>
      </c>
      <c r="B77" s="47"/>
      <c r="C77" s="47"/>
      <c r="D77" s="47"/>
      <c r="E77" s="47"/>
      <c r="F77" s="47"/>
      <c r="G77" s="48"/>
    </row>
    <row r="78" spans="1:7" ht="30" x14ac:dyDescent="0.35">
      <c r="A78" s="106" t="s">
        <v>1970</v>
      </c>
      <c r="B78" s="53"/>
      <c r="C78" s="53"/>
      <c r="D78" s="53"/>
      <c r="E78" s="53"/>
      <c r="F78" s="53"/>
      <c r="G78" s="54"/>
    </row>
    <row r="79" spans="1:7" ht="30" x14ac:dyDescent="0.35">
      <c r="A79" s="106" t="s">
        <v>1971</v>
      </c>
      <c r="B79" s="53"/>
      <c r="C79" s="53"/>
      <c r="D79" s="53"/>
      <c r="E79" s="53"/>
      <c r="F79" s="53"/>
      <c r="G79" s="54"/>
    </row>
    <row r="80" spans="1:7" ht="30" x14ac:dyDescent="0.35">
      <c r="A80" s="106" t="s">
        <v>1972</v>
      </c>
      <c r="B80" s="53"/>
      <c r="C80" s="53"/>
      <c r="D80" s="53"/>
      <c r="E80" s="53"/>
      <c r="F80" s="53"/>
      <c r="G80" s="54"/>
    </row>
    <row r="81" spans="1:7" ht="30" x14ac:dyDescent="0.35">
      <c r="A81" s="106" t="s">
        <v>1973</v>
      </c>
      <c r="B81" s="53"/>
      <c r="C81" s="53"/>
      <c r="D81" s="53"/>
      <c r="E81" s="53"/>
      <c r="F81" s="53"/>
      <c r="G81" s="54"/>
    </row>
    <row r="82" spans="1:7" ht="30" x14ac:dyDescent="0.35">
      <c r="A82" s="106" t="s">
        <v>1974</v>
      </c>
      <c r="B82" s="53"/>
      <c r="C82" s="53"/>
      <c r="D82" s="53"/>
      <c r="E82" s="53"/>
      <c r="F82" s="53"/>
      <c r="G82" s="54"/>
    </row>
    <row r="83" spans="1:7" ht="30" x14ac:dyDescent="0.35">
      <c r="A83" s="106" t="s">
        <v>1975</v>
      </c>
      <c r="B83" s="53"/>
      <c r="C83" s="53"/>
      <c r="D83" s="53"/>
      <c r="E83" s="53"/>
      <c r="F83" s="53"/>
      <c r="G83" s="54"/>
    </row>
    <row r="84" spans="1:7" ht="30" x14ac:dyDescent="0.35">
      <c r="A84" s="106" t="s">
        <v>1976</v>
      </c>
      <c r="B84" s="53"/>
      <c r="C84" s="53"/>
      <c r="D84" s="53"/>
      <c r="E84" s="53"/>
      <c r="F84" s="53"/>
      <c r="G84" s="54"/>
    </row>
    <row r="85" spans="1:7" ht="30" x14ac:dyDescent="0.35">
      <c r="A85" s="106" t="s">
        <v>1977</v>
      </c>
      <c r="B85" s="53"/>
      <c r="C85" s="53"/>
      <c r="D85" s="53"/>
      <c r="E85" s="53"/>
      <c r="F85" s="53"/>
      <c r="G85" s="54"/>
    </row>
    <row r="86" spans="1:7" ht="30" x14ac:dyDescent="0.35">
      <c r="A86" s="106" t="s">
        <v>1978</v>
      </c>
      <c r="B86" s="53"/>
      <c r="C86" s="53"/>
      <c r="D86" s="53"/>
      <c r="E86" s="53"/>
      <c r="F86" s="53"/>
      <c r="G86" s="54"/>
    </row>
    <row r="87" spans="1:7" ht="30" x14ac:dyDescent="0.35">
      <c r="A87" s="106" t="s">
        <v>1979</v>
      </c>
      <c r="B87" s="53"/>
      <c r="C87" s="53"/>
      <c r="D87" s="53"/>
      <c r="E87" s="53"/>
      <c r="F87" s="53"/>
      <c r="G87" s="54"/>
    </row>
    <row r="88" spans="1:7" ht="30" x14ac:dyDescent="0.35">
      <c r="A88" s="106" t="s">
        <v>1980</v>
      </c>
      <c r="B88" s="53"/>
      <c r="C88" s="53"/>
      <c r="D88" s="53"/>
      <c r="E88" s="53"/>
      <c r="F88" s="53"/>
      <c r="G88" s="54"/>
    </row>
    <row r="89" spans="1:7" ht="30" x14ac:dyDescent="0.35">
      <c r="A89" s="106" t="s">
        <v>1981</v>
      </c>
      <c r="B89" s="53"/>
      <c r="C89" s="53"/>
      <c r="D89" s="53"/>
      <c r="E89" s="53"/>
      <c r="F89" s="53"/>
      <c r="G89" s="54"/>
    </row>
    <row r="90" spans="1:7" ht="30" x14ac:dyDescent="0.35">
      <c r="A90" s="106" t="s">
        <v>1982</v>
      </c>
      <c r="B90" s="47"/>
      <c r="C90" s="47"/>
      <c r="D90" s="47"/>
      <c r="E90" s="47"/>
      <c r="F90" s="47"/>
      <c r="G90" s="48"/>
    </row>
    <row r="91" spans="1:7" ht="30" x14ac:dyDescent="0.35">
      <c r="A91" s="106" t="s">
        <v>1983</v>
      </c>
      <c r="B91" s="47"/>
      <c r="C91" s="47"/>
      <c r="D91" s="47"/>
      <c r="E91" s="47"/>
      <c r="F91" s="47"/>
      <c r="G91" s="48"/>
    </row>
    <row r="92" spans="1:7" ht="30" x14ac:dyDescent="0.35">
      <c r="A92" s="106" t="s">
        <v>1984</v>
      </c>
      <c r="B92" s="47"/>
      <c r="C92" s="47"/>
      <c r="D92" s="47"/>
      <c r="E92" s="47"/>
      <c r="F92" s="47"/>
      <c r="G92" s="48"/>
    </row>
    <row r="93" spans="1:7" ht="30" x14ac:dyDescent="0.35">
      <c r="A93" s="106" t="s">
        <v>1985</v>
      </c>
      <c r="B93" s="47"/>
      <c r="C93" s="47"/>
      <c r="D93" s="47"/>
      <c r="E93" s="47"/>
      <c r="F93" s="47"/>
      <c r="G93" s="48"/>
    </row>
    <row r="94" spans="1:7" ht="30" x14ac:dyDescent="0.35">
      <c r="A94" s="106" t="s">
        <v>1986</v>
      </c>
      <c r="B94" s="47"/>
      <c r="C94" s="47"/>
      <c r="D94" s="47"/>
      <c r="E94" s="47"/>
      <c r="F94" s="47"/>
      <c r="G94" s="48"/>
    </row>
    <row r="95" spans="1:7" ht="30.6" thickBot="1" x14ac:dyDescent="0.4">
      <c r="A95" s="108" t="s">
        <v>1987</v>
      </c>
      <c r="B95" s="51"/>
      <c r="C95" s="51"/>
      <c r="D95" s="51"/>
      <c r="E95" s="51"/>
      <c r="F95" s="51"/>
      <c r="G95" s="52"/>
    </row>
    <row r="96" spans="1:7" ht="15.6" thickBot="1" x14ac:dyDescent="0.4">
      <c r="A96" s="136" t="s">
        <v>1988</v>
      </c>
      <c r="B96" s="137"/>
      <c r="C96" s="137"/>
      <c r="D96" s="137"/>
      <c r="E96" s="137"/>
      <c r="F96" s="137"/>
      <c r="G96" s="138"/>
    </row>
    <row r="97" spans="1:7" x14ac:dyDescent="0.35">
      <c r="A97" s="105" t="s">
        <v>1989</v>
      </c>
      <c r="B97" s="55"/>
      <c r="C97" s="55"/>
      <c r="D97" s="55"/>
      <c r="E97" s="55"/>
      <c r="F97" s="55"/>
      <c r="G97" s="56"/>
    </row>
    <row r="98" spans="1:7" x14ac:dyDescent="0.35">
      <c r="A98" s="106" t="s">
        <v>1990</v>
      </c>
      <c r="B98" s="53"/>
      <c r="C98" s="53"/>
      <c r="D98" s="53"/>
      <c r="E98" s="53"/>
      <c r="F98" s="53"/>
      <c r="G98" s="54"/>
    </row>
    <row r="99" spans="1:7" ht="30" x14ac:dyDescent="0.35">
      <c r="A99" s="106" t="s">
        <v>1991</v>
      </c>
      <c r="B99" s="53"/>
      <c r="C99" s="53"/>
      <c r="D99" s="53"/>
      <c r="E99" s="53"/>
      <c r="F99" s="53"/>
      <c r="G99" s="54"/>
    </row>
    <row r="100" spans="1:7" ht="30" x14ac:dyDescent="0.35">
      <c r="A100" s="106" t="s">
        <v>1992</v>
      </c>
      <c r="B100" s="53"/>
      <c r="C100" s="53"/>
      <c r="D100" s="53"/>
      <c r="E100" s="53"/>
      <c r="F100" s="53"/>
      <c r="G100" s="54"/>
    </row>
    <row r="101" spans="1:7" ht="30" x14ac:dyDescent="0.35">
      <c r="A101" s="106" t="s">
        <v>1993</v>
      </c>
      <c r="B101" s="53"/>
      <c r="C101" s="53"/>
      <c r="D101" s="53"/>
      <c r="E101" s="53"/>
      <c r="F101" s="53"/>
      <c r="G101" s="54"/>
    </row>
    <row r="102" spans="1:7" ht="30" x14ac:dyDescent="0.35">
      <c r="A102" s="106" t="s">
        <v>1994</v>
      </c>
      <c r="B102" s="53"/>
      <c r="C102" s="53"/>
      <c r="D102" s="53"/>
      <c r="E102" s="53"/>
      <c r="F102" s="53"/>
      <c r="G102" s="54"/>
    </row>
    <row r="103" spans="1:7" ht="30" x14ac:dyDescent="0.35">
      <c r="A103" s="106" t="s">
        <v>1995</v>
      </c>
      <c r="B103" s="53"/>
      <c r="C103" s="53"/>
      <c r="D103" s="53"/>
      <c r="E103" s="53"/>
      <c r="F103" s="53"/>
      <c r="G103" s="54"/>
    </row>
    <row r="104" spans="1:7" ht="30" x14ac:dyDescent="0.35">
      <c r="A104" s="106" t="s">
        <v>1996</v>
      </c>
      <c r="B104" s="53"/>
      <c r="C104" s="53"/>
      <c r="D104" s="53"/>
      <c r="E104" s="53"/>
      <c r="F104" s="53"/>
      <c r="G104" s="54"/>
    </row>
    <row r="105" spans="1:7" ht="30" x14ac:dyDescent="0.35">
      <c r="A105" s="106" t="s">
        <v>1997</v>
      </c>
      <c r="B105" s="53"/>
      <c r="C105" s="53"/>
      <c r="D105" s="53"/>
      <c r="E105" s="53"/>
      <c r="F105" s="53"/>
      <c r="G105" s="54"/>
    </row>
    <row r="106" spans="1:7" ht="30" x14ac:dyDescent="0.35">
      <c r="A106" s="106" t="s">
        <v>1998</v>
      </c>
      <c r="B106" s="47"/>
      <c r="C106" s="47"/>
      <c r="D106" s="47"/>
      <c r="E106" s="47"/>
      <c r="F106" s="47"/>
      <c r="G106" s="48"/>
    </row>
    <row r="107" spans="1:7" ht="30" x14ac:dyDescent="0.35">
      <c r="A107" s="106" t="s">
        <v>1999</v>
      </c>
      <c r="B107" s="47"/>
      <c r="C107" s="47"/>
      <c r="D107" s="47"/>
      <c r="E107" s="47"/>
      <c r="F107" s="47"/>
      <c r="G107" s="48"/>
    </row>
    <row r="108" spans="1:7" ht="30" x14ac:dyDescent="0.35">
      <c r="A108" s="106" t="s">
        <v>2000</v>
      </c>
      <c r="B108" s="47"/>
      <c r="C108" s="47"/>
      <c r="D108" s="47"/>
      <c r="E108" s="47"/>
      <c r="F108" s="47"/>
      <c r="G108" s="48"/>
    </row>
    <row r="109" spans="1:7" ht="30" x14ac:dyDescent="0.35">
      <c r="A109" s="106" t="s">
        <v>2001</v>
      </c>
      <c r="B109" s="53"/>
      <c r="C109" s="53"/>
      <c r="D109" s="53"/>
      <c r="E109" s="53"/>
      <c r="F109" s="53"/>
      <c r="G109" s="54"/>
    </row>
    <row r="110" spans="1:7" ht="30" x14ac:dyDescent="0.35">
      <c r="A110" s="106" t="s">
        <v>2002</v>
      </c>
      <c r="B110" s="53"/>
      <c r="C110" s="53"/>
      <c r="D110" s="53"/>
      <c r="E110" s="53"/>
      <c r="F110" s="53"/>
      <c r="G110" s="54"/>
    </row>
    <row r="111" spans="1:7" ht="30" x14ac:dyDescent="0.35">
      <c r="A111" s="106" t="s">
        <v>2003</v>
      </c>
      <c r="B111" s="53"/>
      <c r="C111" s="53"/>
      <c r="D111" s="53"/>
      <c r="E111" s="53"/>
      <c r="F111" s="53"/>
      <c r="G111" s="54"/>
    </row>
    <row r="112" spans="1:7" ht="30" x14ac:dyDescent="0.35">
      <c r="A112" s="106" t="s">
        <v>2004</v>
      </c>
      <c r="B112" s="53"/>
      <c r="C112" s="53"/>
      <c r="D112" s="53"/>
      <c r="E112" s="53"/>
      <c r="F112" s="53"/>
      <c r="G112" s="54"/>
    </row>
    <row r="113" spans="1:7" ht="30" x14ac:dyDescent="0.35">
      <c r="A113" s="106" t="s">
        <v>2005</v>
      </c>
      <c r="B113" s="53"/>
      <c r="C113" s="53"/>
      <c r="D113" s="53"/>
      <c r="E113" s="53"/>
      <c r="F113" s="53"/>
      <c r="G113" s="54"/>
    </row>
    <row r="114" spans="1:7" x14ac:dyDescent="0.35">
      <c r="A114" s="106" t="s">
        <v>2006</v>
      </c>
      <c r="B114" s="53"/>
      <c r="C114" s="53"/>
      <c r="D114" s="53"/>
      <c r="E114" s="53"/>
      <c r="F114" s="53"/>
      <c r="G114" s="54"/>
    </row>
    <row r="115" spans="1:7" ht="30" x14ac:dyDescent="0.35">
      <c r="A115" s="106" t="s">
        <v>2007</v>
      </c>
      <c r="B115" s="53"/>
      <c r="C115" s="53"/>
      <c r="D115" s="53"/>
      <c r="E115" s="53"/>
      <c r="F115" s="53"/>
      <c r="G115" s="54"/>
    </row>
    <row r="116" spans="1:7" ht="30" x14ac:dyDescent="0.35">
      <c r="A116" s="106" t="s">
        <v>2008</v>
      </c>
      <c r="B116" s="53"/>
      <c r="C116" s="53"/>
      <c r="D116" s="53"/>
      <c r="E116" s="53"/>
      <c r="F116" s="53"/>
      <c r="G116" s="54"/>
    </row>
    <row r="117" spans="1:7" ht="30" x14ac:dyDescent="0.35">
      <c r="A117" s="106" t="s">
        <v>2009</v>
      </c>
      <c r="B117" s="53"/>
      <c r="C117" s="53"/>
      <c r="D117" s="53"/>
      <c r="E117" s="53"/>
      <c r="F117" s="53"/>
      <c r="G117" s="54"/>
    </row>
    <row r="118" spans="1:7" ht="30" x14ac:dyDescent="0.35">
      <c r="A118" s="106" t="s">
        <v>2010</v>
      </c>
      <c r="B118" s="53"/>
      <c r="C118" s="53"/>
      <c r="D118" s="53"/>
      <c r="E118" s="53"/>
      <c r="F118" s="53"/>
      <c r="G118" s="54"/>
    </row>
    <row r="119" spans="1:7" x14ac:dyDescent="0.35">
      <c r="A119" s="106" t="s">
        <v>2011</v>
      </c>
      <c r="B119" s="47"/>
      <c r="C119" s="47"/>
      <c r="D119" s="47"/>
      <c r="E119" s="47"/>
      <c r="F119" s="47"/>
      <c r="G119" s="48"/>
    </row>
    <row r="120" spans="1:7" x14ac:dyDescent="0.35">
      <c r="A120" s="106" t="s">
        <v>2012</v>
      </c>
      <c r="B120" s="47"/>
      <c r="C120" s="47"/>
      <c r="D120" s="47"/>
      <c r="E120" s="47"/>
      <c r="F120" s="47"/>
      <c r="G120" s="48"/>
    </row>
    <row r="121" spans="1:7" x14ac:dyDescent="0.35">
      <c r="A121" s="106" t="s">
        <v>2013</v>
      </c>
      <c r="B121" s="47"/>
      <c r="C121" s="47"/>
      <c r="D121" s="47"/>
      <c r="E121" s="47"/>
      <c r="F121" s="47"/>
      <c r="G121" s="48"/>
    </row>
    <row r="122" spans="1:7" x14ac:dyDescent="0.35">
      <c r="A122" s="106" t="s">
        <v>2014</v>
      </c>
      <c r="B122" s="47"/>
      <c r="C122" s="47"/>
      <c r="D122" s="47"/>
      <c r="E122" s="47"/>
      <c r="F122" s="47"/>
      <c r="G122" s="48"/>
    </row>
    <row r="123" spans="1:7" ht="30" x14ac:dyDescent="0.35">
      <c r="A123" s="106" t="s">
        <v>2015</v>
      </c>
      <c r="B123" s="47"/>
      <c r="C123" s="47"/>
      <c r="D123" s="47"/>
      <c r="E123" s="47"/>
      <c r="F123" s="47"/>
      <c r="G123" s="48"/>
    </row>
    <row r="124" spans="1:7" ht="30" x14ac:dyDescent="0.35">
      <c r="A124" s="106" t="s">
        <v>2016</v>
      </c>
      <c r="B124" s="47"/>
      <c r="C124" s="47"/>
      <c r="D124" s="47"/>
      <c r="E124" s="47"/>
      <c r="F124" s="47"/>
      <c r="G124" s="48"/>
    </row>
    <row r="125" spans="1:7" ht="30" x14ac:dyDescent="0.35">
      <c r="A125" s="106" t="s">
        <v>2017</v>
      </c>
      <c r="B125" s="53"/>
      <c r="C125" s="53"/>
      <c r="D125" s="53"/>
      <c r="E125" s="53"/>
      <c r="F125" s="53"/>
      <c r="G125" s="54"/>
    </row>
    <row r="126" spans="1:7" ht="30" x14ac:dyDescent="0.35">
      <c r="A126" s="106" t="s">
        <v>2018</v>
      </c>
      <c r="B126" s="47"/>
      <c r="C126" s="47"/>
      <c r="D126" s="47"/>
      <c r="E126" s="47"/>
      <c r="F126" s="47"/>
      <c r="G126" s="48"/>
    </row>
    <row r="127" spans="1:7" ht="30" x14ac:dyDescent="0.35">
      <c r="A127" s="106" t="s">
        <v>2019</v>
      </c>
      <c r="B127" s="47"/>
      <c r="C127" s="47"/>
      <c r="D127" s="47"/>
      <c r="E127" s="47"/>
      <c r="F127" s="47"/>
      <c r="G127" s="48"/>
    </row>
    <row r="128" spans="1:7" x14ac:dyDescent="0.35">
      <c r="A128" s="106" t="s">
        <v>2020</v>
      </c>
      <c r="B128" s="47"/>
      <c r="C128" s="47"/>
      <c r="D128" s="47"/>
      <c r="E128" s="47"/>
      <c r="F128" s="47"/>
      <c r="G128" s="48"/>
    </row>
    <row r="129" spans="1:7" ht="30" x14ac:dyDescent="0.35">
      <c r="A129" s="106" t="s">
        <v>2021</v>
      </c>
      <c r="B129" s="47"/>
      <c r="C129" s="47"/>
      <c r="D129" s="47"/>
      <c r="E129" s="47"/>
      <c r="F129" s="47"/>
      <c r="G129" s="48"/>
    </row>
    <row r="130" spans="1:7" x14ac:dyDescent="0.35">
      <c r="A130" s="106" t="s">
        <v>2022</v>
      </c>
      <c r="B130" s="47"/>
      <c r="C130" s="47"/>
      <c r="D130" s="47"/>
      <c r="E130" s="47"/>
      <c r="F130" s="47"/>
      <c r="G130" s="48"/>
    </row>
    <row r="131" spans="1:7" x14ac:dyDescent="0.35">
      <c r="A131" s="106" t="s">
        <v>2023</v>
      </c>
      <c r="B131" s="47"/>
      <c r="C131" s="47"/>
      <c r="D131" s="47"/>
      <c r="E131" s="47"/>
      <c r="F131" s="47"/>
      <c r="G131" s="48"/>
    </row>
    <row r="132" spans="1:7" x14ac:dyDescent="0.35">
      <c r="A132" s="106" t="s">
        <v>2024</v>
      </c>
      <c r="B132" s="47"/>
      <c r="C132" s="47"/>
      <c r="D132" s="47"/>
      <c r="E132" s="47"/>
      <c r="F132" s="47"/>
      <c r="G132" s="48"/>
    </row>
    <row r="133" spans="1:7" x14ac:dyDescent="0.35">
      <c r="A133" s="106" t="s">
        <v>2025</v>
      </c>
      <c r="B133" s="47"/>
      <c r="C133" s="47"/>
      <c r="D133" s="47"/>
      <c r="E133" s="47"/>
      <c r="F133" s="47"/>
      <c r="G133" s="48"/>
    </row>
    <row r="134" spans="1:7" ht="30" x14ac:dyDescent="0.35">
      <c r="A134" s="106" t="s">
        <v>2026</v>
      </c>
      <c r="B134" s="47"/>
      <c r="C134" s="47"/>
      <c r="D134" s="47"/>
      <c r="E134" s="47"/>
      <c r="F134" s="47"/>
      <c r="G134" s="48"/>
    </row>
    <row r="135" spans="1:7" ht="30" x14ac:dyDescent="0.35">
      <c r="A135" s="106" t="s">
        <v>2027</v>
      </c>
      <c r="B135" s="47"/>
      <c r="C135" s="47"/>
      <c r="D135" s="47"/>
      <c r="E135" s="47"/>
      <c r="F135" s="47"/>
      <c r="G135" s="48"/>
    </row>
    <row r="136" spans="1:7" x14ac:dyDescent="0.35">
      <c r="A136" s="106" t="s">
        <v>2028</v>
      </c>
      <c r="B136" s="47"/>
      <c r="C136" s="47"/>
      <c r="D136" s="47"/>
      <c r="E136" s="47"/>
      <c r="F136" s="47"/>
      <c r="G136" s="48"/>
    </row>
    <row r="137" spans="1:7" ht="15.6" thickBot="1" x14ac:dyDescent="0.4">
      <c r="A137" s="108" t="s">
        <v>2029</v>
      </c>
      <c r="B137" s="51"/>
      <c r="C137" s="51"/>
      <c r="D137" s="51"/>
      <c r="E137" s="51"/>
      <c r="F137" s="51"/>
      <c r="G137" s="52"/>
    </row>
    <row r="138" spans="1:7" ht="15.6" thickBot="1" x14ac:dyDescent="0.4">
      <c r="A138" s="136" t="s">
        <v>2030</v>
      </c>
      <c r="B138" s="137"/>
      <c r="C138" s="137"/>
      <c r="D138" s="137"/>
      <c r="E138" s="137"/>
      <c r="F138" s="137"/>
      <c r="G138" s="138"/>
    </row>
    <row r="139" spans="1:7" ht="30" x14ac:dyDescent="0.35">
      <c r="A139" s="105" t="s">
        <v>2031</v>
      </c>
      <c r="B139" s="45"/>
      <c r="C139" s="45"/>
      <c r="D139" s="45"/>
      <c r="E139" s="45"/>
      <c r="F139" s="45"/>
      <c r="G139" s="46"/>
    </row>
    <row r="140" spans="1:7" ht="30" x14ac:dyDescent="0.35">
      <c r="A140" s="106" t="s">
        <v>2032</v>
      </c>
      <c r="B140" s="53"/>
      <c r="C140" s="53"/>
      <c r="D140" s="53"/>
      <c r="E140" s="53"/>
      <c r="F140" s="53"/>
      <c r="G140" s="54"/>
    </row>
    <row r="141" spans="1:7" ht="30" x14ac:dyDescent="0.35">
      <c r="A141" s="106" t="s">
        <v>2033</v>
      </c>
      <c r="B141" s="53"/>
      <c r="C141" s="53"/>
      <c r="D141" s="53"/>
      <c r="E141" s="53"/>
      <c r="F141" s="53"/>
      <c r="G141" s="54"/>
    </row>
    <row r="142" spans="1:7" ht="30" x14ac:dyDescent="0.35">
      <c r="A142" s="106" t="s">
        <v>2034</v>
      </c>
      <c r="B142" s="53"/>
      <c r="C142" s="53"/>
      <c r="D142" s="53"/>
      <c r="E142" s="53"/>
      <c r="F142" s="53"/>
      <c r="G142" s="54"/>
    </row>
    <row r="143" spans="1:7" ht="30" x14ac:dyDescent="0.35">
      <c r="A143" s="106" t="s">
        <v>2035</v>
      </c>
      <c r="B143" s="53"/>
      <c r="C143" s="53"/>
      <c r="D143" s="53"/>
      <c r="E143" s="53"/>
      <c r="F143" s="53"/>
      <c r="G143" s="54"/>
    </row>
    <row r="144" spans="1:7" ht="30" x14ac:dyDescent="0.35">
      <c r="A144" s="106" t="s">
        <v>2036</v>
      </c>
      <c r="B144" s="53"/>
      <c r="C144" s="53"/>
      <c r="D144" s="53"/>
      <c r="E144" s="53"/>
      <c r="F144" s="53"/>
      <c r="G144" s="54"/>
    </row>
    <row r="145" spans="1:7" x14ac:dyDescent="0.35">
      <c r="A145" s="106" t="s">
        <v>2037</v>
      </c>
      <c r="B145" s="53"/>
      <c r="C145" s="53"/>
      <c r="D145" s="53"/>
      <c r="E145" s="53"/>
      <c r="F145" s="53"/>
      <c r="G145" s="54"/>
    </row>
    <row r="146" spans="1:7" x14ac:dyDescent="0.35">
      <c r="A146" s="106" t="s">
        <v>2038</v>
      </c>
      <c r="B146" s="53"/>
      <c r="C146" s="53"/>
      <c r="D146" s="53"/>
      <c r="E146" s="53"/>
      <c r="F146" s="53"/>
      <c r="G146" s="54"/>
    </row>
    <row r="147" spans="1:7" x14ac:dyDescent="0.35">
      <c r="A147" s="106" t="s">
        <v>2039</v>
      </c>
      <c r="B147" s="53"/>
      <c r="C147" s="53"/>
      <c r="D147" s="53"/>
      <c r="E147" s="53"/>
      <c r="F147" s="53"/>
      <c r="G147" s="54"/>
    </row>
    <row r="148" spans="1:7" ht="30" x14ac:dyDescent="0.35">
      <c r="A148" s="106" t="s">
        <v>2040</v>
      </c>
      <c r="B148" s="53"/>
      <c r="C148" s="53"/>
      <c r="D148" s="53"/>
      <c r="E148" s="53"/>
      <c r="F148" s="53"/>
      <c r="G148" s="54"/>
    </row>
    <row r="149" spans="1:7" ht="30" x14ac:dyDescent="0.35">
      <c r="A149" s="106" t="s">
        <v>2041</v>
      </c>
      <c r="B149" s="53"/>
      <c r="C149" s="53"/>
      <c r="D149" s="53"/>
      <c r="E149" s="53"/>
      <c r="F149" s="53"/>
      <c r="G149" s="54"/>
    </row>
    <row r="150" spans="1:7" ht="30" x14ac:dyDescent="0.35">
      <c r="A150" s="106" t="s">
        <v>2042</v>
      </c>
      <c r="B150" s="53"/>
      <c r="C150" s="53"/>
      <c r="D150" s="53"/>
      <c r="E150" s="53"/>
      <c r="F150" s="53"/>
      <c r="G150" s="54"/>
    </row>
    <row r="151" spans="1:7" ht="30" x14ac:dyDescent="0.35">
      <c r="A151" s="106" t="s">
        <v>2043</v>
      </c>
      <c r="B151" s="53"/>
      <c r="C151" s="53"/>
      <c r="D151" s="53"/>
      <c r="E151" s="53"/>
      <c r="F151" s="53"/>
      <c r="G151" s="54"/>
    </row>
    <row r="152" spans="1:7" ht="30" x14ac:dyDescent="0.35">
      <c r="A152" s="106" t="s">
        <v>2044</v>
      </c>
      <c r="B152" s="53"/>
      <c r="C152" s="53"/>
      <c r="D152" s="53"/>
      <c r="E152" s="53"/>
      <c r="F152" s="53"/>
      <c r="G152" s="54"/>
    </row>
    <row r="153" spans="1:7" x14ac:dyDescent="0.35">
      <c r="A153" s="106" t="s">
        <v>2045</v>
      </c>
      <c r="B153" s="53"/>
      <c r="C153" s="53"/>
      <c r="D153" s="53"/>
      <c r="E153" s="53"/>
      <c r="F153" s="53"/>
      <c r="G153" s="54"/>
    </row>
    <row r="154" spans="1:7" x14ac:dyDescent="0.35">
      <c r="A154" s="106" t="s">
        <v>2046</v>
      </c>
      <c r="B154" s="53"/>
      <c r="C154" s="53"/>
      <c r="D154" s="53"/>
      <c r="E154" s="53"/>
      <c r="F154" s="53"/>
      <c r="G154" s="54"/>
    </row>
    <row r="155" spans="1:7" x14ac:dyDescent="0.35">
      <c r="A155" s="106" t="s">
        <v>2047</v>
      </c>
      <c r="B155" s="53"/>
      <c r="C155" s="53"/>
      <c r="D155" s="53"/>
      <c r="E155" s="53"/>
      <c r="F155" s="53"/>
      <c r="G155" s="54"/>
    </row>
    <row r="156" spans="1:7" x14ac:dyDescent="0.35">
      <c r="A156" s="106" t="s">
        <v>2048</v>
      </c>
      <c r="B156" s="53"/>
      <c r="C156" s="53"/>
      <c r="D156" s="53"/>
      <c r="E156" s="53"/>
      <c r="F156" s="53"/>
      <c r="G156" s="54"/>
    </row>
    <row r="157" spans="1:7" x14ac:dyDescent="0.35">
      <c r="A157" s="106" t="s">
        <v>2049</v>
      </c>
      <c r="B157" s="53"/>
      <c r="C157" s="53"/>
      <c r="D157" s="53"/>
      <c r="E157" s="53"/>
      <c r="F157" s="53"/>
      <c r="G157" s="54"/>
    </row>
    <row r="158" spans="1:7" x14ac:dyDescent="0.35">
      <c r="A158" s="106" t="s">
        <v>2050</v>
      </c>
      <c r="B158" s="53"/>
      <c r="C158" s="53"/>
      <c r="D158" s="53"/>
      <c r="E158" s="53"/>
      <c r="F158" s="53"/>
      <c r="G158" s="54"/>
    </row>
    <row r="159" spans="1:7" x14ac:dyDescent="0.35">
      <c r="A159" s="106" t="s">
        <v>2051</v>
      </c>
      <c r="B159" s="53"/>
      <c r="C159" s="53"/>
      <c r="D159" s="53"/>
      <c r="E159" s="53"/>
      <c r="F159" s="53"/>
      <c r="G159" s="54"/>
    </row>
    <row r="160" spans="1:7" x14ac:dyDescent="0.35">
      <c r="A160" s="106" t="s">
        <v>2052</v>
      </c>
      <c r="B160" s="53"/>
      <c r="C160" s="53"/>
      <c r="D160" s="53"/>
      <c r="E160" s="53"/>
      <c r="F160" s="53"/>
      <c r="G160" s="54"/>
    </row>
    <row r="161" spans="1:7" x14ac:dyDescent="0.35">
      <c r="A161" s="106" t="s">
        <v>2053</v>
      </c>
      <c r="B161" s="53"/>
      <c r="C161" s="53"/>
      <c r="D161" s="53"/>
      <c r="E161" s="53"/>
      <c r="F161" s="53"/>
      <c r="G161" s="54"/>
    </row>
    <row r="162" spans="1:7" x14ac:dyDescent="0.35">
      <c r="A162" s="106" t="s">
        <v>2054</v>
      </c>
      <c r="B162" s="53"/>
      <c r="C162" s="53"/>
      <c r="D162" s="53"/>
      <c r="E162" s="53"/>
      <c r="F162" s="53"/>
      <c r="G162" s="54"/>
    </row>
    <row r="163" spans="1:7" x14ac:dyDescent="0.35">
      <c r="A163" s="106" t="s">
        <v>2055</v>
      </c>
      <c r="B163" s="53"/>
      <c r="C163" s="53"/>
      <c r="D163" s="53"/>
      <c r="E163" s="53"/>
      <c r="F163" s="53"/>
      <c r="G163" s="54"/>
    </row>
    <row r="164" spans="1:7" x14ac:dyDescent="0.35">
      <c r="A164" s="106" t="s">
        <v>2056</v>
      </c>
      <c r="B164" s="53"/>
      <c r="C164" s="53"/>
      <c r="D164" s="53"/>
      <c r="E164" s="53"/>
      <c r="F164" s="53"/>
      <c r="G164" s="54"/>
    </row>
    <row r="165" spans="1:7" ht="30" x14ac:dyDescent="0.35">
      <c r="A165" s="106" t="s">
        <v>2057</v>
      </c>
      <c r="B165" s="53"/>
      <c r="C165" s="53"/>
      <c r="D165" s="53"/>
      <c r="E165" s="53"/>
      <c r="F165" s="53"/>
      <c r="G165" s="54"/>
    </row>
    <row r="166" spans="1:7" ht="30" x14ac:dyDescent="0.35">
      <c r="A166" s="106" t="s">
        <v>2058</v>
      </c>
      <c r="B166" s="53"/>
      <c r="C166" s="53"/>
      <c r="D166" s="53"/>
      <c r="E166" s="53"/>
      <c r="F166" s="53"/>
      <c r="G166" s="54"/>
    </row>
    <row r="167" spans="1:7" x14ac:dyDescent="0.35">
      <c r="A167" s="106" t="s">
        <v>2059</v>
      </c>
      <c r="B167" s="47"/>
      <c r="C167" s="47"/>
      <c r="D167" s="47"/>
      <c r="E167" s="47"/>
      <c r="F167" s="47"/>
      <c r="G167" s="48"/>
    </row>
    <row r="168" spans="1:7" x14ac:dyDescent="0.35">
      <c r="A168" s="106" t="s">
        <v>2060</v>
      </c>
      <c r="B168" s="47"/>
      <c r="C168" s="47"/>
      <c r="D168" s="47"/>
      <c r="E168" s="47"/>
      <c r="F168" s="47"/>
      <c r="G168" s="48"/>
    </row>
    <row r="169" spans="1:7" x14ac:dyDescent="0.35">
      <c r="A169" s="106" t="s">
        <v>2061</v>
      </c>
      <c r="B169" s="47"/>
      <c r="C169" s="47"/>
      <c r="D169" s="47"/>
      <c r="E169" s="47"/>
      <c r="F169" s="47"/>
      <c r="G169" s="48"/>
    </row>
    <row r="170" spans="1:7" ht="30" x14ac:dyDescent="0.35">
      <c r="A170" s="106" t="s">
        <v>2062</v>
      </c>
      <c r="B170" s="47"/>
      <c r="C170" s="47"/>
      <c r="D170" s="47"/>
      <c r="E170" s="47"/>
      <c r="F170" s="47"/>
      <c r="G170" s="48"/>
    </row>
    <row r="171" spans="1:7" ht="30" x14ac:dyDescent="0.35">
      <c r="A171" s="106" t="s">
        <v>2063</v>
      </c>
      <c r="B171" s="47"/>
      <c r="C171" s="47"/>
      <c r="D171" s="47"/>
      <c r="E171" s="47"/>
      <c r="F171" s="47"/>
      <c r="G171" s="48"/>
    </row>
    <row r="172" spans="1:7" ht="30" x14ac:dyDescent="0.35">
      <c r="A172" s="106" t="s">
        <v>2064</v>
      </c>
      <c r="B172" s="47"/>
      <c r="C172" s="47"/>
      <c r="D172" s="47"/>
      <c r="E172" s="47"/>
      <c r="F172" s="47"/>
      <c r="G172" s="48"/>
    </row>
    <row r="173" spans="1:7" ht="30" x14ac:dyDescent="0.35">
      <c r="A173" s="106" t="s">
        <v>2065</v>
      </c>
      <c r="B173" s="47"/>
      <c r="C173" s="47"/>
      <c r="D173" s="47"/>
      <c r="E173" s="47"/>
      <c r="F173" s="47"/>
      <c r="G173" s="48"/>
    </row>
    <row r="174" spans="1:7" x14ac:dyDescent="0.35">
      <c r="A174" s="106" t="s">
        <v>2066</v>
      </c>
      <c r="B174" s="47"/>
      <c r="C174" s="47"/>
      <c r="D174" s="47"/>
      <c r="E174" s="47"/>
      <c r="F174" s="47"/>
      <c r="G174" s="48"/>
    </row>
    <row r="175" spans="1:7" x14ac:dyDescent="0.35">
      <c r="A175" s="106" t="s">
        <v>2067</v>
      </c>
      <c r="B175" s="47"/>
      <c r="C175" s="47"/>
      <c r="D175" s="47"/>
      <c r="E175" s="47"/>
      <c r="F175" s="47"/>
      <c r="G175" s="48"/>
    </row>
    <row r="176" spans="1:7" x14ac:dyDescent="0.35">
      <c r="A176" s="106" t="s">
        <v>2068</v>
      </c>
      <c r="B176" s="47"/>
      <c r="C176" s="47"/>
      <c r="D176" s="47"/>
      <c r="E176" s="47"/>
      <c r="F176" s="47"/>
      <c r="G176" s="48"/>
    </row>
    <row r="177" spans="1:7" ht="30" x14ac:dyDescent="0.35">
      <c r="A177" s="106" t="s">
        <v>2069</v>
      </c>
      <c r="B177" s="47"/>
      <c r="C177" s="47"/>
      <c r="D177" s="47"/>
      <c r="E177" s="47"/>
      <c r="F177" s="47"/>
      <c r="G177" s="48"/>
    </row>
    <row r="178" spans="1:7" ht="30" x14ac:dyDescent="0.35">
      <c r="A178" s="106" t="s">
        <v>2070</v>
      </c>
      <c r="B178" s="47"/>
      <c r="C178" s="47"/>
      <c r="D178" s="47"/>
      <c r="E178" s="47"/>
      <c r="F178" s="47"/>
      <c r="G178" s="48"/>
    </row>
    <row r="179" spans="1:7" ht="30" x14ac:dyDescent="0.35">
      <c r="A179" s="106" t="s">
        <v>2071</v>
      </c>
      <c r="B179" s="47"/>
      <c r="C179" s="47"/>
      <c r="D179" s="47"/>
      <c r="E179" s="47"/>
      <c r="F179" s="47"/>
      <c r="G179" s="48"/>
    </row>
    <row r="180" spans="1:7" ht="30" x14ac:dyDescent="0.35">
      <c r="A180" s="106" t="s">
        <v>2072</v>
      </c>
      <c r="B180" s="47"/>
      <c r="C180" s="47"/>
      <c r="D180" s="47"/>
      <c r="E180" s="47"/>
      <c r="F180" s="47"/>
      <c r="G180" s="48"/>
    </row>
    <row r="181" spans="1:7" ht="30" x14ac:dyDescent="0.35">
      <c r="A181" s="106" t="s">
        <v>2073</v>
      </c>
      <c r="B181" s="47"/>
      <c r="C181" s="47"/>
      <c r="D181" s="47"/>
      <c r="E181" s="47"/>
      <c r="F181" s="47"/>
      <c r="G181" s="48"/>
    </row>
    <row r="182" spans="1:7" x14ac:dyDescent="0.35">
      <c r="A182" s="106" t="s">
        <v>2074</v>
      </c>
      <c r="B182" s="47"/>
      <c r="C182" s="47"/>
      <c r="D182" s="47"/>
      <c r="E182" s="47"/>
      <c r="F182" s="47"/>
      <c r="G182" s="48"/>
    </row>
    <row r="183" spans="1:7" x14ac:dyDescent="0.35">
      <c r="A183" s="106" t="s">
        <v>2075</v>
      </c>
      <c r="B183" s="47"/>
      <c r="C183" s="47"/>
      <c r="D183" s="47"/>
      <c r="E183" s="47"/>
      <c r="F183" s="47"/>
      <c r="G183" s="48"/>
    </row>
    <row r="184" spans="1:7" x14ac:dyDescent="0.35">
      <c r="A184" s="106" t="s">
        <v>2076</v>
      </c>
      <c r="B184" s="47"/>
      <c r="C184" s="47"/>
      <c r="D184" s="47"/>
      <c r="E184" s="47"/>
      <c r="F184" s="47"/>
      <c r="G184" s="48"/>
    </row>
    <row r="185" spans="1:7" ht="30" x14ac:dyDescent="0.35">
      <c r="A185" s="106" t="s">
        <v>2077</v>
      </c>
      <c r="B185" s="47"/>
      <c r="C185" s="47"/>
      <c r="D185" s="47"/>
      <c r="E185" s="47"/>
      <c r="F185" s="47"/>
      <c r="G185" s="48"/>
    </row>
    <row r="186" spans="1:7" ht="30" x14ac:dyDescent="0.35">
      <c r="A186" s="106" t="s">
        <v>2078</v>
      </c>
      <c r="B186" s="47"/>
      <c r="C186" s="47"/>
      <c r="D186" s="47"/>
      <c r="E186" s="47"/>
      <c r="F186" s="47"/>
      <c r="G186" s="48"/>
    </row>
    <row r="187" spans="1:7" ht="30" x14ac:dyDescent="0.35">
      <c r="A187" s="106" t="s">
        <v>2079</v>
      </c>
      <c r="B187" s="47"/>
      <c r="C187" s="47"/>
      <c r="D187" s="47"/>
      <c r="E187" s="47"/>
      <c r="F187" s="47"/>
      <c r="G187" s="48"/>
    </row>
    <row r="188" spans="1:7" ht="30" x14ac:dyDescent="0.35">
      <c r="A188" s="106" t="s">
        <v>2080</v>
      </c>
      <c r="B188" s="47"/>
      <c r="C188" s="47"/>
      <c r="D188" s="47"/>
      <c r="E188" s="47"/>
      <c r="F188" s="47"/>
      <c r="G188" s="48"/>
    </row>
    <row r="189" spans="1:7" ht="30" x14ac:dyDescent="0.35">
      <c r="A189" s="106" t="s">
        <v>2081</v>
      </c>
      <c r="B189" s="47"/>
      <c r="C189" s="47"/>
      <c r="D189" s="47"/>
      <c r="E189" s="47"/>
      <c r="F189" s="47"/>
      <c r="G189" s="48"/>
    </row>
    <row r="190" spans="1:7" ht="30" x14ac:dyDescent="0.35">
      <c r="A190" s="106" t="s">
        <v>2082</v>
      </c>
      <c r="B190" s="47"/>
      <c r="C190" s="47"/>
      <c r="D190" s="47"/>
      <c r="E190" s="47"/>
      <c r="F190" s="47"/>
      <c r="G190" s="48"/>
    </row>
    <row r="191" spans="1:7" ht="30" x14ac:dyDescent="0.35">
      <c r="A191" s="106" t="s">
        <v>2083</v>
      </c>
      <c r="B191" s="47"/>
      <c r="C191" s="47"/>
      <c r="D191" s="47"/>
      <c r="E191" s="47"/>
      <c r="F191" s="47"/>
      <c r="G191" s="48"/>
    </row>
    <row r="192" spans="1:7" ht="30" x14ac:dyDescent="0.35">
      <c r="A192" s="106" t="s">
        <v>2084</v>
      </c>
      <c r="B192" s="47"/>
      <c r="C192" s="47"/>
      <c r="D192" s="47"/>
      <c r="E192" s="47"/>
      <c r="F192" s="47"/>
      <c r="G192" s="48"/>
    </row>
    <row r="193" spans="1:7" ht="30" x14ac:dyDescent="0.35">
      <c r="A193" s="106" t="s">
        <v>2085</v>
      </c>
      <c r="B193" s="47"/>
      <c r="C193" s="47"/>
      <c r="D193" s="47"/>
      <c r="E193" s="47"/>
      <c r="F193" s="47"/>
      <c r="G193" s="48"/>
    </row>
    <row r="194" spans="1:7" ht="30" x14ac:dyDescent="0.35">
      <c r="A194" s="106" t="s">
        <v>2086</v>
      </c>
      <c r="B194" s="47"/>
      <c r="C194" s="47"/>
      <c r="D194" s="47"/>
      <c r="E194" s="47"/>
      <c r="F194" s="47"/>
      <c r="G194" s="48"/>
    </row>
    <row r="195" spans="1:7" ht="30" x14ac:dyDescent="0.35">
      <c r="A195" s="106" t="s">
        <v>2087</v>
      </c>
      <c r="B195" s="47"/>
      <c r="C195" s="47"/>
      <c r="D195" s="47"/>
      <c r="E195" s="47"/>
      <c r="F195" s="47"/>
      <c r="G195" s="48"/>
    </row>
    <row r="196" spans="1:7" ht="30" x14ac:dyDescent="0.35">
      <c r="A196" s="106" t="s">
        <v>2088</v>
      </c>
      <c r="B196" s="47"/>
      <c r="C196" s="47"/>
      <c r="D196" s="47"/>
      <c r="E196" s="47"/>
      <c r="F196" s="47"/>
      <c r="G196" s="48"/>
    </row>
    <row r="197" spans="1:7" ht="30" x14ac:dyDescent="0.35">
      <c r="A197" s="106" t="s">
        <v>2089</v>
      </c>
      <c r="B197" s="47"/>
      <c r="C197" s="47"/>
      <c r="D197" s="47"/>
      <c r="E197" s="47"/>
      <c r="F197" s="47"/>
      <c r="G197" s="48"/>
    </row>
    <row r="198" spans="1:7" ht="30" x14ac:dyDescent="0.35">
      <c r="A198" s="106" t="s">
        <v>2090</v>
      </c>
      <c r="B198" s="47"/>
      <c r="C198" s="47"/>
      <c r="D198" s="47"/>
      <c r="E198" s="47"/>
      <c r="F198" s="47"/>
      <c r="G198" s="48"/>
    </row>
    <row r="199" spans="1:7" ht="30" x14ac:dyDescent="0.35">
      <c r="A199" s="106" t="s">
        <v>2091</v>
      </c>
      <c r="B199" s="47"/>
      <c r="C199" s="47"/>
      <c r="D199" s="47"/>
      <c r="E199" s="47"/>
      <c r="F199" s="47"/>
      <c r="G199" s="48"/>
    </row>
    <row r="200" spans="1:7" ht="30" x14ac:dyDescent="0.35">
      <c r="A200" s="106" t="s">
        <v>2092</v>
      </c>
      <c r="B200" s="47"/>
      <c r="C200" s="47"/>
      <c r="D200" s="47"/>
      <c r="E200" s="47"/>
      <c r="F200" s="47"/>
      <c r="G200" s="48"/>
    </row>
    <row r="201" spans="1:7" ht="30" x14ac:dyDescent="0.35">
      <c r="A201" s="106" t="s">
        <v>2093</v>
      </c>
      <c r="B201" s="47"/>
      <c r="C201" s="47"/>
      <c r="D201" s="47"/>
      <c r="E201" s="47"/>
      <c r="F201" s="47"/>
      <c r="G201" s="48"/>
    </row>
    <row r="202" spans="1:7" ht="30" x14ac:dyDescent="0.35">
      <c r="A202" s="106" t="s">
        <v>2094</v>
      </c>
      <c r="B202" s="47"/>
      <c r="C202" s="47"/>
      <c r="D202" s="47"/>
      <c r="E202" s="47"/>
      <c r="F202" s="47"/>
      <c r="G202" s="48"/>
    </row>
    <row r="203" spans="1:7" ht="30" x14ac:dyDescent="0.35">
      <c r="A203" s="106" t="s">
        <v>2095</v>
      </c>
      <c r="B203" s="47"/>
      <c r="C203" s="47"/>
      <c r="D203" s="47"/>
      <c r="E203" s="47"/>
      <c r="F203" s="47"/>
      <c r="G203" s="48"/>
    </row>
    <row r="204" spans="1:7" ht="30" x14ac:dyDescent="0.35">
      <c r="A204" s="106" t="s">
        <v>2096</v>
      </c>
      <c r="B204" s="47"/>
      <c r="C204" s="47"/>
      <c r="D204" s="47"/>
      <c r="E204" s="47"/>
      <c r="F204" s="47"/>
      <c r="G204" s="48"/>
    </row>
    <row r="205" spans="1:7" ht="30" x14ac:dyDescent="0.35">
      <c r="A205" s="106" t="s">
        <v>2097</v>
      </c>
      <c r="B205" s="47"/>
      <c r="C205" s="47"/>
      <c r="D205" s="47"/>
      <c r="E205" s="47"/>
      <c r="F205" s="47"/>
      <c r="G205" s="48"/>
    </row>
    <row r="206" spans="1:7" ht="30" x14ac:dyDescent="0.35">
      <c r="A206" s="106" t="s">
        <v>2098</v>
      </c>
      <c r="B206" s="47"/>
      <c r="C206" s="47"/>
      <c r="D206" s="47"/>
      <c r="E206" s="47"/>
      <c r="F206" s="47"/>
      <c r="G206" s="48"/>
    </row>
    <row r="207" spans="1:7" ht="30" x14ac:dyDescent="0.35">
      <c r="A207" s="106" t="s">
        <v>2099</v>
      </c>
      <c r="B207" s="47"/>
      <c r="C207" s="47"/>
      <c r="D207" s="47"/>
      <c r="E207" s="47"/>
      <c r="F207" s="47"/>
      <c r="G207" s="48"/>
    </row>
    <row r="208" spans="1:7" ht="30" x14ac:dyDescent="0.35">
      <c r="A208" s="106" t="s">
        <v>2100</v>
      </c>
      <c r="B208" s="47"/>
      <c r="C208" s="47"/>
      <c r="D208" s="47"/>
      <c r="E208" s="47"/>
      <c r="F208" s="47"/>
      <c r="G208" s="48"/>
    </row>
    <row r="209" spans="1:7" ht="30" x14ac:dyDescent="0.35">
      <c r="A209" s="106" t="s">
        <v>2101</v>
      </c>
      <c r="B209" s="47"/>
      <c r="C209" s="47"/>
      <c r="D209" s="47"/>
      <c r="E209" s="47"/>
      <c r="F209" s="47"/>
      <c r="G209" s="48"/>
    </row>
    <row r="210" spans="1:7" ht="30" x14ac:dyDescent="0.35">
      <c r="A210" s="106" t="s">
        <v>2102</v>
      </c>
      <c r="B210" s="47"/>
      <c r="C210" s="47"/>
      <c r="D210" s="47"/>
      <c r="E210" s="47"/>
      <c r="F210" s="47"/>
      <c r="G210" s="48"/>
    </row>
    <row r="211" spans="1:7" ht="30" x14ac:dyDescent="0.35">
      <c r="A211" s="106" t="s">
        <v>2103</v>
      </c>
      <c r="B211" s="47"/>
      <c r="C211" s="47"/>
      <c r="D211" s="47"/>
      <c r="E211" s="47"/>
      <c r="F211" s="47"/>
      <c r="G211" s="48"/>
    </row>
    <row r="212" spans="1:7" x14ac:dyDescent="0.35">
      <c r="A212" s="106" t="s">
        <v>2104</v>
      </c>
      <c r="B212" s="47"/>
      <c r="C212" s="47"/>
      <c r="D212" s="47"/>
      <c r="E212" s="47"/>
      <c r="F212" s="47"/>
      <c r="G212" s="48"/>
    </row>
    <row r="213" spans="1:7" x14ac:dyDescent="0.35">
      <c r="A213" s="106" t="s">
        <v>2105</v>
      </c>
      <c r="B213" s="47"/>
      <c r="C213" s="47"/>
      <c r="D213" s="47"/>
      <c r="E213" s="47"/>
      <c r="F213" s="47"/>
      <c r="G213" s="48"/>
    </row>
    <row r="214" spans="1:7" x14ac:dyDescent="0.35">
      <c r="A214" s="106" t="s">
        <v>2106</v>
      </c>
      <c r="B214" s="47"/>
      <c r="C214" s="47"/>
      <c r="D214" s="47"/>
      <c r="E214" s="47"/>
      <c r="F214" s="47"/>
      <c r="G214" s="48"/>
    </row>
    <row r="215" spans="1:7" x14ac:dyDescent="0.35">
      <c r="A215" s="106" t="s">
        <v>2107</v>
      </c>
      <c r="B215" s="47"/>
      <c r="C215" s="47"/>
      <c r="D215" s="47"/>
      <c r="E215" s="47"/>
      <c r="F215" s="47"/>
      <c r="G215" s="48"/>
    </row>
    <row r="216" spans="1:7" ht="30" x14ac:dyDescent="0.35">
      <c r="A216" s="106" t="s">
        <v>2108</v>
      </c>
      <c r="B216" s="47"/>
      <c r="C216" s="47"/>
      <c r="D216" s="47"/>
      <c r="E216" s="47"/>
      <c r="F216" s="47"/>
      <c r="G216" s="48"/>
    </row>
    <row r="217" spans="1:7" x14ac:dyDescent="0.35">
      <c r="A217" s="106" t="s">
        <v>2109</v>
      </c>
      <c r="B217" s="47"/>
      <c r="C217" s="47"/>
      <c r="D217" s="47"/>
      <c r="E217" s="47"/>
      <c r="F217" s="47"/>
      <c r="G217" s="48"/>
    </row>
    <row r="218" spans="1:7" x14ac:dyDescent="0.35">
      <c r="A218" s="106" t="s">
        <v>2110</v>
      </c>
      <c r="B218" s="47"/>
      <c r="C218" s="47"/>
      <c r="D218" s="47"/>
      <c r="E218" s="47"/>
      <c r="F218" s="47"/>
      <c r="G218" s="48"/>
    </row>
    <row r="219" spans="1:7" ht="15.6" thickBot="1" x14ac:dyDescent="0.4">
      <c r="A219" s="107" t="s">
        <v>2111</v>
      </c>
      <c r="B219" s="57"/>
      <c r="C219" s="57"/>
      <c r="D219" s="57"/>
      <c r="E219" s="57"/>
      <c r="F219" s="57"/>
      <c r="G219" s="58"/>
    </row>
    <row r="220" spans="1:7" x14ac:dyDescent="0.35"/>
    <row r="221" spans="1:7" x14ac:dyDescent="0.35"/>
  </sheetData>
  <sheetProtection algorithmName="SHA-512" hashValue="FN62cSY6/poqMC4IvwfnJ8MHz8OInR7DyeAv16JpG5aAwwDZQ2Brfhd9fXG5QOpc3hofkZ/ak32VD+i6yC+2bg==" saltValue="YTBJsbcpNXYVcZQpNICx3w==" spinCount="100000" sheet="1" objects="1" scenarios="1"/>
  <mergeCells count="7">
    <mergeCell ref="A96:G96"/>
    <mergeCell ref="A138:G138"/>
    <mergeCell ref="A1:A2"/>
    <mergeCell ref="A3:A5"/>
    <mergeCell ref="A6:G6"/>
    <mergeCell ref="A57:G57"/>
    <mergeCell ref="A73:G73"/>
  </mergeCells>
  <dataValidations count="2">
    <dataValidation type="list" allowBlank="1" showInputMessage="1" showErrorMessage="1" sqref="C1:G1" xr:uid="{8F6CD4E2-88D8-403D-B1DD-B25E2E89F7D0}">
      <formula1>ANIOS</formula1>
    </dataValidation>
    <dataValidation type="list" allowBlank="1" showInputMessage="1" showErrorMessage="1" sqref="C2:G2" xr:uid="{E2702D8F-3170-4E0A-A0A2-16132D477ADA}">
      <formula1>MESES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0BE37-68D5-481B-B312-4EBB7525BA46}">
  <sheetPr codeName="Hoja18"/>
  <dimension ref="A1:P27"/>
  <sheetViews>
    <sheetView showGridLines="0" zoomScaleNormal="100" workbookViewId="0"/>
  </sheetViews>
  <sheetFormatPr baseColWidth="10" defaultColWidth="0" defaultRowHeight="14.4" customHeight="1" zeroHeight="1" x14ac:dyDescent="0.3"/>
  <cols>
    <col min="1" max="16" width="11.5546875" style="5" customWidth="1"/>
    <col min="17" max="16384" width="11.5546875" style="5" hidden="1"/>
  </cols>
  <sheetData>
    <row r="1" ht="14.4" customHeight="1" x14ac:dyDescent="0.3"/>
    <row r="2" ht="14.4" customHeight="1" x14ac:dyDescent="0.3"/>
    <row r="3" ht="14.4" customHeight="1" x14ac:dyDescent="0.3"/>
    <row r="4" ht="14.4" customHeight="1" x14ac:dyDescent="0.3"/>
    <row r="5" ht="14.4" customHeight="1" x14ac:dyDescent="0.3"/>
    <row r="6" ht="14.4" customHeight="1" x14ac:dyDescent="0.3"/>
    <row r="7" ht="14.4" customHeight="1" x14ac:dyDescent="0.3"/>
    <row r="8" ht="14.4" customHeight="1" x14ac:dyDescent="0.3"/>
    <row r="9" ht="14.4" customHeight="1" x14ac:dyDescent="0.3"/>
    <row r="10" ht="14.4" customHeight="1" x14ac:dyDescent="0.3"/>
    <row r="11" ht="14.4" customHeight="1" x14ac:dyDescent="0.3"/>
    <row r="12" ht="14.4" customHeight="1" x14ac:dyDescent="0.3"/>
    <row r="13" ht="14.4" customHeight="1" x14ac:dyDescent="0.3"/>
    <row r="14" ht="14.4" customHeight="1" x14ac:dyDescent="0.3"/>
    <row r="15" ht="14.4" customHeight="1" x14ac:dyDescent="0.3"/>
    <row r="16" ht="14.4" customHeight="1" x14ac:dyDescent="0.3"/>
    <row r="17" ht="14.4" customHeight="1" x14ac:dyDescent="0.3"/>
    <row r="18" ht="14.4" customHeight="1" x14ac:dyDescent="0.3"/>
    <row r="19" ht="14.4" customHeight="1" x14ac:dyDescent="0.3"/>
    <row r="20" ht="14.4" customHeight="1" x14ac:dyDescent="0.3"/>
    <row r="21" ht="14.4" customHeight="1" x14ac:dyDescent="0.3"/>
    <row r="22" ht="14.4" customHeight="1" x14ac:dyDescent="0.3"/>
    <row r="23" ht="14.4" customHeight="1" x14ac:dyDescent="0.3"/>
    <row r="24" ht="14.4" customHeight="1" x14ac:dyDescent="0.3"/>
    <row r="25" ht="14.4" customHeight="1" x14ac:dyDescent="0.3"/>
    <row r="26" ht="14.4" customHeight="1" x14ac:dyDescent="0.3"/>
    <row r="27" ht="14.4" customHeight="1" x14ac:dyDescent="0.3"/>
  </sheetData>
  <sheetProtection algorithmName="SHA-512" hashValue="q6GIKTEGNzVlEYKQl278CmeqTdntTym4AhFl+w2loO7nBO1mNxVpMTSnUGNuGhLepvmF1MZi2I2LxwHK20ZVPA==" saltValue="+CcxXvbwD35/8IFrBtMsYg==" spinCount="100000" sheet="1" objects="1" scenarios="1"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5F36-6A54-4B5E-A58B-D3CE483DDA7D}">
  <sheetPr codeName="Hoja19"/>
  <dimension ref="A1:N21"/>
  <sheetViews>
    <sheetView showGridLines="0" zoomScaleNormal="100" workbookViewId="0">
      <selection activeCell="D13" sqref="D13:J14"/>
    </sheetView>
  </sheetViews>
  <sheetFormatPr baseColWidth="10" defaultColWidth="0" defaultRowHeight="0" customHeight="1" zeroHeight="1" x14ac:dyDescent="0.4"/>
  <cols>
    <col min="1" max="14" width="11.5546875" style="73" customWidth="1"/>
    <col min="15" max="16384" width="11.5546875" style="73" hidden="1"/>
  </cols>
  <sheetData>
    <row r="1" spans="4:10" ht="14.4" customHeight="1" x14ac:dyDescent="0.4"/>
    <row r="2" spans="4:10" ht="14.4" customHeight="1" x14ac:dyDescent="0.4"/>
    <row r="3" spans="4:10" ht="14.4" customHeight="1" x14ac:dyDescent="0.4"/>
    <row r="4" spans="4:10" ht="14.4" customHeight="1" x14ac:dyDescent="0.4"/>
    <row r="5" spans="4:10" ht="14.4" customHeight="1" x14ac:dyDescent="0.4"/>
    <row r="6" spans="4:10" ht="14.4" customHeight="1" x14ac:dyDescent="0.4"/>
    <row r="7" spans="4:10" ht="14.4" customHeight="1" x14ac:dyDescent="0.4"/>
    <row r="8" spans="4:10" ht="14.4" customHeight="1" x14ac:dyDescent="0.4"/>
    <row r="9" spans="4:10" ht="14.4" customHeight="1" x14ac:dyDescent="0.4"/>
    <row r="10" spans="4:10" ht="14.4" customHeight="1" x14ac:dyDescent="0.4"/>
    <row r="11" spans="4:10" ht="14.4" customHeight="1" x14ac:dyDescent="0.4">
      <c r="D11" s="144" t="str">
        <f>IF(ISBLANK(PARAMETROS!$C$389),"",PARAMETROS!$C$389)</f>
        <v>ID Canguro:</v>
      </c>
      <c r="E11" s="144"/>
      <c r="F11" s="144"/>
      <c r="G11" s="144"/>
      <c r="H11" s="144"/>
      <c r="I11" s="144"/>
      <c r="J11" s="144"/>
    </row>
    <row r="12" spans="4:10" ht="14.4" customHeight="1" x14ac:dyDescent="0.4">
      <c r="D12" s="144"/>
      <c r="E12" s="144"/>
      <c r="F12" s="144"/>
      <c r="G12" s="144"/>
      <c r="H12" s="144"/>
      <c r="I12" s="144"/>
      <c r="J12" s="144"/>
    </row>
    <row r="13" spans="4:10" ht="14.4" customHeight="1" x14ac:dyDescent="0.4">
      <c r="D13" s="143"/>
      <c r="E13" s="143"/>
      <c r="F13" s="143"/>
      <c r="G13" s="143"/>
      <c r="H13" s="143"/>
      <c r="I13" s="143"/>
      <c r="J13" s="143"/>
    </row>
    <row r="14" spans="4:10" ht="14.4" customHeight="1" x14ac:dyDescent="0.4">
      <c r="D14" s="143"/>
      <c r="E14" s="143"/>
      <c r="F14" s="143"/>
      <c r="G14" s="143"/>
      <c r="H14" s="143"/>
      <c r="I14" s="143"/>
      <c r="J14" s="143"/>
    </row>
    <row r="15" spans="4:10" ht="14.4" customHeight="1" x14ac:dyDescent="0.4"/>
    <row r="16" spans="4:10" ht="14.4" customHeight="1" x14ac:dyDescent="0.4"/>
    <row r="17" ht="14.4" customHeight="1" x14ac:dyDescent="0.4"/>
    <row r="18" ht="14.4" customHeight="1" x14ac:dyDescent="0.4"/>
    <row r="19" ht="14.4" customHeight="1" x14ac:dyDescent="0.4"/>
    <row r="20" ht="14.4" customHeight="1" x14ac:dyDescent="0.4"/>
    <row r="21" ht="14.4" customHeight="1" x14ac:dyDescent="0.4"/>
  </sheetData>
  <sheetProtection algorithmName="SHA-512" hashValue="aNdcnEG0MFTXQIa1pIeZk/C1XH0Dsr0z7axiRuLMvYM9BWyh+HzHEFDWScVRBAstv/Ktx75q5ojDgdeVEzqN0Q==" saltValue="pJk2SAjQiHVHRPw09mIXsw==" spinCount="100000" sheet="1" objects="1" scenarios="1" selectLockedCells="1"/>
  <mergeCells count="2">
    <mergeCell ref="D13:J14"/>
    <mergeCell ref="D11:J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1C241-60ED-42A0-9731-1E3B109FBE39}">
  <sheetPr codeName="Hoja11"/>
  <dimension ref="A1:E809"/>
  <sheetViews>
    <sheetView showGridLines="0" workbookViewId="0">
      <pane ySplit="1" topLeftCell="A2" activePane="bottomLeft" state="frozen"/>
      <selection activeCell="C4" sqref="C4:E4"/>
      <selection pane="bottomLeft" activeCell="B2" sqref="B2"/>
    </sheetView>
  </sheetViews>
  <sheetFormatPr baseColWidth="10" defaultColWidth="0" defaultRowHeight="19.2" zeroHeight="1" x14ac:dyDescent="0.3"/>
  <cols>
    <col min="1" max="1" width="63.6640625" style="1" customWidth="1"/>
    <col min="2" max="2" width="29.21875" style="76" customWidth="1"/>
    <col min="3" max="3" width="111.88671875" style="1" customWidth="1"/>
    <col min="4" max="5" width="11.5546875" style="1" customWidth="1"/>
    <col min="6" max="16384" width="11.5546875" style="1" hidden="1"/>
  </cols>
  <sheetData>
    <row r="1" spans="1:3" ht="31.2" customHeight="1" thickBot="1" x14ac:dyDescent="0.35">
      <c r="A1" s="63" t="s">
        <v>225</v>
      </c>
      <c r="B1" s="74" t="s">
        <v>2659</v>
      </c>
      <c r="C1" s="75" t="s">
        <v>2660</v>
      </c>
    </row>
    <row r="2" spans="1:3" ht="19.8" thickBot="1" x14ac:dyDescent="0.35">
      <c r="A2" s="66" t="s">
        <v>2641</v>
      </c>
      <c r="B2" s="67" t="s">
        <v>237</v>
      </c>
      <c r="C2" s="68" t="s">
        <v>238</v>
      </c>
    </row>
    <row r="3" spans="1:3" x14ac:dyDescent="0.3">
      <c r="A3" s="64" t="s">
        <v>68</v>
      </c>
      <c r="B3" s="148" t="s">
        <v>252</v>
      </c>
      <c r="C3" s="65" t="s">
        <v>69</v>
      </c>
    </row>
    <row r="4" spans="1:3" x14ac:dyDescent="0.3">
      <c r="A4" s="59" t="s">
        <v>66</v>
      </c>
      <c r="B4" s="149"/>
      <c r="C4" s="60" t="s">
        <v>70</v>
      </c>
    </row>
    <row r="5" spans="1:3" x14ac:dyDescent="0.3">
      <c r="A5" s="59" t="s">
        <v>2642</v>
      </c>
      <c r="B5" s="149"/>
      <c r="C5" s="60" t="s">
        <v>2643</v>
      </c>
    </row>
    <row r="6" spans="1:3" x14ac:dyDescent="0.3">
      <c r="A6" s="59" t="s">
        <v>2661</v>
      </c>
      <c r="B6" s="149"/>
      <c r="C6" s="60" t="s">
        <v>2663</v>
      </c>
    </row>
    <row r="7" spans="1:3" x14ac:dyDescent="0.3">
      <c r="A7" s="59" t="s">
        <v>2662</v>
      </c>
      <c r="B7" s="149"/>
      <c r="C7" s="60" t="s">
        <v>2664</v>
      </c>
    </row>
    <row r="8" spans="1:3" x14ac:dyDescent="0.3">
      <c r="A8" s="59" t="s">
        <v>2635</v>
      </c>
      <c r="B8" s="149"/>
      <c r="C8" s="60" t="s">
        <v>2638</v>
      </c>
    </row>
    <row r="9" spans="1:3" x14ac:dyDescent="0.3">
      <c r="A9" s="59" t="s">
        <v>2644</v>
      </c>
      <c r="B9" s="149"/>
      <c r="C9" s="60" t="s">
        <v>2645</v>
      </c>
    </row>
    <row r="10" spans="1:3" x14ac:dyDescent="0.3">
      <c r="A10" s="59" t="s">
        <v>2655</v>
      </c>
      <c r="B10" s="149"/>
      <c r="C10" s="60" t="s">
        <v>2656</v>
      </c>
    </row>
    <row r="11" spans="1:3" x14ac:dyDescent="0.3">
      <c r="A11" s="59" t="s">
        <v>2194</v>
      </c>
      <c r="B11" s="149"/>
      <c r="C11" s="60" t="s">
        <v>2191</v>
      </c>
    </row>
    <row r="12" spans="1:3" x14ac:dyDescent="0.3">
      <c r="A12" s="59" t="s">
        <v>2193</v>
      </c>
      <c r="B12" s="149"/>
      <c r="C12" s="60" t="s">
        <v>2192</v>
      </c>
    </row>
    <row r="13" spans="1:3" x14ac:dyDescent="0.3">
      <c r="A13" s="59" t="s">
        <v>2196</v>
      </c>
      <c r="B13" s="149"/>
      <c r="C13" s="60" t="s">
        <v>2195</v>
      </c>
    </row>
    <row r="14" spans="1:3" x14ac:dyDescent="0.3">
      <c r="A14" s="59" t="s">
        <v>2199</v>
      </c>
      <c r="B14" s="149"/>
      <c r="C14" s="60" t="s">
        <v>2200</v>
      </c>
    </row>
    <row r="15" spans="1:3" x14ac:dyDescent="0.3">
      <c r="A15" s="59" t="s">
        <v>67</v>
      </c>
      <c r="B15" s="149"/>
      <c r="C15" s="60" t="s">
        <v>2198</v>
      </c>
    </row>
    <row r="16" spans="1:3" x14ac:dyDescent="0.3">
      <c r="A16" s="59" t="s">
        <v>2636</v>
      </c>
      <c r="B16" s="149"/>
      <c r="C16" s="60" t="s">
        <v>2639</v>
      </c>
    </row>
    <row r="17" spans="1:3" x14ac:dyDescent="0.3">
      <c r="A17" s="59" t="s">
        <v>2657</v>
      </c>
      <c r="B17" s="149"/>
      <c r="C17" s="60" t="s">
        <v>2658</v>
      </c>
    </row>
    <row r="18" spans="1:3" x14ac:dyDescent="0.3">
      <c r="A18" s="59" t="s">
        <v>278</v>
      </c>
      <c r="B18" s="149"/>
      <c r="C18" s="60" t="s">
        <v>2197</v>
      </c>
    </row>
    <row r="19" spans="1:3" x14ac:dyDescent="0.3">
      <c r="A19" s="59" t="s">
        <v>2637</v>
      </c>
      <c r="B19" s="149"/>
      <c r="C19" s="60" t="s">
        <v>2640</v>
      </c>
    </row>
    <row r="20" spans="1:3" x14ac:dyDescent="0.3">
      <c r="A20" s="59" t="s">
        <v>2180</v>
      </c>
      <c r="B20" s="149"/>
      <c r="C20" s="60" t="s">
        <v>2185</v>
      </c>
    </row>
    <row r="21" spans="1:3" x14ac:dyDescent="0.3">
      <c r="A21" s="59" t="s">
        <v>2181</v>
      </c>
      <c r="B21" s="149"/>
      <c r="C21" s="60" t="s">
        <v>2186</v>
      </c>
    </row>
    <row r="22" spans="1:3" x14ac:dyDescent="0.3">
      <c r="A22" s="59" t="s">
        <v>2182</v>
      </c>
      <c r="B22" s="149"/>
      <c r="C22" s="60" t="s">
        <v>2187</v>
      </c>
    </row>
    <row r="23" spans="1:3" x14ac:dyDescent="0.3">
      <c r="A23" s="59" t="s">
        <v>2183</v>
      </c>
      <c r="B23" s="149"/>
      <c r="C23" s="60" t="s">
        <v>2188</v>
      </c>
    </row>
    <row r="24" spans="1:3" ht="19.8" thickBot="1" x14ac:dyDescent="0.35">
      <c r="A24" s="61" t="s">
        <v>2184</v>
      </c>
      <c r="B24" s="150"/>
      <c r="C24" s="62" t="s">
        <v>2189</v>
      </c>
    </row>
    <row r="25" spans="1:3" x14ac:dyDescent="0.3">
      <c r="A25" s="64" t="s">
        <v>1227</v>
      </c>
      <c r="B25" s="148" t="s">
        <v>2201</v>
      </c>
      <c r="C25" s="65" t="s">
        <v>253</v>
      </c>
    </row>
    <row r="26" spans="1:3" x14ac:dyDescent="0.3">
      <c r="A26" s="59" t="s">
        <v>1228</v>
      </c>
      <c r="B26" s="149"/>
      <c r="C26" s="60" t="s">
        <v>239</v>
      </c>
    </row>
    <row r="27" spans="1:3" x14ac:dyDescent="0.3">
      <c r="A27" s="59" t="s">
        <v>1229</v>
      </c>
      <c r="B27" s="149"/>
      <c r="C27" s="60" t="s">
        <v>240</v>
      </c>
    </row>
    <row r="28" spans="1:3" x14ac:dyDescent="0.3">
      <c r="A28" s="59" t="s">
        <v>1230</v>
      </c>
      <c r="B28" s="149"/>
      <c r="C28" s="60" t="s">
        <v>241</v>
      </c>
    </row>
    <row r="29" spans="1:3" x14ac:dyDescent="0.3">
      <c r="A29" s="59" t="s">
        <v>1231</v>
      </c>
      <c r="B29" s="149"/>
      <c r="C29" s="60" t="s">
        <v>242</v>
      </c>
    </row>
    <row r="30" spans="1:3" x14ac:dyDescent="0.3">
      <c r="A30" s="59" t="s">
        <v>1232</v>
      </c>
      <c r="B30" s="149"/>
      <c r="C30" s="60" t="s">
        <v>243</v>
      </c>
    </row>
    <row r="31" spans="1:3" x14ac:dyDescent="0.3">
      <c r="A31" s="59" t="s">
        <v>1233</v>
      </c>
      <c r="B31" s="149"/>
      <c r="C31" s="60" t="s">
        <v>244</v>
      </c>
    </row>
    <row r="32" spans="1:3" x14ac:dyDescent="0.3">
      <c r="A32" s="59" t="s">
        <v>1234</v>
      </c>
      <c r="B32" s="149"/>
      <c r="C32" s="60" t="s">
        <v>245</v>
      </c>
    </row>
    <row r="33" spans="1:3" x14ac:dyDescent="0.3">
      <c r="A33" s="59" t="s">
        <v>1235</v>
      </c>
      <c r="B33" s="149"/>
      <c r="C33" s="60" t="s">
        <v>246</v>
      </c>
    </row>
    <row r="34" spans="1:3" x14ac:dyDescent="0.3">
      <c r="A34" s="59" t="s">
        <v>2649</v>
      </c>
      <c r="B34" s="149"/>
      <c r="C34" s="60" t="s">
        <v>2648</v>
      </c>
    </row>
    <row r="35" spans="1:3" x14ac:dyDescent="0.3">
      <c r="A35" s="59" t="s">
        <v>1236</v>
      </c>
      <c r="B35" s="149"/>
      <c r="C35" s="60" t="s">
        <v>247</v>
      </c>
    </row>
    <row r="36" spans="1:3" x14ac:dyDescent="0.3">
      <c r="A36" s="59" t="s">
        <v>1803</v>
      </c>
      <c r="B36" s="149"/>
      <c r="C36" s="60" t="s">
        <v>1802</v>
      </c>
    </row>
    <row r="37" spans="1:3" x14ac:dyDescent="0.3">
      <c r="A37" s="59" t="s">
        <v>1237</v>
      </c>
      <c r="B37" s="149"/>
      <c r="C37" s="60" t="s">
        <v>248</v>
      </c>
    </row>
    <row r="38" spans="1:3" x14ac:dyDescent="0.3">
      <c r="A38" s="59" t="s">
        <v>1238</v>
      </c>
      <c r="B38" s="149"/>
      <c r="C38" s="60" t="s">
        <v>249</v>
      </c>
    </row>
    <row r="39" spans="1:3" x14ac:dyDescent="0.3">
      <c r="A39" s="59" t="s">
        <v>1239</v>
      </c>
      <c r="B39" s="149"/>
      <c r="C39" s="60" t="s">
        <v>250</v>
      </c>
    </row>
    <row r="40" spans="1:3" x14ac:dyDescent="0.3">
      <c r="A40" s="59" t="s">
        <v>1240</v>
      </c>
      <c r="B40" s="149"/>
      <c r="C40" s="60" t="s">
        <v>92</v>
      </c>
    </row>
    <row r="41" spans="1:3" x14ac:dyDescent="0.3">
      <c r="A41" s="59" t="s">
        <v>1241</v>
      </c>
      <c r="B41" s="149"/>
      <c r="C41" s="60" t="s">
        <v>251</v>
      </c>
    </row>
    <row r="42" spans="1:3" x14ac:dyDescent="0.3">
      <c r="A42" s="59" t="s">
        <v>1646</v>
      </c>
      <c r="B42" s="149"/>
      <c r="C42" s="60" t="s">
        <v>271</v>
      </c>
    </row>
    <row r="43" spans="1:3" x14ac:dyDescent="0.3">
      <c r="A43" s="59" t="s">
        <v>1648</v>
      </c>
      <c r="B43" s="149"/>
      <c r="C43" s="60" t="s">
        <v>1644</v>
      </c>
    </row>
    <row r="44" spans="1:3" x14ac:dyDescent="0.3">
      <c r="A44" s="59" t="s">
        <v>1647</v>
      </c>
      <c r="B44" s="149"/>
      <c r="C44" s="60" t="s">
        <v>1642</v>
      </c>
    </row>
    <row r="45" spans="1:3" x14ac:dyDescent="0.3">
      <c r="A45" s="59" t="s">
        <v>1649</v>
      </c>
      <c r="B45" s="149"/>
      <c r="C45" s="60" t="s">
        <v>1643</v>
      </c>
    </row>
    <row r="46" spans="1:3" x14ac:dyDescent="0.3">
      <c r="A46" s="59" t="s">
        <v>1650</v>
      </c>
      <c r="B46" s="149"/>
      <c r="C46" s="60" t="s">
        <v>1645</v>
      </c>
    </row>
    <row r="47" spans="1:3" ht="19.8" thickBot="1" x14ac:dyDescent="0.35">
      <c r="A47" s="61" t="s">
        <v>1242</v>
      </c>
      <c r="B47" s="150"/>
      <c r="C47" s="62" t="s">
        <v>1225</v>
      </c>
    </row>
    <row r="48" spans="1:3" ht="19.2" customHeight="1" x14ac:dyDescent="0.3">
      <c r="A48" s="64" t="s">
        <v>1243</v>
      </c>
      <c r="B48" s="148" t="s">
        <v>233</v>
      </c>
      <c r="C48" s="65" t="s">
        <v>2</v>
      </c>
    </row>
    <row r="49" spans="1:3" x14ac:dyDescent="0.3">
      <c r="A49" s="59" t="s">
        <v>1244</v>
      </c>
      <c r="B49" s="149"/>
      <c r="C49" s="60" t="s">
        <v>3</v>
      </c>
    </row>
    <row r="50" spans="1:3" x14ac:dyDescent="0.3">
      <c r="A50" s="59" t="s">
        <v>1245</v>
      </c>
      <c r="B50" s="149"/>
      <c r="C50" s="60" t="s">
        <v>42</v>
      </c>
    </row>
    <row r="51" spans="1:3" x14ac:dyDescent="0.3">
      <c r="A51" s="59" t="s">
        <v>1246</v>
      </c>
      <c r="B51" s="149"/>
      <c r="C51" s="60" t="s">
        <v>64</v>
      </c>
    </row>
    <row r="52" spans="1:3" x14ac:dyDescent="0.3">
      <c r="A52" s="59" t="s">
        <v>1247</v>
      </c>
      <c r="B52" s="149"/>
      <c r="C52" s="60" t="s">
        <v>235</v>
      </c>
    </row>
    <row r="53" spans="1:3" x14ac:dyDescent="0.3">
      <c r="A53" s="59" t="s">
        <v>1248</v>
      </c>
      <c r="B53" s="149"/>
      <c r="C53" s="60" t="s">
        <v>236</v>
      </c>
    </row>
    <row r="54" spans="1:3" x14ac:dyDescent="0.3">
      <c r="A54" s="59" t="s">
        <v>1249</v>
      </c>
      <c r="B54" s="149"/>
      <c r="C54" s="60" t="s">
        <v>23</v>
      </c>
    </row>
    <row r="55" spans="1:3" x14ac:dyDescent="0.3">
      <c r="A55" s="59" t="s">
        <v>1250</v>
      </c>
      <c r="B55" s="149"/>
      <c r="C55" s="60" t="s">
        <v>24</v>
      </c>
    </row>
    <row r="56" spans="1:3" x14ac:dyDescent="0.3">
      <c r="A56" s="59" t="s">
        <v>1251</v>
      </c>
      <c r="B56" s="149"/>
      <c r="C56" s="60" t="s">
        <v>30</v>
      </c>
    </row>
    <row r="57" spans="1:3" x14ac:dyDescent="0.3">
      <c r="A57" s="59" t="s">
        <v>1252</v>
      </c>
      <c r="B57" s="149"/>
      <c r="C57" s="60" t="s">
        <v>31</v>
      </c>
    </row>
    <row r="58" spans="1:3" x14ac:dyDescent="0.3">
      <c r="A58" s="59" t="s">
        <v>1253</v>
      </c>
      <c r="B58" s="149"/>
      <c r="C58" s="60" t="s">
        <v>1226</v>
      </c>
    </row>
    <row r="59" spans="1:3" x14ac:dyDescent="0.3">
      <c r="A59" s="59" t="s">
        <v>1254</v>
      </c>
      <c r="B59" s="149"/>
      <c r="C59" s="60" t="s">
        <v>34</v>
      </c>
    </row>
    <row r="60" spans="1:3" x14ac:dyDescent="0.3">
      <c r="A60" s="59" t="s">
        <v>1255</v>
      </c>
      <c r="B60" s="149"/>
      <c r="C60" s="60" t="s">
        <v>35</v>
      </c>
    </row>
    <row r="61" spans="1:3" x14ac:dyDescent="0.3">
      <c r="A61" s="59" t="s">
        <v>1256</v>
      </c>
      <c r="B61" s="149"/>
      <c r="C61" s="60" t="s">
        <v>36</v>
      </c>
    </row>
    <row r="62" spans="1:3" x14ac:dyDescent="0.3">
      <c r="A62" s="59" t="s">
        <v>1257</v>
      </c>
      <c r="B62" s="149"/>
      <c r="C62" s="60" t="s">
        <v>39</v>
      </c>
    </row>
    <row r="63" spans="1:3" x14ac:dyDescent="0.3">
      <c r="A63" s="59" t="s">
        <v>1258</v>
      </c>
      <c r="B63" s="149"/>
      <c r="C63" s="60" t="s">
        <v>40</v>
      </c>
    </row>
    <row r="64" spans="1:3" x14ac:dyDescent="0.3">
      <c r="A64" s="59" t="s">
        <v>1259</v>
      </c>
      <c r="B64" s="149"/>
      <c r="C64" s="60" t="s">
        <v>41</v>
      </c>
    </row>
    <row r="65" spans="1:3" x14ac:dyDescent="0.3">
      <c r="A65" s="59" t="s">
        <v>1260</v>
      </c>
      <c r="B65" s="149"/>
      <c r="C65" s="60" t="s">
        <v>49</v>
      </c>
    </row>
    <row r="66" spans="1:3" x14ac:dyDescent="0.3">
      <c r="A66" s="59" t="s">
        <v>1261</v>
      </c>
      <c r="B66" s="149"/>
      <c r="C66" s="60" t="s">
        <v>50</v>
      </c>
    </row>
    <row r="67" spans="1:3" x14ac:dyDescent="0.3">
      <c r="A67" s="59" t="s">
        <v>1262</v>
      </c>
      <c r="B67" s="149"/>
      <c r="C67" s="60" t="s">
        <v>53</v>
      </c>
    </row>
    <row r="68" spans="1:3" x14ac:dyDescent="0.3">
      <c r="A68" s="59" t="s">
        <v>1263</v>
      </c>
      <c r="B68" s="149"/>
      <c r="C68" s="60" t="s">
        <v>54</v>
      </c>
    </row>
    <row r="69" spans="1:3" x14ac:dyDescent="0.3">
      <c r="A69" s="59" t="s">
        <v>1264</v>
      </c>
      <c r="B69" s="149"/>
      <c r="C69" s="60" t="s">
        <v>55</v>
      </c>
    </row>
    <row r="70" spans="1:3" x14ac:dyDescent="0.3">
      <c r="A70" s="59" t="s">
        <v>1265</v>
      </c>
      <c r="B70" s="149"/>
      <c r="C70" s="60" t="s">
        <v>94</v>
      </c>
    </row>
    <row r="71" spans="1:3" x14ac:dyDescent="0.3">
      <c r="A71" s="59" t="s">
        <v>1266</v>
      </c>
      <c r="B71" s="149"/>
      <c r="C71" s="60" t="s">
        <v>56</v>
      </c>
    </row>
    <row r="72" spans="1:3" x14ac:dyDescent="0.3">
      <c r="A72" s="59" t="s">
        <v>1267</v>
      </c>
      <c r="B72" s="149"/>
      <c r="C72" s="60" t="s">
        <v>57</v>
      </c>
    </row>
    <row r="73" spans="1:3" x14ac:dyDescent="0.3">
      <c r="A73" s="59" t="s">
        <v>1268</v>
      </c>
      <c r="B73" s="149"/>
      <c r="C73" s="60" t="s">
        <v>59</v>
      </c>
    </row>
    <row r="74" spans="1:3" x14ac:dyDescent="0.3">
      <c r="A74" s="59" t="s">
        <v>1269</v>
      </c>
      <c r="B74" s="149"/>
      <c r="C74" s="60" t="s">
        <v>60</v>
      </c>
    </row>
    <row r="75" spans="1:3" x14ac:dyDescent="0.3">
      <c r="A75" s="59" t="s">
        <v>1270</v>
      </c>
      <c r="B75" s="149"/>
      <c r="C75" s="60" t="s">
        <v>61</v>
      </c>
    </row>
    <row r="76" spans="1:3" x14ac:dyDescent="0.3">
      <c r="A76" s="59" t="s">
        <v>1271</v>
      </c>
      <c r="B76" s="149"/>
      <c r="C76" s="60" t="s">
        <v>62</v>
      </c>
    </row>
    <row r="77" spans="1:3" x14ac:dyDescent="0.3">
      <c r="A77" s="59" t="s">
        <v>1272</v>
      </c>
      <c r="B77" s="149"/>
      <c r="C77" s="60" t="s">
        <v>63</v>
      </c>
    </row>
    <row r="78" spans="1:3" x14ac:dyDescent="0.3">
      <c r="A78" s="59" t="s">
        <v>1273</v>
      </c>
      <c r="B78" s="149"/>
      <c r="C78" s="60" t="s">
        <v>77</v>
      </c>
    </row>
    <row r="79" spans="1:3" x14ac:dyDescent="0.3">
      <c r="A79" s="59" t="s">
        <v>1274</v>
      </c>
      <c r="B79" s="149"/>
      <c r="C79" s="60" t="s">
        <v>78</v>
      </c>
    </row>
    <row r="80" spans="1:3" x14ac:dyDescent="0.3">
      <c r="A80" s="59" t="s">
        <v>1275</v>
      </c>
      <c r="B80" s="149"/>
      <c r="C80" s="60" t="s">
        <v>82</v>
      </c>
    </row>
    <row r="81" spans="1:3" x14ac:dyDescent="0.3">
      <c r="A81" s="59" t="s">
        <v>1276</v>
      </c>
      <c r="B81" s="149"/>
      <c r="C81" s="60" t="s">
        <v>83</v>
      </c>
    </row>
    <row r="82" spans="1:3" x14ac:dyDescent="0.3">
      <c r="A82" s="59" t="s">
        <v>1277</v>
      </c>
      <c r="B82" s="149"/>
      <c r="C82" s="60" t="s">
        <v>84</v>
      </c>
    </row>
    <row r="83" spans="1:3" x14ac:dyDescent="0.3">
      <c r="A83" s="59" t="s">
        <v>1278</v>
      </c>
      <c r="B83" s="149"/>
      <c r="C83" s="60" t="s">
        <v>91</v>
      </c>
    </row>
    <row r="84" spans="1:3" x14ac:dyDescent="0.3">
      <c r="A84" s="59" t="s">
        <v>1279</v>
      </c>
      <c r="B84" s="149"/>
      <c r="C84" s="60" t="s">
        <v>92</v>
      </c>
    </row>
    <row r="85" spans="1:3" x14ac:dyDescent="0.3">
      <c r="A85" s="59" t="s">
        <v>1280</v>
      </c>
      <c r="B85" s="149"/>
      <c r="C85" s="60" t="s">
        <v>93</v>
      </c>
    </row>
    <row r="86" spans="1:3" x14ac:dyDescent="0.3">
      <c r="A86" s="59" t="s">
        <v>1281</v>
      </c>
      <c r="B86" s="149"/>
      <c r="C86" s="60" t="s">
        <v>101</v>
      </c>
    </row>
    <row r="87" spans="1:3" x14ac:dyDescent="0.3">
      <c r="A87" s="59" t="s">
        <v>1282</v>
      </c>
      <c r="B87" s="149"/>
      <c r="C87" s="60" t="s">
        <v>102</v>
      </c>
    </row>
    <row r="88" spans="1:3" x14ac:dyDescent="0.3">
      <c r="A88" s="59" t="s">
        <v>1283</v>
      </c>
      <c r="B88" s="149"/>
      <c r="C88" s="60" t="s">
        <v>103</v>
      </c>
    </row>
    <row r="89" spans="1:3" x14ac:dyDescent="0.3">
      <c r="A89" s="59" t="s">
        <v>1284</v>
      </c>
      <c r="B89" s="149"/>
      <c r="C89" s="60" t="s">
        <v>109</v>
      </c>
    </row>
    <row r="90" spans="1:3" x14ac:dyDescent="0.3">
      <c r="A90" s="59" t="s">
        <v>1285</v>
      </c>
      <c r="B90" s="149"/>
      <c r="C90" s="60" t="s">
        <v>110</v>
      </c>
    </row>
    <row r="91" spans="1:3" x14ac:dyDescent="0.3">
      <c r="A91" s="59" t="s">
        <v>1286</v>
      </c>
      <c r="B91" s="149"/>
      <c r="C91" s="60" t="s">
        <v>111</v>
      </c>
    </row>
    <row r="92" spans="1:3" x14ac:dyDescent="0.3">
      <c r="A92" s="59" t="s">
        <v>1287</v>
      </c>
      <c r="B92" s="149"/>
      <c r="C92" s="60" t="s">
        <v>116</v>
      </c>
    </row>
    <row r="93" spans="1:3" x14ac:dyDescent="0.3">
      <c r="A93" s="59" t="s">
        <v>1288</v>
      </c>
      <c r="B93" s="149"/>
      <c r="C93" s="60" t="s">
        <v>120</v>
      </c>
    </row>
    <row r="94" spans="1:3" x14ac:dyDescent="0.3">
      <c r="A94" s="59" t="s">
        <v>1289</v>
      </c>
      <c r="B94" s="149"/>
      <c r="C94" s="60" t="s">
        <v>121</v>
      </c>
    </row>
    <row r="95" spans="1:3" x14ac:dyDescent="0.3">
      <c r="A95" s="59" t="s">
        <v>1290</v>
      </c>
      <c r="B95" s="149"/>
      <c r="C95" s="60" t="s">
        <v>234</v>
      </c>
    </row>
    <row r="96" spans="1:3" x14ac:dyDescent="0.3">
      <c r="A96" s="59" t="s">
        <v>1291</v>
      </c>
      <c r="B96" s="149"/>
      <c r="C96" s="60" t="s">
        <v>147</v>
      </c>
    </row>
    <row r="97" spans="1:3" x14ac:dyDescent="0.3">
      <c r="A97" s="59" t="s">
        <v>1292</v>
      </c>
      <c r="B97" s="149"/>
      <c r="C97" s="60" t="s">
        <v>151</v>
      </c>
    </row>
    <row r="98" spans="1:3" x14ac:dyDescent="0.3">
      <c r="A98" s="59" t="s">
        <v>1293</v>
      </c>
      <c r="B98" s="149"/>
      <c r="C98" s="60" t="s">
        <v>152</v>
      </c>
    </row>
    <row r="99" spans="1:3" x14ac:dyDescent="0.3">
      <c r="A99" s="59" t="s">
        <v>1294</v>
      </c>
      <c r="B99" s="149"/>
      <c r="C99" s="60" t="s">
        <v>153</v>
      </c>
    </row>
    <row r="100" spans="1:3" x14ac:dyDescent="0.3">
      <c r="A100" s="59" t="s">
        <v>1295</v>
      </c>
      <c r="B100" s="149"/>
      <c r="C100" s="60" t="s">
        <v>157</v>
      </c>
    </row>
    <row r="101" spans="1:3" x14ac:dyDescent="0.3">
      <c r="A101" s="59" t="s">
        <v>1296</v>
      </c>
      <c r="B101" s="149"/>
      <c r="C101" s="60" t="s">
        <v>254</v>
      </c>
    </row>
    <row r="102" spans="1:3" x14ac:dyDescent="0.3">
      <c r="A102" s="59" t="s">
        <v>1297</v>
      </c>
      <c r="B102" s="149"/>
      <c r="C102" s="60" t="s">
        <v>158</v>
      </c>
    </row>
    <row r="103" spans="1:3" x14ac:dyDescent="0.3">
      <c r="A103" s="59" t="s">
        <v>1298</v>
      </c>
      <c r="B103" s="149"/>
      <c r="C103" s="60" t="s">
        <v>168</v>
      </c>
    </row>
    <row r="104" spans="1:3" x14ac:dyDescent="0.3">
      <c r="A104" s="59" t="s">
        <v>1299</v>
      </c>
      <c r="B104" s="149"/>
      <c r="C104" s="60" t="s">
        <v>171</v>
      </c>
    </row>
    <row r="105" spans="1:3" x14ac:dyDescent="0.3">
      <c r="A105" s="59" t="s">
        <v>1300</v>
      </c>
      <c r="B105" s="149"/>
      <c r="C105" s="60" t="s">
        <v>172</v>
      </c>
    </row>
    <row r="106" spans="1:3" x14ac:dyDescent="0.3">
      <c r="A106" s="59" t="s">
        <v>1301</v>
      </c>
      <c r="B106" s="149"/>
      <c r="C106" s="60" t="s">
        <v>192</v>
      </c>
    </row>
    <row r="107" spans="1:3" x14ac:dyDescent="0.3">
      <c r="A107" s="59" t="s">
        <v>1302</v>
      </c>
      <c r="B107" s="149"/>
      <c r="C107" s="60" t="s">
        <v>193</v>
      </c>
    </row>
    <row r="108" spans="1:3" x14ac:dyDescent="0.3">
      <c r="A108" s="59" t="s">
        <v>1303</v>
      </c>
      <c r="B108" s="149"/>
      <c r="C108" s="60" t="s">
        <v>194</v>
      </c>
    </row>
    <row r="109" spans="1:3" x14ac:dyDescent="0.3">
      <c r="A109" s="59" t="s">
        <v>1304</v>
      </c>
      <c r="B109" s="149"/>
      <c r="C109" s="60" t="s">
        <v>197</v>
      </c>
    </row>
    <row r="110" spans="1:3" x14ac:dyDescent="0.3">
      <c r="A110" s="59" t="s">
        <v>1305</v>
      </c>
      <c r="B110" s="149"/>
      <c r="C110" s="60" t="s">
        <v>195</v>
      </c>
    </row>
    <row r="111" spans="1:3" x14ac:dyDescent="0.3">
      <c r="A111" s="59" t="s">
        <v>1306</v>
      </c>
      <c r="B111" s="149"/>
      <c r="C111" s="60" t="s">
        <v>196</v>
      </c>
    </row>
    <row r="112" spans="1:3" x14ac:dyDescent="0.3">
      <c r="A112" s="59" t="s">
        <v>1307</v>
      </c>
      <c r="B112" s="149"/>
      <c r="C112" s="60" t="s">
        <v>219</v>
      </c>
    </row>
    <row r="113" spans="1:3" x14ac:dyDescent="0.3">
      <c r="A113" s="59" t="s">
        <v>1308</v>
      </c>
      <c r="B113" s="149"/>
      <c r="C113" s="60" t="s">
        <v>220</v>
      </c>
    </row>
    <row r="114" spans="1:3" x14ac:dyDescent="0.3">
      <c r="A114" s="59" t="s">
        <v>1309</v>
      </c>
      <c r="B114" s="149"/>
      <c r="C114" s="60" t="s">
        <v>221</v>
      </c>
    </row>
    <row r="115" spans="1:3" x14ac:dyDescent="0.3">
      <c r="A115" s="59" t="s">
        <v>1310</v>
      </c>
      <c r="B115" s="149"/>
      <c r="C115" s="60" t="s">
        <v>718</v>
      </c>
    </row>
    <row r="116" spans="1:3" x14ac:dyDescent="0.3">
      <c r="A116" s="59" t="s">
        <v>1311</v>
      </c>
      <c r="B116" s="149"/>
      <c r="C116" s="60" t="s">
        <v>719</v>
      </c>
    </row>
    <row r="117" spans="1:3" x14ac:dyDescent="0.3">
      <c r="A117" s="59" t="s">
        <v>1312</v>
      </c>
      <c r="B117" s="149"/>
      <c r="C117" s="60" t="s">
        <v>720</v>
      </c>
    </row>
    <row r="118" spans="1:3" x14ac:dyDescent="0.3">
      <c r="A118" s="59" t="s">
        <v>1313</v>
      </c>
      <c r="B118" s="149"/>
      <c r="C118" s="60" t="s">
        <v>721</v>
      </c>
    </row>
    <row r="119" spans="1:3" x14ac:dyDescent="0.3">
      <c r="A119" s="59" t="s">
        <v>1314</v>
      </c>
      <c r="B119" s="149"/>
      <c r="C119" s="60" t="s">
        <v>722</v>
      </c>
    </row>
    <row r="120" spans="1:3" x14ac:dyDescent="0.3">
      <c r="A120" s="59" t="s">
        <v>1315</v>
      </c>
      <c r="B120" s="149"/>
      <c r="C120" s="60" t="s">
        <v>723</v>
      </c>
    </row>
    <row r="121" spans="1:3" x14ac:dyDescent="0.3">
      <c r="A121" s="59" t="s">
        <v>1316</v>
      </c>
      <c r="B121" s="149"/>
      <c r="C121" s="60" t="s">
        <v>724</v>
      </c>
    </row>
    <row r="122" spans="1:3" x14ac:dyDescent="0.3">
      <c r="A122" s="59" t="s">
        <v>1317</v>
      </c>
      <c r="B122" s="149"/>
      <c r="C122" s="60" t="s">
        <v>725</v>
      </c>
    </row>
    <row r="123" spans="1:3" x14ac:dyDescent="0.3">
      <c r="A123" s="59" t="s">
        <v>1318</v>
      </c>
      <c r="B123" s="149"/>
      <c r="C123" s="60" t="s">
        <v>726</v>
      </c>
    </row>
    <row r="124" spans="1:3" x14ac:dyDescent="0.3">
      <c r="A124" s="59" t="s">
        <v>1319</v>
      </c>
      <c r="B124" s="149"/>
      <c r="C124" s="60" t="s">
        <v>727</v>
      </c>
    </row>
    <row r="125" spans="1:3" x14ac:dyDescent="0.3">
      <c r="A125" s="59" t="s">
        <v>1320</v>
      </c>
      <c r="B125" s="149"/>
      <c r="C125" s="60" t="s">
        <v>728</v>
      </c>
    </row>
    <row r="126" spans="1:3" x14ac:dyDescent="0.3">
      <c r="A126" s="59" t="s">
        <v>1321</v>
      </c>
      <c r="B126" s="149"/>
      <c r="C126" s="60" t="s">
        <v>729</v>
      </c>
    </row>
    <row r="127" spans="1:3" x14ac:dyDescent="0.3">
      <c r="A127" s="59" t="s">
        <v>1322</v>
      </c>
      <c r="B127" s="149"/>
      <c r="C127" s="60" t="s">
        <v>730</v>
      </c>
    </row>
    <row r="128" spans="1:3" x14ac:dyDescent="0.3">
      <c r="A128" s="59" t="s">
        <v>1323</v>
      </c>
      <c r="B128" s="149"/>
      <c r="C128" s="60" t="s">
        <v>731</v>
      </c>
    </row>
    <row r="129" spans="1:3" x14ac:dyDescent="0.3">
      <c r="A129" s="59" t="s">
        <v>1324</v>
      </c>
      <c r="B129" s="149"/>
      <c r="C129" s="60" t="s">
        <v>732</v>
      </c>
    </row>
    <row r="130" spans="1:3" x14ac:dyDescent="0.3">
      <c r="A130" s="59" t="s">
        <v>1325</v>
      </c>
      <c r="B130" s="149"/>
      <c r="C130" s="60" t="s">
        <v>733</v>
      </c>
    </row>
    <row r="131" spans="1:3" x14ac:dyDescent="0.3">
      <c r="A131" s="59" t="s">
        <v>1326</v>
      </c>
      <c r="B131" s="149"/>
      <c r="C131" s="60" t="s">
        <v>734</v>
      </c>
    </row>
    <row r="132" spans="1:3" x14ac:dyDescent="0.3">
      <c r="A132" s="59" t="s">
        <v>1327</v>
      </c>
      <c r="B132" s="149"/>
      <c r="C132" s="60" t="s">
        <v>735</v>
      </c>
    </row>
    <row r="133" spans="1:3" x14ac:dyDescent="0.3">
      <c r="A133" s="59" t="s">
        <v>1328</v>
      </c>
      <c r="B133" s="149"/>
      <c r="C133" s="60" t="s">
        <v>736</v>
      </c>
    </row>
    <row r="134" spans="1:3" x14ac:dyDescent="0.3">
      <c r="A134" s="59" t="s">
        <v>1329</v>
      </c>
      <c r="B134" s="149"/>
      <c r="C134" s="60" t="s">
        <v>737</v>
      </c>
    </row>
    <row r="135" spans="1:3" x14ac:dyDescent="0.3">
      <c r="A135" s="59" t="s">
        <v>1330</v>
      </c>
      <c r="B135" s="149"/>
      <c r="C135" s="60" t="s">
        <v>738</v>
      </c>
    </row>
    <row r="136" spans="1:3" x14ac:dyDescent="0.3">
      <c r="A136" s="59" t="s">
        <v>1331</v>
      </c>
      <c r="B136" s="149"/>
      <c r="C136" s="60" t="s">
        <v>739</v>
      </c>
    </row>
    <row r="137" spans="1:3" x14ac:dyDescent="0.3">
      <c r="A137" s="59" t="s">
        <v>1332</v>
      </c>
      <c r="B137" s="149"/>
      <c r="C137" s="60" t="s">
        <v>740</v>
      </c>
    </row>
    <row r="138" spans="1:3" x14ac:dyDescent="0.3">
      <c r="A138" s="59" t="s">
        <v>1333</v>
      </c>
      <c r="B138" s="149"/>
      <c r="C138" s="60" t="s">
        <v>741</v>
      </c>
    </row>
    <row r="139" spans="1:3" x14ac:dyDescent="0.3">
      <c r="A139" s="59" t="s">
        <v>1334</v>
      </c>
      <c r="B139" s="149"/>
      <c r="C139" s="60" t="s">
        <v>742</v>
      </c>
    </row>
    <row r="140" spans="1:3" x14ac:dyDescent="0.3">
      <c r="A140" s="59" t="s">
        <v>1335</v>
      </c>
      <c r="B140" s="149"/>
      <c r="C140" s="60" t="s">
        <v>743</v>
      </c>
    </row>
    <row r="141" spans="1:3" x14ac:dyDescent="0.3">
      <c r="A141" s="59" t="s">
        <v>1336</v>
      </c>
      <c r="B141" s="149"/>
      <c r="C141" s="60" t="s">
        <v>744</v>
      </c>
    </row>
    <row r="142" spans="1:3" x14ac:dyDescent="0.3">
      <c r="A142" s="59" t="s">
        <v>1337</v>
      </c>
      <c r="B142" s="149"/>
      <c r="C142" s="60" t="s">
        <v>745</v>
      </c>
    </row>
    <row r="143" spans="1:3" x14ac:dyDescent="0.3">
      <c r="A143" s="59" t="s">
        <v>1338</v>
      </c>
      <c r="B143" s="149"/>
      <c r="C143" s="60" t="s">
        <v>746</v>
      </c>
    </row>
    <row r="144" spans="1:3" x14ac:dyDescent="0.3">
      <c r="A144" s="59" t="s">
        <v>1339</v>
      </c>
      <c r="B144" s="149"/>
      <c r="C144" s="60" t="s">
        <v>747</v>
      </c>
    </row>
    <row r="145" spans="1:3" x14ac:dyDescent="0.3">
      <c r="A145" s="59" t="s">
        <v>1340</v>
      </c>
      <c r="B145" s="149"/>
      <c r="C145" s="60" t="s">
        <v>748</v>
      </c>
    </row>
    <row r="146" spans="1:3" x14ac:dyDescent="0.3">
      <c r="A146" s="59" t="s">
        <v>1341</v>
      </c>
      <c r="B146" s="149"/>
      <c r="C146" s="60" t="s">
        <v>749</v>
      </c>
    </row>
    <row r="147" spans="1:3" x14ac:dyDescent="0.3">
      <c r="A147" s="59" t="s">
        <v>1342</v>
      </c>
      <c r="B147" s="149"/>
      <c r="C147" s="60" t="s">
        <v>750</v>
      </c>
    </row>
    <row r="148" spans="1:3" x14ac:dyDescent="0.3">
      <c r="A148" s="59" t="s">
        <v>1343</v>
      </c>
      <c r="B148" s="149"/>
      <c r="C148" s="60" t="s">
        <v>751</v>
      </c>
    </row>
    <row r="149" spans="1:3" x14ac:dyDescent="0.3">
      <c r="A149" s="59" t="s">
        <v>1344</v>
      </c>
      <c r="B149" s="149"/>
      <c r="C149" s="60" t="s">
        <v>752</v>
      </c>
    </row>
    <row r="150" spans="1:3" x14ac:dyDescent="0.3">
      <c r="A150" s="59" t="s">
        <v>1345</v>
      </c>
      <c r="B150" s="149"/>
      <c r="C150" s="60" t="s">
        <v>753</v>
      </c>
    </row>
    <row r="151" spans="1:3" x14ac:dyDescent="0.3">
      <c r="A151" s="59" t="s">
        <v>1346</v>
      </c>
      <c r="B151" s="149"/>
      <c r="C151" s="60" t="s">
        <v>754</v>
      </c>
    </row>
    <row r="152" spans="1:3" x14ac:dyDescent="0.3">
      <c r="A152" s="59" t="s">
        <v>1347</v>
      </c>
      <c r="B152" s="149"/>
      <c r="C152" s="60" t="s">
        <v>755</v>
      </c>
    </row>
    <row r="153" spans="1:3" x14ac:dyDescent="0.3">
      <c r="A153" s="59" t="s">
        <v>1348</v>
      </c>
      <c r="B153" s="149"/>
      <c r="C153" s="60" t="s">
        <v>756</v>
      </c>
    </row>
    <row r="154" spans="1:3" x14ac:dyDescent="0.3">
      <c r="A154" s="59" t="s">
        <v>1349</v>
      </c>
      <c r="B154" s="149"/>
      <c r="C154" s="60" t="s">
        <v>757</v>
      </c>
    </row>
    <row r="155" spans="1:3" x14ac:dyDescent="0.3">
      <c r="A155" s="59" t="s">
        <v>1350</v>
      </c>
      <c r="B155" s="149"/>
      <c r="C155" s="60" t="s">
        <v>758</v>
      </c>
    </row>
    <row r="156" spans="1:3" x14ac:dyDescent="0.3">
      <c r="A156" s="59" t="s">
        <v>1351</v>
      </c>
      <c r="B156" s="149"/>
      <c r="C156" s="60" t="s">
        <v>759</v>
      </c>
    </row>
    <row r="157" spans="1:3" x14ac:dyDescent="0.3">
      <c r="A157" s="59" t="s">
        <v>1352</v>
      </c>
      <c r="B157" s="149"/>
      <c r="C157" s="60" t="s">
        <v>760</v>
      </c>
    </row>
    <row r="158" spans="1:3" x14ac:dyDescent="0.3">
      <c r="A158" s="59" t="s">
        <v>1353</v>
      </c>
      <c r="B158" s="149"/>
      <c r="C158" s="60" t="s">
        <v>761</v>
      </c>
    </row>
    <row r="159" spans="1:3" x14ac:dyDescent="0.3">
      <c r="A159" s="59" t="s">
        <v>1354</v>
      </c>
      <c r="B159" s="149"/>
      <c r="C159" s="60" t="s">
        <v>762</v>
      </c>
    </row>
    <row r="160" spans="1:3" x14ac:dyDescent="0.3">
      <c r="A160" s="59" t="s">
        <v>1355</v>
      </c>
      <c r="B160" s="149"/>
      <c r="C160" s="60" t="s">
        <v>763</v>
      </c>
    </row>
    <row r="161" spans="1:3" x14ac:dyDescent="0.3">
      <c r="A161" s="59" t="s">
        <v>1356</v>
      </c>
      <c r="B161" s="149"/>
      <c r="C161" s="60" t="s">
        <v>764</v>
      </c>
    </row>
    <row r="162" spans="1:3" x14ac:dyDescent="0.3">
      <c r="A162" s="59" t="s">
        <v>1357</v>
      </c>
      <c r="B162" s="149"/>
      <c r="C162" s="60" t="s">
        <v>765</v>
      </c>
    </row>
    <row r="163" spans="1:3" x14ac:dyDescent="0.3">
      <c r="A163" s="59" t="s">
        <v>1358</v>
      </c>
      <c r="B163" s="149"/>
      <c r="C163" s="60" t="s">
        <v>766</v>
      </c>
    </row>
    <row r="164" spans="1:3" x14ac:dyDescent="0.3">
      <c r="A164" s="59" t="s">
        <v>1359</v>
      </c>
      <c r="B164" s="149"/>
      <c r="C164" s="60" t="s">
        <v>767</v>
      </c>
    </row>
    <row r="165" spans="1:3" x14ac:dyDescent="0.3">
      <c r="A165" s="59" t="s">
        <v>1360</v>
      </c>
      <c r="B165" s="149"/>
      <c r="C165" s="60" t="s">
        <v>768</v>
      </c>
    </row>
    <row r="166" spans="1:3" x14ac:dyDescent="0.3">
      <c r="A166" s="59" t="s">
        <v>1361</v>
      </c>
      <c r="B166" s="149"/>
      <c r="C166" s="60" t="s">
        <v>769</v>
      </c>
    </row>
    <row r="167" spans="1:3" x14ac:dyDescent="0.3">
      <c r="A167" s="59" t="s">
        <v>1362</v>
      </c>
      <c r="B167" s="149"/>
      <c r="C167" s="60" t="s">
        <v>770</v>
      </c>
    </row>
    <row r="168" spans="1:3" x14ac:dyDescent="0.3">
      <c r="A168" s="59" t="s">
        <v>1363</v>
      </c>
      <c r="B168" s="149"/>
      <c r="C168" s="60" t="s">
        <v>771</v>
      </c>
    </row>
    <row r="169" spans="1:3" x14ac:dyDescent="0.3">
      <c r="A169" s="59" t="s">
        <v>1364</v>
      </c>
      <c r="B169" s="149"/>
      <c r="C169" s="60" t="s">
        <v>772</v>
      </c>
    </row>
    <row r="170" spans="1:3" x14ac:dyDescent="0.3">
      <c r="A170" s="59" t="s">
        <v>1365</v>
      </c>
      <c r="B170" s="149"/>
      <c r="C170" s="60" t="s">
        <v>773</v>
      </c>
    </row>
    <row r="171" spans="1:3" x14ac:dyDescent="0.3">
      <c r="A171" s="59" t="s">
        <v>1366</v>
      </c>
      <c r="B171" s="149"/>
      <c r="C171" s="60" t="s">
        <v>774</v>
      </c>
    </row>
    <row r="172" spans="1:3" x14ac:dyDescent="0.3">
      <c r="A172" s="59" t="s">
        <v>1367</v>
      </c>
      <c r="B172" s="149"/>
      <c r="C172" s="60" t="s">
        <v>775</v>
      </c>
    </row>
    <row r="173" spans="1:3" x14ac:dyDescent="0.3">
      <c r="A173" s="59" t="s">
        <v>1368</v>
      </c>
      <c r="B173" s="149"/>
      <c r="C173" s="60" t="s">
        <v>776</v>
      </c>
    </row>
    <row r="174" spans="1:3" x14ac:dyDescent="0.3">
      <c r="A174" s="59" t="s">
        <v>1369</v>
      </c>
      <c r="B174" s="149"/>
      <c r="C174" s="60" t="s">
        <v>777</v>
      </c>
    </row>
    <row r="175" spans="1:3" x14ac:dyDescent="0.3">
      <c r="A175" s="59" t="s">
        <v>1370</v>
      </c>
      <c r="B175" s="149"/>
      <c r="C175" s="60" t="s">
        <v>778</v>
      </c>
    </row>
    <row r="176" spans="1:3" x14ac:dyDescent="0.3">
      <c r="A176" s="59" t="s">
        <v>1371</v>
      </c>
      <c r="B176" s="149"/>
      <c r="C176" s="60" t="s">
        <v>779</v>
      </c>
    </row>
    <row r="177" spans="1:3" x14ac:dyDescent="0.3">
      <c r="A177" s="59" t="s">
        <v>1372</v>
      </c>
      <c r="B177" s="149"/>
      <c r="C177" s="60" t="s">
        <v>780</v>
      </c>
    </row>
    <row r="178" spans="1:3" x14ac:dyDescent="0.3">
      <c r="A178" s="59" t="s">
        <v>1373</v>
      </c>
      <c r="B178" s="149"/>
      <c r="C178" s="60" t="s">
        <v>781</v>
      </c>
    </row>
    <row r="179" spans="1:3" x14ac:dyDescent="0.3">
      <c r="A179" s="59" t="s">
        <v>1374</v>
      </c>
      <c r="B179" s="149"/>
      <c r="C179" s="60" t="s">
        <v>782</v>
      </c>
    </row>
    <row r="180" spans="1:3" x14ac:dyDescent="0.3">
      <c r="A180" s="59" t="s">
        <v>1375</v>
      </c>
      <c r="B180" s="149"/>
      <c r="C180" s="60" t="s">
        <v>783</v>
      </c>
    </row>
    <row r="181" spans="1:3" x14ac:dyDescent="0.3">
      <c r="A181" s="59" t="s">
        <v>1376</v>
      </c>
      <c r="B181" s="149"/>
      <c r="C181" s="60" t="s">
        <v>784</v>
      </c>
    </row>
    <row r="182" spans="1:3" x14ac:dyDescent="0.3">
      <c r="A182" s="59" t="s">
        <v>1377</v>
      </c>
      <c r="B182" s="149"/>
      <c r="C182" s="60" t="s">
        <v>785</v>
      </c>
    </row>
    <row r="183" spans="1:3" x14ac:dyDescent="0.3">
      <c r="A183" s="59" t="s">
        <v>1378</v>
      </c>
      <c r="B183" s="149"/>
      <c r="C183" s="60" t="s">
        <v>786</v>
      </c>
    </row>
    <row r="184" spans="1:3" x14ac:dyDescent="0.3">
      <c r="A184" s="59" t="s">
        <v>1379</v>
      </c>
      <c r="B184" s="149"/>
      <c r="C184" s="60" t="s">
        <v>787</v>
      </c>
    </row>
    <row r="185" spans="1:3" x14ac:dyDescent="0.3">
      <c r="A185" s="59" t="s">
        <v>1380</v>
      </c>
      <c r="B185" s="149"/>
      <c r="C185" s="60" t="s">
        <v>788</v>
      </c>
    </row>
    <row r="186" spans="1:3" x14ac:dyDescent="0.3">
      <c r="A186" s="59" t="s">
        <v>1381</v>
      </c>
      <c r="B186" s="149"/>
      <c r="C186" s="60" t="s">
        <v>789</v>
      </c>
    </row>
    <row r="187" spans="1:3" x14ac:dyDescent="0.3">
      <c r="A187" s="59" t="s">
        <v>1382</v>
      </c>
      <c r="B187" s="149"/>
      <c r="C187" s="60" t="s">
        <v>790</v>
      </c>
    </row>
    <row r="188" spans="1:3" x14ac:dyDescent="0.3">
      <c r="A188" s="59" t="s">
        <v>1383</v>
      </c>
      <c r="B188" s="149"/>
      <c r="C188" s="60" t="s">
        <v>791</v>
      </c>
    </row>
    <row r="189" spans="1:3" x14ac:dyDescent="0.3">
      <c r="A189" s="59" t="s">
        <v>1384</v>
      </c>
      <c r="B189" s="149"/>
      <c r="C189" s="60" t="s">
        <v>792</v>
      </c>
    </row>
    <row r="190" spans="1:3" x14ac:dyDescent="0.3">
      <c r="A190" s="59" t="s">
        <v>1385</v>
      </c>
      <c r="B190" s="149"/>
      <c r="C190" s="60" t="s">
        <v>793</v>
      </c>
    </row>
    <row r="191" spans="1:3" x14ac:dyDescent="0.3">
      <c r="A191" s="59" t="s">
        <v>1386</v>
      </c>
      <c r="B191" s="149"/>
      <c r="C191" s="60" t="s">
        <v>794</v>
      </c>
    </row>
    <row r="192" spans="1:3" x14ac:dyDescent="0.3">
      <c r="A192" s="59" t="s">
        <v>1387</v>
      </c>
      <c r="B192" s="149"/>
      <c r="C192" s="60" t="s">
        <v>795</v>
      </c>
    </row>
    <row r="193" spans="1:3" x14ac:dyDescent="0.3">
      <c r="A193" s="59" t="s">
        <v>1388</v>
      </c>
      <c r="B193" s="149"/>
      <c r="C193" s="60" t="s">
        <v>796</v>
      </c>
    </row>
    <row r="194" spans="1:3" x14ac:dyDescent="0.3">
      <c r="A194" s="59" t="s">
        <v>1389</v>
      </c>
      <c r="B194" s="149"/>
      <c r="C194" s="60" t="s">
        <v>797</v>
      </c>
    </row>
    <row r="195" spans="1:3" x14ac:dyDescent="0.3">
      <c r="A195" s="59" t="s">
        <v>1390</v>
      </c>
      <c r="B195" s="149"/>
      <c r="C195" s="60" t="s">
        <v>798</v>
      </c>
    </row>
    <row r="196" spans="1:3" x14ac:dyDescent="0.3">
      <c r="A196" s="59" t="s">
        <v>1391</v>
      </c>
      <c r="B196" s="149"/>
      <c r="C196" s="60" t="s">
        <v>799</v>
      </c>
    </row>
    <row r="197" spans="1:3" x14ac:dyDescent="0.3">
      <c r="A197" s="59" t="s">
        <v>1392</v>
      </c>
      <c r="B197" s="149"/>
      <c r="C197" s="60" t="s">
        <v>800</v>
      </c>
    </row>
    <row r="198" spans="1:3" x14ac:dyDescent="0.3">
      <c r="A198" s="59" t="s">
        <v>1393</v>
      </c>
      <c r="B198" s="149"/>
      <c r="C198" s="60" t="s">
        <v>801</v>
      </c>
    </row>
    <row r="199" spans="1:3" x14ac:dyDescent="0.3">
      <c r="A199" s="59" t="s">
        <v>1394</v>
      </c>
      <c r="B199" s="149"/>
      <c r="C199" s="60" t="s">
        <v>802</v>
      </c>
    </row>
    <row r="200" spans="1:3" x14ac:dyDescent="0.3">
      <c r="A200" s="59" t="s">
        <v>1395</v>
      </c>
      <c r="B200" s="149"/>
      <c r="C200" s="60" t="s">
        <v>803</v>
      </c>
    </row>
    <row r="201" spans="1:3" x14ac:dyDescent="0.3">
      <c r="A201" s="59" t="s">
        <v>1396</v>
      </c>
      <c r="B201" s="149"/>
      <c r="C201" s="60" t="s">
        <v>804</v>
      </c>
    </row>
    <row r="202" spans="1:3" x14ac:dyDescent="0.3">
      <c r="A202" s="59" t="s">
        <v>1397</v>
      </c>
      <c r="B202" s="149"/>
      <c r="C202" s="60" t="s">
        <v>805</v>
      </c>
    </row>
    <row r="203" spans="1:3" x14ac:dyDescent="0.3">
      <c r="A203" s="59" t="s">
        <v>1398</v>
      </c>
      <c r="B203" s="149"/>
      <c r="C203" s="60" t="s">
        <v>806</v>
      </c>
    </row>
    <row r="204" spans="1:3" x14ac:dyDescent="0.3">
      <c r="A204" s="59" t="s">
        <v>1399</v>
      </c>
      <c r="B204" s="149"/>
      <c r="C204" s="60" t="s">
        <v>807</v>
      </c>
    </row>
    <row r="205" spans="1:3" x14ac:dyDescent="0.3">
      <c r="A205" s="59" t="s">
        <v>1400</v>
      </c>
      <c r="B205" s="149"/>
      <c r="C205" s="60" t="s">
        <v>808</v>
      </c>
    </row>
    <row r="206" spans="1:3" x14ac:dyDescent="0.3">
      <c r="A206" s="59" t="s">
        <v>1401</v>
      </c>
      <c r="B206" s="149"/>
      <c r="C206" s="60" t="s">
        <v>809</v>
      </c>
    </row>
    <row r="207" spans="1:3" x14ac:dyDescent="0.3">
      <c r="A207" s="59" t="s">
        <v>1402</v>
      </c>
      <c r="B207" s="149"/>
      <c r="C207" s="60" t="s">
        <v>810</v>
      </c>
    </row>
    <row r="208" spans="1:3" x14ac:dyDescent="0.3">
      <c r="A208" s="59" t="s">
        <v>1403</v>
      </c>
      <c r="B208" s="149"/>
      <c r="C208" s="60" t="s">
        <v>811</v>
      </c>
    </row>
    <row r="209" spans="1:3" x14ac:dyDescent="0.3">
      <c r="A209" s="59" t="s">
        <v>1404</v>
      </c>
      <c r="B209" s="149"/>
      <c r="C209" s="60" t="s">
        <v>812</v>
      </c>
    </row>
    <row r="210" spans="1:3" x14ac:dyDescent="0.3">
      <c r="A210" s="59" t="s">
        <v>1405</v>
      </c>
      <c r="B210" s="149"/>
      <c r="C210" s="60" t="s">
        <v>813</v>
      </c>
    </row>
    <row r="211" spans="1:3" x14ac:dyDescent="0.3">
      <c r="A211" s="59" t="s">
        <v>1406</v>
      </c>
      <c r="B211" s="149"/>
      <c r="C211" s="60" t="s">
        <v>814</v>
      </c>
    </row>
    <row r="212" spans="1:3" x14ac:dyDescent="0.3">
      <c r="A212" s="59" t="s">
        <v>1407</v>
      </c>
      <c r="B212" s="149"/>
      <c r="C212" s="60" t="s">
        <v>815</v>
      </c>
    </row>
    <row r="213" spans="1:3" x14ac:dyDescent="0.3">
      <c r="A213" s="59" t="s">
        <v>1408</v>
      </c>
      <c r="B213" s="149"/>
      <c r="C213" s="60" t="s">
        <v>816</v>
      </c>
    </row>
    <row r="214" spans="1:3" x14ac:dyDescent="0.3">
      <c r="A214" s="59" t="s">
        <v>1409</v>
      </c>
      <c r="B214" s="149"/>
      <c r="C214" s="60" t="s">
        <v>817</v>
      </c>
    </row>
    <row r="215" spans="1:3" x14ac:dyDescent="0.3">
      <c r="A215" s="59" t="s">
        <v>1410</v>
      </c>
      <c r="B215" s="149"/>
      <c r="C215" s="60" t="s">
        <v>818</v>
      </c>
    </row>
    <row r="216" spans="1:3" x14ac:dyDescent="0.3">
      <c r="A216" s="59" t="s">
        <v>1411</v>
      </c>
      <c r="B216" s="149"/>
      <c r="C216" s="60" t="s">
        <v>819</v>
      </c>
    </row>
    <row r="217" spans="1:3" x14ac:dyDescent="0.3">
      <c r="A217" s="59" t="s">
        <v>1412</v>
      </c>
      <c r="B217" s="149"/>
      <c r="C217" s="60" t="s">
        <v>820</v>
      </c>
    </row>
    <row r="218" spans="1:3" x14ac:dyDescent="0.3">
      <c r="A218" s="59" t="s">
        <v>1413</v>
      </c>
      <c r="B218" s="149"/>
      <c r="C218" s="60" t="s">
        <v>821</v>
      </c>
    </row>
    <row r="219" spans="1:3" x14ac:dyDescent="0.3">
      <c r="A219" s="59" t="s">
        <v>1414</v>
      </c>
      <c r="B219" s="149"/>
      <c r="C219" s="60" t="s">
        <v>822</v>
      </c>
    </row>
    <row r="220" spans="1:3" x14ac:dyDescent="0.3">
      <c r="A220" s="59" t="s">
        <v>1415</v>
      </c>
      <c r="B220" s="149"/>
      <c r="C220" s="60" t="s">
        <v>823</v>
      </c>
    </row>
    <row r="221" spans="1:3" x14ac:dyDescent="0.3">
      <c r="A221" s="59" t="s">
        <v>1416</v>
      </c>
      <c r="B221" s="149"/>
      <c r="C221" s="60" t="s">
        <v>824</v>
      </c>
    </row>
    <row r="222" spans="1:3" x14ac:dyDescent="0.3">
      <c r="A222" s="59" t="s">
        <v>1417</v>
      </c>
      <c r="B222" s="149"/>
      <c r="C222" s="60" t="s">
        <v>825</v>
      </c>
    </row>
    <row r="223" spans="1:3" x14ac:dyDescent="0.3">
      <c r="A223" s="59" t="s">
        <v>1418</v>
      </c>
      <c r="B223" s="149"/>
      <c r="C223" s="60" t="s">
        <v>826</v>
      </c>
    </row>
    <row r="224" spans="1:3" x14ac:dyDescent="0.3">
      <c r="A224" s="59" t="s">
        <v>1419</v>
      </c>
      <c r="B224" s="149"/>
      <c r="C224" s="60" t="s">
        <v>827</v>
      </c>
    </row>
    <row r="225" spans="1:3" x14ac:dyDescent="0.3">
      <c r="A225" s="59" t="s">
        <v>1420</v>
      </c>
      <c r="B225" s="149"/>
      <c r="C225" s="60" t="s">
        <v>828</v>
      </c>
    </row>
    <row r="226" spans="1:3" x14ac:dyDescent="0.3">
      <c r="A226" s="59" t="s">
        <v>1421</v>
      </c>
      <c r="B226" s="149"/>
      <c r="C226" s="60" t="s">
        <v>829</v>
      </c>
    </row>
    <row r="227" spans="1:3" x14ac:dyDescent="0.3">
      <c r="A227" s="59" t="s">
        <v>1422</v>
      </c>
      <c r="B227" s="149"/>
      <c r="C227" s="60" t="s">
        <v>830</v>
      </c>
    </row>
    <row r="228" spans="1:3" x14ac:dyDescent="0.3">
      <c r="A228" s="59" t="s">
        <v>1423</v>
      </c>
      <c r="B228" s="149"/>
      <c r="C228" s="60" t="s">
        <v>831</v>
      </c>
    </row>
    <row r="229" spans="1:3" x14ac:dyDescent="0.3">
      <c r="A229" s="59" t="s">
        <v>1424</v>
      </c>
      <c r="B229" s="149"/>
      <c r="C229" s="60" t="s">
        <v>832</v>
      </c>
    </row>
    <row r="230" spans="1:3" x14ac:dyDescent="0.3">
      <c r="A230" s="59" t="s">
        <v>1425</v>
      </c>
      <c r="B230" s="149"/>
      <c r="C230" s="60" t="s">
        <v>833</v>
      </c>
    </row>
    <row r="231" spans="1:3" x14ac:dyDescent="0.3">
      <c r="A231" s="59" t="s">
        <v>1426</v>
      </c>
      <c r="B231" s="149"/>
      <c r="C231" s="60" t="s">
        <v>834</v>
      </c>
    </row>
    <row r="232" spans="1:3" x14ac:dyDescent="0.3">
      <c r="A232" s="59" t="s">
        <v>1427</v>
      </c>
      <c r="B232" s="149"/>
      <c r="C232" s="60" t="s">
        <v>835</v>
      </c>
    </row>
    <row r="233" spans="1:3" x14ac:dyDescent="0.3">
      <c r="A233" s="59" t="s">
        <v>1428</v>
      </c>
      <c r="B233" s="149"/>
      <c r="C233" s="60" t="s">
        <v>836</v>
      </c>
    </row>
    <row r="234" spans="1:3" x14ac:dyDescent="0.3">
      <c r="A234" s="59" t="s">
        <v>1429</v>
      </c>
      <c r="B234" s="149"/>
      <c r="C234" s="60" t="s">
        <v>837</v>
      </c>
    </row>
    <row r="235" spans="1:3" x14ac:dyDescent="0.3">
      <c r="A235" s="59" t="s">
        <v>1430</v>
      </c>
      <c r="B235" s="149"/>
      <c r="C235" s="60" t="s">
        <v>838</v>
      </c>
    </row>
    <row r="236" spans="1:3" x14ac:dyDescent="0.3">
      <c r="A236" s="59" t="s">
        <v>1431</v>
      </c>
      <c r="B236" s="149"/>
      <c r="C236" s="60" t="s">
        <v>839</v>
      </c>
    </row>
    <row r="237" spans="1:3" x14ac:dyDescent="0.3">
      <c r="A237" s="59" t="s">
        <v>1432</v>
      </c>
      <c r="B237" s="149"/>
      <c r="C237" s="60" t="s">
        <v>840</v>
      </c>
    </row>
    <row r="238" spans="1:3" x14ac:dyDescent="0.3">
      <c r="A238" s="59" t="s">
        <v>1433</v>
      </c>
      <c r="B238" s="149"/>
      <c r="C238" s="60" t="s">
        <v>841</v>
      </c>
    </row>
    <row r="239" spans="1:3" x14ac:dyDescent="0.3">
      <c r="A239" s="59" t="s">
        <v>1434</v>
      </c>
      <c r="B239" s="149"/>
      <c r="C239" s="60" t="s">
        <v>842</v>
      </c>
    </row>
    <row r="240" spans="1:3" x14ac:dyDescent="0.3">
      <c r="A240" s="59" t="s">
        <v>1435</v>
      </c>
      <c r="B240" s="149"/>
      <c r="C240" s="60" t="s">
        <v>843</v>
      </c>
    </row>
    <row r="241" spans="1:3" x14ac:dyDescent="0.3">
      <c r="A241" s="59" t="s">
        <v>1436</v>
      </c>
      <c r="B241" s="149"/>
      <c r="C241" s="60" t="s">
        <v>844</v>
      </c>
    </row>
    <row r="242" spans="1:3" x14ac:dyDescent="0.3">
      <c r="A242" s="59" t="s">
        <v>1437</v>
      </c>
      <c r="B242" s="149"/>
      <c r="C242" s="60" t="s">
        <v>845</v>
      </c>
    </row>
    <row r="243" spans="1:3" x14ac:dyDescent="0.3">
      <c r="A243" s="59" t="s">
        <v>1438</v>
      </c>
      <c r="B243" s="149"/>
      <c r="C243" s="60" t="s">
        <v>846</v>
      </c>
    </row>
    <row r="244" spans="1:3" x14ac:dyDescent="0.3">
      <c r="A244" s="59" t="s">
        <v>1439</v>
      </c>
      <c r="B244" s="149"/>
      <c r="C244" s="60" t="s">
        <v>847</v>
      </c>
    </row>
    <row r="245" spans="1:3" x14ac:dyDescent="0.3">
      <c r="A245" s="59" t="s">
        <v>1440</v>
      </c>
      <c r="B245" s="149"/>
      <c r="C245" s="60" t="s">
        <v>848</v>
      </c>
    </row>
    <row r="246" spans="1:3" x14ac:dyDescent="0.3">
      <c r="A246" s="59" t="s">
        <v>1441</v>
      </c>
      <c r="B246" s="149"/>
      <c r="C246" s="60" t="s">
        <v>849</v>
      </c>
    </row>
    <row r="247" spans="1:3" x14ac:dyDescent="0.3">
      <c r="A247" s="59" t="s">
        <v>1442</v>
      </c>
      <c r="B247" s="149"/>
      <c r="C247" s="60" t="s">
        <v>850</v>
      </c>
    </row>
    <row r="248" spans="1:3" x14ac:dyDescent="0.3">
      <c r="A248" s="59" t="s">
        <v>1443</v>
      </c>
      <c r="B248" s="149"/>
      <c r="C248" s="60" t="s">
        <v>851</v>
      </c>
    </row>
    <row r="249" spans="1:3" x14ac:dyDescent="0.3">
      <c r="A249" s="59" t="s">
        <v>1444</v>
      </c>
      <c r="B249" s="149"/>
      <c r="C249" s="60" t="s">
        <v>852</v>
      </c>
    </row>
    <row r="250" spans="1:3" x14ac:dyDescent="0.3">
      <c r="A250" s="59" t="s">
        <v>1445</v>
      </c>
      <c r="B250" s="149"/>
      <c r="C250" s="60" t="s">
        <v>853</v>
      </c>
    </row>
    <row r="251" spans="1:3" x14ac:dyDescent="0.3">
      <c r="A251" s="59" t="s">
        <v>1446</v>
      </c>
      <c r="B251" s="149"/>
      <c r="C251" s="60" t="s">
        <v>854</v>
      </c>
    </row>
    <row r="252" spans="1:3" x14ac:dyDescent="0.3">
      <c r="A252" s="59" t="s">
        <v>1447</v>
      </c>
      <c r="B252" s="149"/>
      <c r="C252" s="60" t="s">
        <v>855</v>
      </c>
    </row>
    <row r="253" spans="1:3" x14ac:dyDescent="0.3">
      <c r="A253" s="59" t="s">
        <v>1448</v>
      </c>
      <c r="B253" s="149"/>
      <c r="C253" s="60" t="s">
        <v>856</v>
      </c>
    </row>
    <row r="254" spans="1:3" x14ac:dyDescent="0.3">
      <c r="A254" s="59" t="s">
        <v>1449</v>
      </c>
      <c r="B254" s="149"/>
      <c r="C254" s="60" t="s">
        <v>857</v>
      </c>
    </row>
    <row r="255" spans="1:3" x14ac:dyDescent="0.3">
      <c r="A255" s="59" t="s">
        <v>1450</v>
      </c>
      <c r="B255" s="149"/>
      <c r="C255" s="60" t="s">
        <v>858</v>
      </c>
    </row>
    <row r="256" spans="1:3" x14ac:dyDescent="0.3">
      <c r="A256" s="59" t="s">
        <v>1451</v>
      </c>
      <c r="B256" s="149"/>
      <c r="C256" s="60" t="s">
        <v>859</v>
      </c>
    </row>
    <row r="257" spans="1:3" x14ac:dyDescent="0.3">
      <c r="A257" s="59" t="s">
        <v>1452</v>
      </c>
      <c r="B257" s="149"/>
      <c r="C257" s="60" t="s">
        <v>860</v>
      </c>
    </row>
    <row r="258" spans="1:3" x14ac:dyDescent="0.3">
      <c r="A258" s="59" t="s">
        <v>1453</v>
      </c>
      <c r="B258" s="149"/>
      <c r="C258" s="60" t="s">
        <v>861</v>
      </c>
    </row>
    <row r="259" spans="1:3" x14ac:dyDescent="0.3">
      <c r="A259" s="59" t="s">
        <v>1454</v>
      </c>
      <c r="B259" s="149"/>
      <c r="C259" s="60" t="s">
        <v>862</v>
      </c>
    </row>
    <row r="260" spans="1:3" x14ac:dyDescent="0.3">
      <c r="A260" s="59" t="s">
        <v>1455</v>
      </c>
      <c r="B260" s="149"/>
      <c r="C260" s="60" t="s">
        <v>863</v>
      </c>
    </row>
    <row r="261" spans="1:3" x14ac:dyDescent="0.3">
      <c r="A261" s="59" t="s">
        <v>1456</v>
      </c>
      <c r="B261" s="149"/>
      <c r="C261" s="60" t="s">
        <v>864</v>
      </c>
    </row>
    <row r="262" spans="1:3" x14ac:dyDescent="0.3">
      <c r="A262" s="59" t="s">
        <v>1457</v>
      </c>
      <c r="B262" s="149"/>
      <c r="C262" s="60" t="s">
        <v>865</v>
      </c>
    </row>
    <row r="263" spans="1:3" x14ac:dyDescent="0.3">
      <c r="A263" s="59" t="s">
        <v>1458</v>
      </c>
      <c r="B263" s="149"/>
      <c r="C263" s="60" t="s">
        <v>866</v>
      </c>
    </row>
    <row r="264" spans="1:3" x14ac:dyDescent="0.3">
      <c r="A264" s="59" t="s">
        <v>1459</v>
      </c>
      <c r="B264" s="149"/>
      <c r="C264" s="60" t="s">
        <v>867</v>
      </c>
    </row>
    <row r="265" spans="1:3" x14ac:dyDescent="0.3">
      <c r="A265" s="59" t="s">
        <v>1460</v>
      </c>
      <c r="B265" s="149"/>
      <c r="C265" s="60" t="s">
        <v>868</v>
      </c>
    </row>
    <row r="266" spans="1:3" x14ac:dyDescent="0.3">
      <c r="A266" s="59" t="s">
        <v>1461</v>
      </c>
      <c r="B266" s="149"/>
      <c r="C266" s="60" t="s">
        <v>869</v>
      </c>
    </row>
    <row r="267" spans="1:3" x14ac:dyDescent="0.3">
      <c r="A267" s="59" t="s">
        <v>1462</v>
      </c>
      <c r="B267" s="149"/>
      <c r="C267" s="60" t="s">
        <v>870</v>
      </c>
    </row>
    <row r="268" spans="1:3" x14ac:dyDescent="0.3">
      <c r="A268" s="59" t="s">
        <v>1463</v>
      </c>
      <c r="B268" s="149"/>
      <c r="C268" s="60" t="s">
        <v>871</v>
      </c>
    </row>
    <row r="269" spans="1:3" x14ac:dyDescent="0.3">
      <c r="A269" s="59" t="s">
        <v>1464</v>
      </c>
      <c r="B269" s="149"/>
      <c r="C269" s="60" t="s">
        <v>872</v>
      </c>
    </row>
    <row r="270" spans="1:3" x14ac:dyDescent="0.3">
      <c r="A270" s="59" t="s">
        <v>1465</v>
      </c>
      <c r="B270" s="149"/>
      <c r="C270" s="60" t="s">
        <v>873</v>
      </c>
    </row>
    <row r="271" spans="1:3" x14ac:dyDescent="0.3">
      <c r="A271" s="59" t="s">
        <v>1466</v>
      </c>
      <c r="B271" s="149"/>
      <c r="C271" s="60" t="s">
        <v>874</v>
      </c>
    </row>
    <row r="272" spans="1:3" x14ac:dyDescent="0.3">
      <c r="A272" s="59" t="s">
        <v>1467</v>
      </c>
      <c r="B272" s="149"/>
      <c r="C272" s="60" t="s">
        <v>875</v>
      </c>
    </row>
    <row r="273" spans="1:3" x14ac:dyDescent="0.3">
      <c r="A273" s="59" t="s">
        <v>1468</v>
      </c>
      <c r="B273" s="149"/>
      <c r="C273" s="60" t="s">
        <v>876</v>
      </c>
    </row>
    <row r="274" spans="1:3" x14ac:dyDescent="0.3">
      <c r="A274" s="59" t="s">
        <v>1469</v>
      </c>
      <c r="B274" s="149"/>
      <c r="C274" s="60" t="s">
        <v>877</v>
      </c>
    </row>
    <row r="275" spans="1:3" x14ac:dyDescent="0.3">
      <c r="A275" s="59" t="s">
        <v>1470</v>
      </c>
      <c r="B275" s="149"/>
      <c r="C275" s="60" t="s">
        <v>878</v>
      </c>
    </row>
    <row r="276" spans="1:3" x14ac:dyDescent="0.3">
      <c r="A276" s="59" t="s">
        <v>1471</v>
      </c>
      <c r="B276" s="149"/>
      <c r="C276" s="60" t="s">
        <v>879</v>
      </c>
    </row>
    <row r="277" spans="1:3" x14ac:dyDescent="0.3">
      <c r="A277" s="59" t="s">
        <v>1472</v>
      </c>
      <c r="B277" s="149"/>
      <c r="C277" s="60" t="s">
        <v>880</v>
      </c>
    </row>
    <row r="278" spans="1:3" x14ac:dyDescent="0.3">
      <c r="A278" s="59" t="s">
        <v>1473</v>
      </c>
      <c r="B278" s="149"/>
      <c r="C278" s="60" t="s">
        <v>881</v>
      </c>
    </row>
    <row r="279" spans="1:3" x14ac:dyDescent="0.3">
      <c r="A279" s="59" t="s">
        <v>1474</v>
      </c>
      <c r="B279" s="149"/>
      <c r="C279" s="60" t="s">
        <v>882</v>
      </c>
    </row>
    <row r="280" spans="1:3" x14ac:dyDescent="0.3">
      <c r="A280" s="59" t="s">
        <v>1475</v>
      </c>
      <c r="B280" s="149"/>
      <c r="C280" s="60" t="s">
        <v>883</v>
      </c>
    </row>
    <row r="281" spans="1:3" x14ac:dyDescent="0.3">
      <c r="A281" s="59" t="s">
        <v>1476</v>
      </c>
      <c r="B281" s="149"/>
      <c r="C281" s="60" t="s">
        <v>884</v>
      </c>
    </row>
    <row r="282" spans="1:3" x14ac:dyDescent="0.3">
      <c r="A282" s="59" t="s">
        <v>1477</v>
      </c>
      <c r="B282" s="149"/>
      <c r="C282" s="60" t="s">
        <v>885</v>
      </c>
    </row>
    <row r="283" spans="1:3" x14ac:dyDescent="0.3">
      <c r="A283" s="59" t="s">
        <v>1478</v>
      </c>
      <c r="B283" s="149"/>
      <c r="C283" s="60" t="s">
        <v>886</v>
      </c>
    </row>
    <row r="284" spans="1:3" x14ac:dyDescent="0.3">
      <c r="A284" s="59" t="s">
        <v>1479</v>
      </c>
      <c r="B284" s="149"/>
      <c r="C284" s="60" t="s">
        <v>887</v>
      </c>
    </row>
    <row r="285" spans="1:3" x14ac:dyDescent="0.3">
      <c r="A285" s="59" t="s">
        <v>1480</v>
      </c>
      <c r="B285" s="149"/>
      <c r="C285" s="60" t="s">
        <v>888</v>
      </c>
    </row>
    <row r="286" spans="1:3" x14ac:dyDescent="0.3">
      <c r="A286" s="59" t="s">
        <v>1481</v>
      </c>
      <c r="B286" s="149"/>
      <c r="C286" s="60" t="s">
        <v>889</v>
      </c>
    </row>
    <row r="287" spans="1:3" x14ac:dyDescent="0.3">
      <c r="A287" s="59" t="s">
        <v>1482</v>
      </c>
      <c r="B287" s="149"/>
      <c r="C287" s="60" t="s">
        <v>890</v>
      </c>
    </row>
    <row r="288" spans="1:3" x14ac:dyDescent="0.3">
      <c r="A288" s="59" t="s">
        <v>1483</v>
      </c>
      <c r="B288" s="149"/>
      <c r="C288" s="60" t="s">
        <v>891</v>
      </c>
    </row>
    <row r="289" spans="1:3" x14ac:dyDescent="0.3">
      <c r="A289" s="59" t="s">
        <v>1484</v>
      </c>
      <c r="B289" s="149"/>
      <c r="C289" s="60" t="s">
        <v>892</v>
      </c>
    </row>
    <row r="290" spans="1:3" x14ac:dyDescent="0.3">
      <c r="A290" s="59" t="s">
        <v>1485</v>
      </c>
      <c r="B290" s="149"/>
      <c r="C290" s="60" t="s">
        <v>893</v>
      </c>
    </row>
    <row r="291" spans="1:3" x14ac:dyDescent="0.3">
      <c r="A291" s="59" t="s">
        <v>1486</v>
      </c>
      <c r="B291" s="149"/>
      <c r="C291" s="60" t="s">
        <v>894</v>
      </c>
    </row>
    <row r="292" spans="1:3" x14ac:dyDescent="0.3">
      <c r="A292" s="59" t="s">
        <v>1487</v>
      </c>
      <c r="B292" s="149"/>
      <c r="C292" s="60" t="s">
        <v>895</v>
      </c>
    </row>
    <row r="293" spans="1:3" x14ac:dyDescent="0.3">
      <c r="A293" s="59" t="s">
        <v>1488</v>
      </c>
      <c r="B293" s="149"/>
      <c r="C293" s="60" t="s">
        <v>896</v>
      </c>
    </row>
    <row r="294" spans="1:3" x14ac:dyDescent="0.3">
      <c r="A294" s="59" t="s">
        <v>1489</v>
      </c>
      <c r="B294" s="149"/>
      <c r="C294" s="60" t="s">
        <v>897</v>
      </c>
    </row>
    <row r="295" spans="1:3" x14ac:dyDescent="0.3">
      <c r="A295" s="59" t="s">
        <v>1490</v>
      </c>
      <c r="B295" s="149"/>
      <c r="C295" s="60" t="s">
        <v>898</v>
      </c>
    </row>
    <row r="296" spans="1:3" x14ac:dyDescent="0.3">
      <c r="A296" s="59" t="s">
        <v>1491</v>
      </c>
      <c r="B296" s="149"/>
      <c r="C296" s="60" t="s">
        <v>899</v>
      </c>
    </row>
    <row r="297" spans="1:3" x14ac:dyDescent="0.3">
      <c r="A297" s="59" t="s">
        <v>1492</v>
      </c>
      <c r="B297" s="149"/>
      <c r="C297" s="60" t="s">
        <v>900</v>
      </c>
    </row>
    <row r="298" spans="1:3" x14ac:dyDescent="0.3">
      <c r="A298" s="59" t="s">
        <v>1493</v>
      </c>
      <c r="B298" s="149"/>
      <c r="C298" s="60" t="s">
        <v>901</v>
      </c>
    </row>
    <row r="299" spans="1:3" x14ac:dyDescent="0.3">
      <c r="A299" s="59" t="s">
        <v>1494</v>
      </c>
      <c r="B299" s="149"/>
      <c r="C299" s="60" t="s">
        <v>902</v>
      </c>
    </row>
    <row r="300" spans="1:3" x14ac:dyDescent="0.3">
      <c r="A300" s="59" t="s">
        <v>1495</v>
      </c>
      <c r="B300" s="149"/>
      <c r="C300" s="60" t="s">
        <v>903</v>
      </c>
    </row>
    <row r="301" spans="1:3" x14ac:dyDescent="0.3">
      <c r="A301" s="59" t="s">
        <v>1496</v>
      </c>
      <c r="B301" s="149"/>
      <c r="C301" s="60" t="s">
        <v>904</v>
      </c>
    </row>
    <row r="302" spans="1:3" x14ac:dyDescent="0.3">
      <c r="A302" s="59" t="s">
        <v>1497</v>
      </c>
      <c r="B302" s="149"/>
      <c r="C302" s="60" t="s">
        <v>905</v>
      </c>
    </row>
    <row r="303" spans="1:3" x14ac:dyDescent="0.3">
      <c r="A303" s="59" t="s">
        <v>1498</v>
      </c>
      <c r="B303" s="149"/>
      <c r="C303" s="60" t="s">
        <v>906</v>
      </c>
    </row>
    <row r="304" spans="1:3" x14ac:dyDescent="0.3">
      <c r="A304" s="59" t="s">
        <v>1499</v>
      </c>
      <c r="B304" s="149"/>
      <c r="C304" s="60" t="s">
        <v>907</v>
      </c>
    </row>
    <row r="305" spans="1:3" x14ac:dyDescent="0.3">
      <c r="A305" s="59" t="s">
        <v>1500</v>
      </c>
      <c r="B305" s="149"/>
      <c r="C305" s="60" t="s">
        <v>908</v>
      </c>
    </row>
    <row r="306" spans="1:3" x14ac:dyDescent="0.3">
      <c r="A306" s="59" t="s">
        <v>1501</v>
      </c>
      <c r="B306" s="149"/>
      <c r="C306" s="60" t="s">
        <v>909</v>
      </c>
    </row>
    <row r="307" spans="1:3" x14ac:dyDescent="0.3">
      <c r="A307" s="59" t="s">
        <v>1502</v>
      </c>
      <c r="B307" s="149"/>
      <c r="C307" s="60" t="s">
        <v>910</v>
      </c>
    </row>
    <row r="308" spans="1:3" x14ac:dyDescent="0.3">
      <c r="A308" s="59" t="s">
        <v>1503</v>
      </c>
      <c r="B308" s="149"/>
      <c r="C308" s="60" t="s">
        <v>911</v>
      </c>
    </row>
    <row r="309" spans="1:3" x14ac:dyDescent="0.3">
      <c r="A309" s="59" t="s">
        <v>1504</v>
      </c>
      <c r="B309" s="149"/>
      <c r="C309" s="60" t="s">
        <v>912</v>
      </c>
    </row>
    <row r="310" spans="1:3" x14ac:dyDescent="0.3">
      <c r="A310" s="59" t="s">
        <v>1505</v>
      </c>
      <c r="B310" s="149"/>
      <c r="C310" s="60" t="s">
        <v>913</v>
      </c>
    </row>
    <row r="311" spans="1:3" x14ac:dyDescent="0.3">
      <c r="A311" s="59" t="s">
        <v>1506</v>
      </c>
      <c r="B311" s="149"/>
      <c r="C311" s="60" t="s">
        <v>914</v>
      </c>
    </row>
    <row r="312" spans="1:3" x14ac:dyDescent="0.3">
      <c r="A312" s="59" t="s">
        <v>1507</v>
      </c>
      <c r="B312" s="149"/>
      <c r="C312" s="60" t="s">
        <v>915</v>
      </c>
    </row>
    <row r="313" spans="1:3" x14ac:dyDescent="0.3">
      <c r="A313" s="59" t="s">
        <v>1508</v>
      </c>
      <c r="B313" s="149"/>
      <c r="C313" s="60" t="s">
        <v>916</v>
      </c>
    </row>
    <row r="314" spans="1:3" x14ac:dyDescent="0.3">
      <c r="A314" s="59" t="s">
        <v>1509</v>
      </c>
      <c r="B314" s="149"/>
      <c r="C314" s="60" t="s">
        <v>917</v>
      </c>
    </row>
    <row r="315" spans="1:3" x14ac:dyDescent="0.3">
      <c r="A315" s="59" t="s">
        <v>1510</v>
      </c>
      <c r="B315" s="149"/>
      <c r="C315" s="60" t="s">
        <v>918</v>
      </c>
    </row>
    <row r="316" spans="1:3" x14ac:dyDescent="0.3">
      <c r="A316" s="59" t="s">
        <v>1511</v>
      </c>
      <c r="B316" s="149"/>
      <c r="C316" s="60" t="s">
        <v>919</v>
      </c>
    </row>
    <row r="317" spans="1:3" x14ac:dyDescent="0.3">
      <c r="A317" s="59" t="s">
        <v>1512</v>
      </c>
      <c r="B317" s="149"/>
      <c r="C317" s="60" t="s">
        <v>920</v>
      </c>
    </row>
    <row r="318" spans="1:3" x14ac:dyDescent="0.3">
      <c r="A318" s="59" t="s">
        <v>1513</v>
      </c>
      <c r="B318" s="149"/>
      <c r="C318" s="60" t="s">
        <v>921</v>
      </c>
    </row>
    <row r="319" spans="1:3" x14ac:dyDescent="0.3">
      <c r="A319" s="59" t="s">
        <v>1514</v>
      </c>
      <c r="B319" s="149"/>
      <c r="C319" s="60" t="s">
        <v>922</v>
      </c>
    </row>
    <row r="320" spans="1:3" x14ac:dyDescent="0.3">
      <c r="A320" s="59" t="s">
        <v>1515</v>
      </c>
      <c r="B320" s="149"/>
      <c r="C320" s="60" t="s">
        <v>923</v>
      </c>
    </row>
    <row r="321" spans="1:3" x14ac:dyDescent="0.3">
      <c r="A321" s="59" t="s">
        <v>1516</v>
      </c>
      <c r="B321" s="149"/>
      <c r="C321" s="60" t="s">
        <v>924</v>
      </c>
    </row>
    <row r="322" spans="1:3" x14ac:dyDescent="0.3">
      <c r="A322" s="59" t="s">
        <v>1517</v>
      </c>
      <c r="B322" s="149"/>
      <c r="C322" s="60" t="s">
        <v>925</v>
      </c>
    </row>
    <row r="323" spans="1:3" x14ac:dyDescent="0.3">
      <c r="A323" s="59" t="s">
        <v>1518</v>
      </c>
      <c r="B323" s="149"/>
      <c r="C323" s="60" t="s">
        <v>926</v>
      </c>
    </row>
    <row r="324" spans="1:3" x14ac:dyDescent="0.3">
      <c r="A324" s="59" t="s">
        <v>1519</v>
      </c>
      <c r="B324" s="149"/>
      <c r="C324" s="60" t="s">
        <v>927</v>
      </c>
    </row>
    <row r="325" spans="1:3" x14ac:dyDescent="0.3">
      <c r="A325" s="59" t="s">
        <v>1520</v>
      </c>
      <c r="B325" s="149"/>
      <c r="C325" s="60" t="s">
        <v>928</v>
      </c>
    </row>
    <row r="326" spans="1:3" x14ac:dyDescent="0.3">
      <c r="A326" s="59" t="s">
        <v>1521</v>
      </c>
      <c r="B326" s="149"/>
      <c r="C326" s="60" t="s">
        <v>929</v>
      </c>
    </row>
    <row r="327" spans="1:3" x14ac:dyDescent="0.3">
      <c r="A327" s="59" t="s">
        <v>1522</v>
      </c>
      <c r="B327" s="149"/>
      <c r="C327" s="60" t="s">
        <v>930</v>
      </c>
    </row>
    <row r="328" spans="1:3" x14ac:dyDescent="0.3">
      <c r="A328" s="59" t="s">
        <v>1523</v>
      </c>
      <c r="B328" s="149"/>
      <c r="C328" s="60" t="s">
        <v>931</v>
      </c>
    </row>
    <row r="329" spans="1:3" x14ac:dyDescent="0.3">
      <c r="A329" s="59" t="s">
        <v>1524</v>
      </c>
      <c r="B329" s="149"/>
      <c r="C329" s="60" t="s">
        <v>932</v>
      </c>
    </row>
    <row r="330" spans="1:3" x14ac:dyDescent="0.3">
      <c r="A330" s="59" t="s">
        <v>1525</v>
      </c>
      <c r="B330" s="149"/>
      <c r="C330" s="60" t="s">
        <v>933</v>
      </c>
    </row>
    <row r="331" spans="1:3" x14ac:dyDescent="0.3">
      <c r="A331" s="59" t="s">
        <v>1526</v>
      </c>
      <c r="B331" s="149"/>
      <c r="C331" s="60" t="s">
        <v>934</v>
      </c>
    </row>
    <row r="332" spans="1:3" x14ac:dyDescent="0.3">
      <c r="A332" s="59" t="s">
        <v>1527</v>
      </c>
      <c r="B332" s="149"/>
      <c r="C332" s="60" t="s">
        <v>935</v>
      </c>
    </row>
    <row r="333" spans="1:3" x14ac:dyDescent="0.3">
      <c r="A333" s="59" t="s">
        <v>1528</v>
      </c>
      <c r="B333" s="149"/>
      <c r="C333" s="60" t="s">
        <v>936</v>
      </c>
    </row>
    <row r="334" spans="1:3" x14ac:dyDescent="0.3">
      <c r="A334" s="59" t="s">
        <v>1529</v>
      </c>
      <c r="B334" s="149"/>
      <c r="C334" s="60" t="s">
        <v>937</v>
      </c>
    </row>
    <row r="335" spans="1:3" x14ac:dyDescent="0.3">
      <c r="A335" s="59" t="s">
        <v>1530</v>
      </c>
      <c r="B335" s="149"/>
      <c r="C335" s="60" t="s">
        <v>938</v>
      </c>
    </row>
    <row r="336" spans="1:3" x14ac:dyDescent="0.3">
      <c r="A336" s="59" t="s">
        <v>1531</v>
      </c>
      <c r="B336" s="149"/>
      <c r="C336" s="60" t="s">
        <v>939</v>
      </c>
    </row>
    <row r="337" spans="1:3" x14ac:dyDescent="0.3">
      <c r="A337" s="59" t="s">
        <v>1532</v>
      </c>
      <c r="B337" s="149"/>
      <c r="C337" s="60" t="s">
        <v>940</v>
      </c>
    </row>
    <row r="338" spans="1:3" x14ac:dyDescent="0.3">
      <c r="A338" s="59" t="s">
        <v>1533</v>
      </c>
      <c r="B338" s="149"/>
      <c r="C338" s="60" t="s">
        <v>941</v>
      </c>
    </row>
    <row r="339" spans="1:3" x14ac:dyDescent="0.3">
      <c r="A339" s="59" t="s">
        <v>1534</v>
      </c>
      <c r="B339" s="149"/>
      <c r="C339" s="60" t="s">
        <v>942</v>
      </c>
    </row>
    <row r="340" spans="1:3" x14ac:dyDescent="0.3">
      <c r="A340" s="59" t="s">
        <v>1535</v>
      </c>
      <c r="B340" s="149"/>
      <c r="C340" s="60" t="s">
        <v>943</v>
      </c>
    </row>
    <row r="341" spans="1:3" x14ac:dyDescent="0.3">
      <c r="A341" s="59" t="s">
        <v>1536</v>
      </c>
      <c r="B341" s="149"/>
      <c r="C341" s="60" t="s">
        <v>944</v>
      </c>
    </row>
    <row r="342" spans="1:3" x14ac:dyDescent="0.3">
      <c r="A342" s="59" t="s">
        <v>1537</v>
      </c>
      <c r="B342" s="149"/>
      <c r="C342" s="60" t="s">
        <v>945</v>
      </c>
    </row>
    <row r="343" spans="1:3" x14ac:dyDescent="0.3">
      <c r="A343" s="59" t="s">
        <v>1538</v>
      </c>
      <c r="B343" s="149"/>
      <c r="C343" s="60" t="s">
        <v>946</v>
      </c>
    </row>
    <row r="344" spans="1:3" x14ac:dyDescent="0.3">
      <c r="A344" s="59" t="s">
        <v>1539</v>
      </c>
      <c r="B344" s="149"/>
      <c r="C344" s="60" t="s">
        <v>947</v>
      </c>
    </row>
    <row r="345" spans="1:3" x14ac:dyDescent="0.3">
      <c r="A345" s="59" t="s">
        <v>1540</v>
      </c>
      <c r="B345" s="149"/>
      <c r="C345" s="60" t="s">
        <v>948</v>
      </c>
    </row>
    <row r="346" spans="1:3" x14ac:dyDescent="0.3">
      <c r="A346" s="59" t="s">
        <v>1541</v>
      </c>
      <c r="B346" s="149"/>
      <c r="C346" s="60" t="s">
        <v>949</v>
      </c>
    </row>
    <row r="347" spans="1:3" x14ac:dyDescent="0.3">
      <c r="A347" s="59" t="s">
        <v>1542</v>
      </c>
      <c r="B347" s="149"/>
      <c r="C347" s="60" t="s">
        <v>950</v>
      </c>
    </row>
    <row r="348" spans="1:3" x14ac:dyDescent="0.3">
      <c r="A348" s="59" t="s">
        <v>1543</v>
      </c>
      <c r="B348" s="149"/>
      <c r="C348" s="60" t="s">
        <v>951</v>
      </c>
    </row>
    <row r="349" spans="1:3" x14ac:dyDescent="0.3">
      <c r="A349" s="59" t="s">
        <v>1544</v>
      </c>
      <c r="B349" s="149"/>
      <c r="C349" s="60" t="s">
        <v>952</v>
      </c>
    </row>
    <row r="350" spans="1:3" x14ac:dyDescent="0.3">
      <c r="A350" s="59" t="s">
        <v>1545</v>
      </c>
      <c r="B350" s="149"/>
      <c r="C350" s="60" t="s">
        <v>953</v>
      </c>
    </row>
    <row r="351" spans="1:3" x14ac:dyDescent="0.3">
      <c r="A351" s="59" t="s">
        <v>1546</v>
      </c>
      <c r="B351" s="149"/>
      <c r="C351" s="60" t="s">
        <v>954</v>
      </c>
    </row>
    <row r="352" spans="1:3" x14ac:dyDescent="0.3">
      <c r="A352" s="59" t="s">
        <v>1547</v>
      </c>
      <c r="B352" s="149"/>
      <c r="C352" s="60" t="s">
        <v>955</v>
      </c>
    </row>
    <row r="353" spans="1:3" x14ac:dyDescent="0.3">
      <c r="A353" s="59" t="s">
        <v>1548</v>
      </c>
      <c r="B353" s="149"/>
      <c r="C353" s="60" t="s">
        <v>956</v>
      </c>
    </row>
    <row r="354" spans="1:3" x14ac:dyDescent="0.3">
      <c r="A354" s="59" t="s">
        <v>1549</v>
      </c>
      <c r="B354" s="149"/>
      <c r="C354" s="60" t="s">
        <v>957</v>
      </c>
    </row>
    <row r="355" spans="1:3" x14ac:dyDescent="0.3">
      <c r="A355" s="59" t="s">
        <v>1550</v>
      </c>
      <c r="B355" s="149"/>
      <c r="C355" s="60" t="s">
        <v>958</v>
      </c>
    </row>
    <row r="356" spans="1:3" x14ac:dyDescent="0.3">
      <c r="A356" s="59" t="s">
        <v>1551</v>
      </c>
      <c r="B356" s="149"/>
      <c r="C356" s="60" t="s">
        <v>959</v>
      </c>
    </row>
    <row r="357" spans="1:3" x14ac:dyDescent="0.3">
      <c r="A357" s="59" t="s">
        <v>1552</v>
      </c>
      <c r="B357" s="149"/>
      <c r="C357" s="60" t="s">
        <v>960</v>
      </c>
    </row>
    <row r="358" spans="1:3" x14ac:dyDescent="0.3">
      <c r="A358" s="59" t="s">
        <v>1553</v>
      </c>
      <c r="B358" s="149"/>
      <c r="C358" s="60" t="s">
        <v>961</v>
      </c>
    </row>
    <row r="359" spans="1:3" x14ac:dyDescent="0.3">
      <c r="A359" s="59" t="s">
        <v>1554</v>
      </c>
      <c r="B359" s="149"/>
      <c r="C359" s="60" t="s">
        <v>962</v>
      </c>
    </row>
    <row r="360" spans="1:3" x14ac:dyDescent="0.3">
      <c r="A360" s="59" t="s">
        <v>1555</v>
      </c>
      <c r="B360" s="149"/>
      <c r="C360" s="60" t="s">
        <v>963</v>
      </c>
    </row>
    <row r="361" spans="1:3" x14ac:dyDescent="0.3">
      <c r="A361" s="59" t="s">
        <v>1556</v>
      </c>
      <c r="B361" s="149"/>
      <c r="C361" s="60" t="s">
        <v>964</v>
      </c>
    </row>
    <row r="362" spans="1:3" x14ac:dyDescent="0.3">
      <c r="A362" s="59" t="s">
        <v>1557</v>
      </c>
      <c r="B362" s="149"/>
      <c r="C362" s="60" t="s">
        <v>965</v>
      </c>
    </row>
    <row r="363" spans="1:3" x14ac:dyDescent="0.3">
      <c r="A363" s="59" t="s">
        <v>1558</v>
      </c>
      <c r="B363" s="149"/>
      <c r="C363" s="60" t="s">
        <v>966</v>
      </c>
    </row>
    <row r="364" spans="1:3" x14ac:dyDescent="0.3">
      <c r="A364" s="59" t="s">
        <v>1879</v>
      </c>
      <c r="B364" s="149"/>
      <c r="C364" s="60" t="s">
        <v>1864</v>
      </c>
    </row>
    <row r="365" spans="1:3" x14ac:dyDescent="0.3">
      <c r="A365" s="59" t="s">
        <v>1880</v>
      </c>
      <c r="B365" s="149"/>
      <c r="C365" s="60" t="s">
        <v>1865</v>
      </c>
    </row>
    <row r="366" spans="1:3" x14ac:dyDescent="0.3">
      <c r="A366" s="59" t="s">
        <v>1881</v>
      </c>
      <c r="B366" s="149"/>
      <c r="C366" s="60" t="s">
        <v>1866</v>
      </c>
    </row>
    <row r="367" spans="1:3" x14ac:dyDescent="0.3">
      <c r="A367" s="59" t="s">
        <v>1882</v>
      </c>
      <c r="B367" s="149"/>
      <c r="C367" s="60" t="s">
        <v>1867</v>
      </c>
    </row>
    <row r="368" spans="1:3" x14ac:dyDescent="0.3">
      <c r="A368" s="59" t="s">
        <v>1883</v>
      </c>
      <c r="B368" s="149"/>
      <c r="C368" s="60" t="s">
        <v>1868</v>
      </c>
    </row>
    <row r="369" spans="1:3" x14ac:dyDescent="0.3">
      <c r="A369" s="59" t="s">
        <v>1884</v>
      </c>
      <c r="B369" s="149"/>
      <c r="C369" s="60" t="s">
        <v>1869</v>
      </c>
    </row>
    <row r="370" spans="1:3" x14ac:dyDescent="0.3">
      <c r="A370" s="59" t="s">
        <v>1885</v>
      </c>
      <c r="B370" s="149"/>
      <c r="C370" s="60" t="s">
        <v>1870</v>
      </c>
    </row>
    <row r="371" spans="1:3" x14ac:dyDescent="0.3">
      <c r="A371" s="59" t="s">
        <v>1886</v>
      </c>
      <c r="B371" s="149"/>
      <c r="C371" s="60" t="s">
        <v>1871</v>
      </c>
    </row>
    <row r="372" spans="1:3" x14ac:dyDescent="0.3">
      <c r="A372" s="59" t="s">
        <v>1887</v>
      </c>
      <c r="B372" s="149"/>
      <c r="C372" s="60" t="s">
        <v>1872</v>
      </c>
    </row>
    <row r="373" spans="1:3" x14ac:dyDescent="0.3">
      <c r="A373" s="59" t="s">
        <v>1888</v>
      </c>
      <c r="B373" s="149"/>
      <c r="C373" s="60" t="s">
        <v>1873</v>
      </c>
    </row>
    <row r="374" spans="1:3" x14ac:dyDescent="0.3">
      <c r="A374" s="59" t="s">
        <v>1889</v>
      </c>
      <c r="B374" s="149"/>
      <c r="C374" s="60" t="s">
        <v>1874</v>
      </c>
    </row>
    <row r="375" spans="1:3" ht="19.8" thickBot="1" x14ac:dyDescent="0.35">
      <c r="A375" s="61" t="s">
        <v>1890</v>
      </c>
      <c r="B375" s="150"/>
      <c r="C375" s="62" t="s">
        <v>1875</v>
      </c>
    </row>
    <row r="376" spans="1:3" x14ac:dyDescent="0.3">
      <c r="A376" s="64" t="s">
        <v>2171</v>
      </c>
      <c r="B376" s="148" t="s">
        <v>2190</v>
      </c>
      <c r="C376" s="65" t="s">
        <v>2172</v>
      </c>
    </row>
    <row r="377" spans="1:3" x14ac:dyDescent="0.3">
      <c r="A377" s="59" t="s">
        <v>2173</v>
      </c>
      <c r="B377" s="149"/>
      <c r="C377" s="60" t="s">
        <v>2174</v>
      </c>
    </row>
    <row r="378" spans="1:3" x14ac:dyDescent="0.3">
      <c r="A378" s="59" t="s">
        <v>2175</v>
      </c>
      <c r="B378" s="149"/>
      <c r="C378" s="60" t="s">
        <v>1878</v>
      </c>
    </row>
    <row r="379" spans="1:3" x14ac:dyDescent="0.3">
      <c r="A379" s="59" t="s">
        <v>2176</v>
      </c>
      <c r="B379" s="149"/>
      <c r="C379" s="60" t="s">
        <v>1877</v>
      </c>
    </row>
    <row r="380" spans="1:3" x14ac:dyDescent="0.3">
      <c r="A380" s="59" t="s">
        <v>2214</v>
      </c>
      <c r="B380" s="149"/>
      <c r="C380" s="60" t="s">
        <v>2170</v>
      </c>
    </row>
    <row r="381" spans="1:3" x14ac:dyDescent="0.3">
      <c r="A381" s="59" t="s">
        <v>2215</v>
      </c>
      <c r="B381" s="149"/>
      <c r="C381" s="60" t="s">
        <v>2177</v>
      </c>
    </row>
    <row r="382" spans="1:3" x14ac:dyDescent="0.3">
      <c r="A382" s="59" t="s">
        <v>2216</v>
      </c>
      <c r="B382" s="149"/>
      <c r="C382" s="60" t="s">
        <v>2178</v>
      </c>
    </row>
    <row r="383" spans="1:3" ht="19.8" thickBot="1" x14ac:dyDescent="0.35">
      <c r="A383" s="61" t="s">
        <v>2217</v>
      </c>
      <c r="B383" s="150"/>
      <c r="C383" s="62" t="s">
        <v>2179</v>
      </c>
    </row>
    <row r="384" spans="1:3" x14ac:dyDescent="0.3">
      <c r="A384" s="64" t="s">
        <v>1559</v>
      </c>
      <c r="B384" s="148" t="s">
        <v>713</v>
      </c>
      <c r="C384" s="65" t="s">
        <v>715</v>
      </c>
    </row>
    <row r="385" spans="1:3" x14ac:dyDescent="0.3">
      <c r="A385" s="59" t="s">
        <v>1560</v>
      </c>
      <c r="B385" s="149"/>
      <c r="C385" s="60" t="s">
        <v>716</v>
      </c>
    </row>
    <row r="386" spans="1:3" x14ac:dyDescent="0.3">
      <c r="A386" s="59" t="s">
        <v>1561</v>
      </c>
      <c r="B386" s="149"/>
      <c r="C386" s="60" t="s">
        <v>1219</v>
      </c>
    </row>
    <row r="387" spans="1:3" x14ac:dyDescent="0.3">
      <c r="A387" s="59" t="s">
        <v>1562</v>
      </c>
      <c r="B387" s="149"/>
      <c r="C387" s="60" t="s">
        <v>717</v>
      </c>
    </row>
    <row r="388" spans="1:3" ht="19.8" thickBot="1" x14ac:dyDescent="0.35">
      <c r="A388" s="61" t="s">
        <v>1563</v>
      </c>
      <c r="B388" s="150"/>
      <c r="C388" s="62" t="s">
        <v>714</v>
      </c>
    </row>
    <row r="389" spans="1:3" x14ac:dyDescent="0.3">
      <c r="A389" s="64" t="s">
        <v>1564</v>
      </c>
      <c r="B389" s="148" t="s">
        <v>540</v>
      </c>
      <c r="C389" s="65" t="s">
        <v>2202</v>
      </c>
    </row>
    <row r="390" spans="1:3" ht="19.8" thickBot="1" x14ac:dyDescent="0.35">
      <c r="A390" s="61" t="s">
        <v>1565</v>
      </c>
      <c r="B390" s="150"/>
      <c r="C390" s="62" t="s">
        <v>2203</v>
      </c>
    </row>
    <row r="391" spans="1:3" x14ac:dyDescent="0.3">
      <c r="A391" s="64" t="s">
        <v>2218</v>
      </c>
      <c r="B391" s="148" t="s">
        <v>2204</v>
      </c>
      <c r="C391" s="65" t="s">
        <v>1577</v>
      </c>
    </row>
    <row r="392" spans="1:3" x14ac:dyDescent="0.3">
      <c r="A392" s="59" t="s">
        <v>2219</v>
      </c>
      <c r="B392" s="149"/>
      <c r="C392" s="60" t="s">
        <v>255</v>
      </c>
    </row>
    <row r="393" spans="1:3" x14ac:dyDescent="0.3">
      <c r="A393" s="59" t="s">
        <v>2220</v>
      </c>
      <c r="B393" s="149"/>
      <c r="C393" s="60" t="s">
        <v>6</v>
      </c>
    </row>
    <row r="394" spans="1:3" x14ac:dyDescent="0.3">
      <c r="A394" s="59" t="s">
        <v>2221</v>
      </c>
      <c r="B394" s="149"/>
      <c r="C394" s="60" t="s">
        <v>7</v>
      </c>
    </row>
    <row r="395" spans="1:3" x14ac:dyDescent="0.3">
      <c r="A395" s="59" t="s">
        <v>2222</v>
      </c>
      <c r="B395" s="149"/>
      <c r="C395" s="60" t="s">
        <v>8</v>
      </c>
    </row>
    <row r="396" spans="1:3" x14ac:dyDescent="0.3">
      <c r="A396" s="59" t="s">
        <v>2223</v>
      </c>
      <c r="B396" s="149"/>
      <c r="C396" s="60" t="s">
        <v>10</v>
      </c>
    </row>
    <row r="397" spans="1:3" x14ac:dyDescent="0.3">
      <c r="A397" s="59" t="s">
        <v>2224</v>
      </c>
      <c r="B397" s="149"/>
      <c r="C397" s="60" t="s">
        <v>256</v>
      </c>
    </row>
    <row r="398" spans="1:3" x14ac:dyDescent="0.3">
      <c r="A398" s="59" t="s">
        <v>2225</v>
      </c>
      <c r="B398" s="149"/>
      <c r="C398" s="60" t="s">
        <v>9</v>
      </c>
    </row>
    <row r="399" spans="1:3" x14ac:dyDescent="0.3">
      <c r="A399" s="59" t="s">
        <v>2226</v>
      </c>
      <c r="B399" s="149"/>
      <c r="C399" s="60" t="s">
        <v>12</v>
      </c>
    </row>
    <row r="400" spans="1:3" x14ac:dyDescent="0.3">
      <c r="A400" s="59" t="s">
        <v>2227</v>
      </c>
      <c r="B400" s="149"/>
      <c r="C400" s="60" t="s">
        <v>13</v>
      </c>
    </row>
    <row r="401" spans="1:3" x14ac:dyDescent="0.3">
      <c r="A401" s="59" t="s">
        <v>2228</v>
      </c>
      <c r="B401" s="149"/>
      <c r="C401" s="60" t="s">
        <v>14</v>
      </c>
    </row>
    <row r="402" spans="1:3" x14ac:dyDescent="0.3">
      <c r="A402" s="59" t="s">
        <v>2229</v>
      </c>
      <c r="B402" s="149"/>
      <c r="C402" s="60" t="s">
        <v>11</v>
      </c>
    </row>
    <row r="403" spans="1:3" x14ac:dyDescent="0.3">
      <c r="A403" s="59" t="s">
        <v>2230</v>
      </c>
      <c r="B403" s="149"/>
      <c r="C403" s="60" t="s">
        <v>257</v>
      </c>
    </row>
    <row r="404" spans="1:3" x14ac:dyDescent="0.3">
      <c r="A404" s="59" t="s">
        <v>2231</v>
      </c>
      <c r="B404" s="149"/>
      <c r="C404" s="60" t="s">
        <v>16</v>
      </c>
    </row>
    <row r="405" spans="1:3" x14ac:dyDescent="0.3">
      <c r="A405" s="59" t="s">
        <v>2232</v>
      </c>
      <c r="B405" s="149"/>
      <c r="C405" s="60" t="s">
        <v>15</v>
      </c>
    </row>
    <row r="406" spans="1:3" x14ac:dyDescent="0.3">
      <c r="A406" s="59" t="s">
        <v>2233</v>
      </c>
      <c r="B406" s="149"/>
      <c r="C406" s="60" t="s">
        <v>19</v>
      </c>
    </row>
    <row r="407" spans="1:3" x14ac:dyDescent="0.3">
      <c r="A407" s="59" t="s">
        <v>2234</v>
      </c>
      <c r="B407" s="149"/>
      <c r="C407" s="60" t="s">
        <v>17</v>
      </c>
    </row>
    <row r="408" spans="1:3" x14ac:dyDescent="0.3">
      <c r="A408" s="59" t="s">
        <v>2235</v>
      </c>
      <c r="B408" s="149"/>
      <c r="C408" s="60" t="s">
        <v>18</v>
      </c>
    </row>
    <row r="409" spans="1:3" x14ac:dyDescent="0.3">
      <c r="A409" s="59" t="s">
        <v>2236</v>
      </c>
      <c r="B409" s="149"/>
      <c r="C409" s="60" t="s">
        <v>20</v>
      </c>
    </row>
    <row r="410" spans="1:3" x14ac:dyDescent="0.3">
      <c r="A410" s="59" t="s">
        <v>2237</v>
      </c>
      <c r="B410" s="149"/>
      <c r="C410" s="60" t="s">
        <v>21</v>
      </c>
    </row>
    <row r="411" spans="1:3" x14ac:dyDescent="0.3">
      <c r="A411" s="59" t="s">
        <v>2238</v>
      </c>
      <c r="B411" s="149"/>
      <c r="C411" s="60" t="s">
        <v>258</v>
      </c>
    </row>
    <row r="412" spans="1:3" x14ac:dyDescent="0.3">
      <c r="A412" s="59" t="s">
        <v>2239</v>
      </c>
      <c r="B412" s="149"/>
      <c r="C412" s="60" t="s">
        <v>25</v>
      </c>
    </row>
    <row r="413" spans="1:3" x14ac:dyDescent="0.3">
      <c r="A413" s="59" t="s">
        <v>2240</v>
      </c>
      <c r="B413" s="149"/>
      <c r="C413" s="60" t="s">
        <v>27</v>
      </c>
    </row>
    <row r="414" spans="1:3" x14ac:dyDescent="0.3">
      <c r="A414" s="59" t="s">
        <v>2241</v>
      </c>
      <c r="B414" s="149"/>
      <c r="C414" s="60" t="s">
        <v>32</v>
      </c>
    </row>
    <row r="415" spans="1:3" x14ac:dyDescent="0.3">
      <c r="A415" s="59" t="s">
        <v>2242</v>
      </c>
      <c r="B415" s="149"/>
      <c r="C415" s="60" t="s">
        <v>37</v>
      </c>
    </row>
    <row r="416" spans="1:3" x14ac:dyDescent="0.3">
      <c r="A416" s="59" t="s">
        <v>2243</v>
      </c>
      <c r="B416" s="149"/>
      <c r="C416" s="60" t="s">
        <v>26</v>
      </c>
    </row>
    <row r="417" spans="1:3" x14ac:dyDescent="0.3">
      <c r="A417" s="59" t="s">
        <v>2244</v>
      </c>
      <c r="B417" s="149"/>
      <c r="C417" s="60" t="s">
        <v>28</v>
      </c>
    </row>
    <row r="418" spans="1:3" x14ac:dyDescent="0.3">
      <c r="A418" s="59" t="s">
        <v>2245</v>
      </c>
      <c r="B418" s="149"/>
      <c r="C418" s="60" t="s">
        <v>43</v>
      </c>
    </row>
    <row r="419" spans="1:3" x14ac:dyDescent="0.3">
      <c r="A419" s="59" t="s">
        <v>2246</v>
      </c>
      <c r="B419" s="149"/>
      <c r="C419" s="60" t="s">
        <v>277</v>
      </c>
    </row>
    <row r="420" spans="1:3" x14ac:dyDescent="0.3">
      <c r="A420" s="59" t="s">
        <v>2247</v>
      </c>
      <c r="B420" s="149"/>
      <c r="C420" s="60" t="s">
        <v>369</v>
      </c>
    </row>
    <row r="421" spans="1:3" x14ac:dyDescent="0.3">
      <c r="A421" s="59" t="s">
        <v>2248</v>
      </c>
      <c r="B421" s="149"/>
      <c r="C421" s="60" t="s">
        <v>45</v>
      </c>
    </row>
    <row r="422" spans="1:3" x14ac:dyDescent="0.3">
      <c r="A422" s="59" t="s">
        <v>2249</v>
      </c>
      <c r="B422" s="149"/>
      <c r="C422" s="60" t="s">
        <v>44</v>
      </c>
    </row>
    <row r="423" spans="1:3" x14ac:dyDescent="0.3">
      <c r="A423" s="59" t="s">
        <v>2250</v>
      </c>
      <c r="B423" s="149"/>
      <c r="C423" s="60" t="s">
        <v>46</v>
      </c>
    </row>
    <row r="424" spans="1:3" x14ac:dyDescent="0.3">
      <c r="A424" s="59" t="s">
        <v>2251</v>
      </c>
      <c r="B424" s="149"/>
      <c r="C424" s="60" t="s">
        <v>0</v>
      </c>
    </row>
    <row r="425" spans="1:3" x14ac:dyDescent="0.3">
      <c r="A425" s="59" t="s">
        <v>2252</v>
      </c>
      <c r="B425" s="149"/>
      <c r="C425" s="60" t="s">
        <v>47</v>
      </c>
    </row>
    <row r="426" spans="1:3" x14ac:dyDescent="0.3">
      <c r="A426" s="59" t="s">
        <v>2253</v>
      </c>
      <c r="B426" s="149"/>
      <c r="C426" s="60" t="s">
        <v>51</v>
      </c>
    </row>
    <row r="427" spans="1:3" x14ac:dyDescent="0.3">
      <c r="A427" s="59" t="s">
        <v>2254</v>
      </c>
      <c r="B427" s="149"/>
      <c r="C427" s="60" t="s">
        <v>52</v>
      </c>
    </row>
    <row r="428" spans="1:3" x14ac:dyDescent="0.3">
      <c r="A428" s="59" t="s">
        <v>2255</v>
      </c>
      <c r="B428" s="149"/>
      <c r="C428" s="60" t="s">
        <v>259</v>
      </c>
    </row>
    <row r="429" spans="1:3" ht="19.8" thickBot="1" x14ac:dyDescent="0.35">
      <c r="A429" s="61" t="s">
        <v>2256</v>
      </c>
      <c r="B429" s="150"/>
      <c r="C429" s="62" t="s">
        <v>276</v>
      </c>
    </row>
    <row r="430" spans="1:3" x14ac:dyDescent="0.3">
      <c r="A430" s="64" t="s">
        <v>2257</v>
      </c>
      <c r="B430" s="148" t="s">
        <v>2205</v>
      </c>
      <c r="C430" s="65" t="s">
        <v>1576</v>
      </c>
    </row>
    <row r="431" spans="1:3" ht="19.2" customHeight="1" x14ac:dyDescent="0.3">
      <c r="A431" s="59" t="s">
        <v>2258</v>
      </c>
      <c r="B431" s="149"/>
      <c r="C431" s="60" t="s">
        <v>249</v>
      </c>
    </row>
    <row r="432" spans="1:3" x14ac:dyDescent="0.3">
      <c r="A432" s="59" t="s">
        <v>2259</v>
      </c>
      <c r="B432" s="149"/>
      <c r="C432" s="60" t="s">
        <v>260</v>
      </c>
    </row>
    <row r="433" spans="1:3" x14ac:dyDescent="0.3">
      <c r="A433" s="59" t="s">
        <v>2260</v>
      </c>
      <c r="B433" s="149"/>
      <c r="C433" s="60" t="s">
        <v>71</v>
      </c>
    </row>
    <row r="434" spans="1:3" x14ac:dyDescent="0.3">
      <c r="A434" s="59" t="s">
        <v>2261</v>
      </c>
      <c r="B434" s="149"/>
      <c r="C434" s="60" t="s">
        <v>74</v>
      </c>
    </row>
    <row r="435" spans="1:3" x14ac:dyDescent="0.3">
      <c r="A435" s="59" t="s">
        <v>2262</v>
      </c>
      <c r="B435" s="149"/>
      <c r="C435" s="60" t="s">
        <v>73</v>
      </c>
    </row>
    <row r="436" spans="1:3" x14ac:dyDescent="0.3">
      <c r="A436" s="59" t="s">
        <v>2263</v>
      </c>
      <c r="B436" s="149"/>
      <c r="C436" s="60" t="s">
        <v>75</v>
      </c>
    </row>
    <row r="437" spans="1:3" x14ac:dyDescent="0.3">
      <c r="A437" s="59" t="s">
        <v>2264</v>
      </c>
      <c r="B437" s="149"/>
      <c r="C437" s="60" t="s">
        <v>79</v>
      </c>
    </row>
    <row r="438" spans="1:3" x14ac:dyDescent="0.3">
      <c r="A438" s="59" t="s">
        <v>2265</v>
      </c>
      <c r="B438" s="149"/>
      <c r="C438" s="60" t="s">
        <v>80</v>
      </c>
    </row>
    <row r="439" spans="1:3" x14ac:dyDescent="0.3">
      <c r="A439" s="59" t="s">
        <v>2266</v>
      </c>
      <c r="B439" s="149"/>
      <c r="C439" s="60" t="s">
        <v>85</v>
      </c>
    </row>
    <row r="440" spans="1:3" x14ac:dyDescent="0.3">
      <c r="A440" s="59" t="s">
        <v>2267</v>
      </c>
      <c r="B440" s="149"/>
      <c r="C440" s="60" t="s">
        <v>261</v>
      </c>
    </row>
    <row r="441" spans="1:3" x14ac:dyDescent="0.3">
      <c r="A441" s="59" t="s">
        <v>2268</v>
      </c>
      <c r="B441" s="149"/>
      <c r="C441" s="60" t="s">
        <v>86</v>
      </c>
    </row>
    <row r="442" spans="1:3" x14ac:dyDescent="0.3">
      <c r="A442" s="59" t="s">
        <v>2269</v>
      </c>
      <c r="B442" s="149"/>
      <c r="C442" s="60" t="s">
        <v>87</v>
      </c>
    </row>
    <row r="443" spans="1:3" x14ac:dyDescent="0.3">
      <c r="A443" s="59" t="s">
        <v>2270</v>
      </c>
      <c r="B443" s="149"/>
      <c r="C443" s="60" t="s">
        <v>88</v>
      </c>
    </row>
    <row r="444" spans="1:3" x14ac:dyDescent="0.3">
      <c r="A444" s="59" t="s">
        <v>2271</v>
      </c>
      <c r="B444" s="149"/>
      <c r="C444" s="60" t="s">
        <v>89</v>
      </c>
    </row>
    <row r="445" spans="1:3" x14ac:dyDescent="0.3">
      <c r="A445" s="59" t="s">
        <v>2272</v>
      </c>
      <c r="B445" s="149"/>
      <c r="C445" s="60" t="s">
        <v>90</v>
      </c>
    </row>
    <row r="446" spans="1:3" x14ac:dyDescent="0.3">
      <c r="A446" s="59" t="s">
        <v>2273</v>
      </c>
      <c r="B446" s="149"/>
      <c r="C446" s="60" t="s">
        <v>262</v>
      </c>
    </row>
    <row r="447" spans="1:3" x14ac:dyDescent="0.3">
      <c r="A447" s="59" t="s">
        <v>2274</v>
      </c>
      <c r="B447" s="149"/>
      <c r="C447" s="60" t="s">
        <v>96</v>
      </c>
    </row>
    <row r="448" spans="1:3" ht="19.8" thickBot="1" x14ac:dyDescent="0.35">
      <c r="A448" s="61" t="s">
        <v>2275</v>
      </c>
      <c r="B448" s="150"/>
      <c r="C448" s="62" t="s">
        <v>97</v>
      </c>
    </row>
    <row r="449" spans="1:3" x14ac:dyDescent="0.3">
      <c r="A449" s="64" t="s">
        <v>2276</v>
      </c>
      <c r="B449" s="148" t="s">
        <v>2206</v>
      </c>
      <c r="C449" s="65" t="s">
        <v>250</v>
      </c>
    </row>
    <row r="450" spans="1:3" x14ac:dyDescent="0.3">
      <c r="A450" s="59" t="s">
        <v>2277</v>
      </c>
      <c r="B450" s="149"/>
      <c r="C450" s="60" t="s">
        <v>263</v>
      </c>
    </row>
    <row r="451" spans="1:3" x14ac:dyDescent="0.3">
      <c r="A451" s="59" t="s">
        <v>2278</v>
      </c>
      <c r="B451" s="149"/>
      <c r="C451" s="60" t="s">
        <v>98</v>
      </c>
    </row>
    <row r="452" spans="1:3" x14ac:dyDescent="0.3">
      <c r="A452" s="59" t="s">
        <v>2279</v>
      </c>
      <c r="B452" s="149"/>
      <c r="C452" s="60" t="s">
        <v>99</v>
      </c>
    </row>
    <row r="453" spans="1:3" x14ac:dyDescent="0.3">
      <c r="A453" s="59" t="s">
        <v>2280</v>
      </c>
      <c r="B453" s="149"/>
      <c r="C453" s="60" t="s">
        <v>279</v>
      </c>
    </row>
    <row r="454" spans="1:3" x14ac:dyDescent="0.3">
      <c r="A454" s="59" t="s">
        <v>2281</v>
      </c>
      <c r="B454" s="149"/>
      <c r="C454" s="60" t="s">
        <v>280</v>
      </c>
    </row>
    <row r="455" spans="1:3" x14ac:dyDescent="0.3">
      <c r="A455" s="59" t="s">
        <v>2282</v>
      </c>
      <c r="B455" s="149"/>
      <c r="C455" s="60" t="s">
        <v>281</v>
      </c>
    </row>
    <row r="456" spans="1:3" x14ac:dyDescent="0.3">
      <c r="A456" s="59" t="s">
        <v>2283</v>
      </c>
      <c r="B456" s="149"/>
      <c r="C456" s="60" t="s">
        <v>282</v>
      </c>
    </row>
    <row r="457" spans="1:3" x14ac:dyDescent="0.3">
      <c r="A457" s="59" t="s">
        <v>2284</v>
      </c>
      <c r="B457" s="149"/>
      <c r="C457" s="60" t="s">
        <v>264</v>
      </c>
    </row>
    <row r="458" spans="1:3" x14ac:dyDescent="0.3">
      <c r="A458" s="59" t="s">
        <v>2285</v>
      </c>
      <c r="B458" s="149"/>
      <c r="C458" s="60" t="s">
        <v>104</v>
      </c>
    </row>
    <row r="459" spans="1:3" x14ac:dyDescent="0.3">
      <c r="A459" s="59" t="s">
        <v>2286</v>
      </c>
      <c r="B459" s="149"/>
      <c r="C459" s="60" t="s">
        <v>265</v>
      </c>
    </row>
    <row r="460" spans="1:3" x14ac:dyDescent="0.3">
      <c r="A460" s="59" t="s">
        <v>2287</v>
      </c>
      <c r="B460" s="149"/>
      <c r="C460" s="60" t="s">
        <v>105</v>
      </c>
    </row>
    <row r="461" spans="1:3" x14ac:dyDescent="0.3">
      <c r="A461" s="59" t="s">
        <v>2288</v>
      </c>
      <c r="B461" s="149"/>
      <c r="C461" s="60" t="s">
        <v>284</v>
      </c>
    </row>
    <row r="462" spans="1:3" x14ac:dyDescent="0.3">
      <c r="A462" s="59" t="s">
        <v>2289</v>
      </c>
      <c r="B462" s="149"/>
      <c r="C462" s="60" t="s">
        <v>283</v>
      </c>
    </row>
    <row r="463" spans="1:3" x14ac:dyDescent="0.3">
      <c r="A463" s="59" t="s">
        <v>2290</v>
      </c>
      <c r="B463" s="149"/>
      <c r="C463" s="60" t="s">
        <v>285</v>
      </c>
    </row>
    <row r="464" spans="1:3" x14ac:dyDescent="0.3">
      <c r="A464" s="59" t="s">
        <v>2291</v>
      </c>
      <c r="B464" s="149"/>
      <c r="C464" s="60" t="s">
        <v>266</v>
      </c>
    </row>
    <row r="465" spans="1:3" x14ac:dyDescent="0.3">
      <c r="A465" s="59" t="s">
        <v>2292</v>
      </c>
      <c r="B465" s="149"/>
      <c r="C465" s="60" t="s">
        <v>286</v>
      </c>
    </row>
    <row r="466" spans="1:3" x14ac:dyDescent="0.3">
      <c r="A466" s="59" t="s">
        <v>2293</v>
      </c>
      <c r="B466" s="149"/>
      <c r="C466" s="60" t="s">
        <v>287</v>
      </c>
    </row>
    <row r="467" spans="1:3" x14ac:dyDescent="0.3">
      <c r="A467" s="59" t="s">
        <v>2294</v>
      </c>
      <c r="B467" s="149"/>
      <c r="C467" s="60" t="s">
        <v>288</v>
      </c>
    </row>
    <row r="468" spans="1:3" x14ac:dyDescent="0.3">
      <c r="A468" s="59" t="s">
        <v>2295</v>
      </c>
      <c r="B468" s="149"/>
      <c r="C468" s="60" t="s">
        <v>106</v>
      </c>
    </row>
    <row r="469" spans="1:3" x14ac:dyDescent="0.3">
      <c r="A469" s="59" t="s">
        <v>2296</v>
      </c>
      <c r="B469" s="149"/>
      <c r="C469" s="60" t="s">
        <v>107</v>
      </c>
    </row>
    <row r="470" spans="1:3" x14ac:dyDescent="0.3">
      <c r="A470" s="59" t="s">
        <v>2297</v>
      </c>
      <c r="B470" s="149"/>
      <c r="C470" s="60" t="s">
        <v>112</v>
      </c>
    </row>
    <row r="471" spans="1:3" x14ac:dyDescent="0.3">
      <c r="A471" s="59" t="s">
        <v>2298</v>
      </c>
      <c r="B471" s="149"/>
      <c r="C471" s="60" t="s">
        <v>113</v>
      </c>
    </row>
    <row r="472" spans="1:3" ht="19.8" thickBot="1" x14ac:dyDescent="0.35">
      <c r="A472" s="61" t="s">
        <v>2299</v>
      </c>
      <c r="B472" s="150"/>
      <c r="C472" s="62" t="s">
        <v>114</v>
      </c>
    </row>
    <row r="473" spans="1:3" x14ac:dyDescent="0.3">
      <c r="A473" s="64" t="s">
        <v>2300</v>
      </c>
      <c r="B473" s="148" t="s">
        <v>2207</v>
      </c>
      <c r="C473" s="65" t="s">
        <v>92</v>
      </c>
    </row>
    <row r="474" spans="1:3" x14ac:dyDescent="0.3">
      <c r="A474" s="59" t="s">
        <v>2301</v>
      </c>
      <c r="B474" s="149"/>
      <c r="C474" s="60" t="s">
        <v>263</v>
      </c>
    </row>
    <row r="475" spans="1:3" x14ac:dyDescent="0.3">
      <c r="A475" s="59" t="s">
        <v>2302</v>
      </c>
      <c r="B475" s="149"/>
      <c r="C475" s="60" t="s">
        <v>117</v>
      </c>
    </row>
    <row r="476" spans="1:3" x14ac:dyDescent="0.3">
      <c r="A476" s="59" t="s">
        <v>2303</v>
      </c>
      <c r="B476" s="149"/>
      <c r="C476" s="60" t="s">
        <v>118</v>
      </c>
    </row>
    <row r="477" spans="1:3" x14ac:dyDescent="0.3">
      <c r="A477" s="59" t="s">
        <v>2304</v>
      </c>
      <c r="B477" s="149"/>
      <c r="C477" s="60" t="s">
        <v>289</v>
      </c>
    </row>
    <row r="478" spans="1:3" x14ac:dyDescent="0.3">
      <c r="A478" s="59" t="s">
        <v>2305</v>
      </c>
      <c r="B478" s="149"/>
      <c r="C478" s="60" t="s">
        <v>290</v>
      </c>
    </row>
    <row r="479" spans="1:3" x14ac:dyDescent="0.3">
      <c r="A479" s="59" t="s">
        <v>2306</v>
      </c>
      <c r="B479" s="149"/>
      <c r="C479" s="60" t="s">
        <v>291</v>
      </c>
    </row>
    <row r="480" spans="1:3" x14ac:dyDescent="0.3">
      <c r="A480" s="59" t="s">
        <v>2307</v>
      </c>
      <c r="B480" s="149"/>
      <c r="C480" s="60" t="s">
        <v>267</v>
      </c>
    </row>
    <row r="481" spans="1:3" x14ac:dyDescent="0.3">
      <c r="A481" s="59" t="s">
        <v>2308</v>
      </c>
      <c r="B481" s="149"/>
      <c r="C481" s="60" t="s">
        <v>122</v>
      </c>
    </row>
    <row r="482" spans="1:3" x14ac:dyDescent="0.3">
      <c r="A482" s="59" t="s">
        <v>2309</v>
      </c>
      <c r="B482" s="149"/>
      <c r="C482" s="60" t="s">
        <v>124</v>
      </c>
    </row>
    <row r="483" spans="1:3" x14ac:dyDescent="0.3">
      <c r="A483" s="59" t="s">
        <v>2310</v>
      </c>
      <c r="B483" s="149"/>
      <c r="C483" s="60" t="s">
        <v>123</v>
      </c>
    </row>
    <row r="484" spans="1:3" ht="19.2" customHeight="1" x14ac:dyDescent="0.3">
      <c r="A484" s="59" t="s">
        <v>2311</v>
      </c>
      <c r="B484" s="149"/>
      <c r="C484" s="60" t="s">
        <v>125</v>
      </c>
    </row>
    <row r="485" spans="1:3" x14ac:dyDescent="0.3">
      <c r="A485" s="59" t="s">
        <v>2312</v>
      </c>
      <c r="B485" s="149"/>
      <c r="C485" s="60" t="s">
        <v>126</v>
      </c>
    </row>
    <row r="486" spans="1:3" x14ac:dyDescent="0.3">
      <c r="A486" s="59" t="s">
        <v>2313</v>
      </c>
      <c r="B486" s="149"/>
      <c r="C486" s="60" t="s">
        <v>127</v>
      </c>
    </row>
    <row r="487" spans="1:3" x14ac:dyDescent="0.3">
      <c r="A487" s="59" t="s">
        <v>2314</v>
      </c>
      <c r="B487" s="149"/>
      <c r="C487" s="60" t="s">
        <v>128</v>
      </c>
    </row>
    <row r="488" spans="1:3" x14ac:dyDescent="0.3">
      <c r="A488" s="59" t="s">
        <v>2315</v>
      </c>
      <c r="B488" s="149"/>
      <c r="C488" s="60" t="s">
        <v>407</v>
      </c>
    </row>
    <row r="489" spans="1:3" x14ac:dyDescent="0.3">
      <c r="A489" s="59" t="s">
        <v>2316</v>
      </c>
      <c r="B489" s="149"/>
      <c r="C489" s="60" t="s">
        <v>129</v>
      </c>
    </row>
    <row r="490" spans="1:3" x14ac:dyDescent="0.3">
      <c r="A490" s="59" t="s">
        <v>2317</v>
      </c>
      <c r="B490" s="149"/>
      <c r="C490" s="60" t="s">
        <v>130</v>
      </c>
    </row>
    <row r="491" spans="1:3" x14ac:dyDescent="0.3">
      <c r="A491" s="59" t="s">
        <v>2318</v>
      </c>
      <c r="B491" s="149"/>
      <c r="C491" s="60" t="s">
        <v>131</v>
      </c>
    </row>
    <row r="492" spans="1:3" x14ac:dyDescent="0.3">
      <c r="A492" s="59" t="s">
        <v>2319</v>
      </c>
      <c r="B492" s="149"/>
      <c r="C492" s="60" t="s">
        <v>132</v>
      </c>
    </row>
    <row r="493" spans="1:3" x14ac:dyDescent="0.3">
      <c r="A493" s="59" t="s">
        <v>2320</v>
      </c>
      <c r="B493" s="149"/>
      <c r="C493" s="60" t="s">
        <v>133</v>
      </c>
    </row>
    <row r="494" spans="1:3" x14ac:dyDescent="0.3">
      <c r="A494" s="59" t="s">
        <v>2321</v>
      </c>
      <c r="B494" s="149"/>
      <c r="C494" s="60" t="s">
        <v>134</v>
      </c>
    </row>
    <row r="495" spans="1:3" x14ac:dyDescent="0.3">
      <c r="A495" s="59" t="s">
        <v>2322</v>
      </c>
      <c r="B495" s="149"/>
      <c r="C495" s="60" t="s">
        <v>135</v>
      </c>
    </row>
    <row r="496" spans="1:3" x14ac:dyDescent="0.3">
      <c r="A496" s="59" t="s">
        <v>2323</v>
      </c>
      <c r="B496" s="149"/>
      <c r="C496" s="60" t="s">
        <v>190</v>
      </c>
    </row>
    <row r="497" spans="1:3" x14ac:dyDescent="0.3">
      <c r="A497" s="59" t="s">
        <v>2324</v>
      </c>
      <c r="B497" s="149"/>
      <c r="C497" s="60" t="s">
        <v>268</v>
      </c>
    </row>
    <row r="498" spans="1:3" x14ac:dyDescent="0.3">
      <c r="A498" s="59" t="s">
        <v>2325</v>
      </c>
      <c r="B498" s="149"/>
      <c r="C498" s="60" t="s">
        <v>136</v>
      </c>
    </row>
    <row r="499" spans="1:3" x14ac:dyDescent="0.3">
      <c r="A499" s="59" t="s">
        <v>2326</v>
      </c>
      <c r="B499" s="149"/>
      <c r="C499" s="60" t="s">
        <v>139</v>
      </c>
    </row>
    <row r="500" spans="1:3" x14ac:dyDescent="0.3">
      <c r="A500" s="59" t="s">
        <v>2327</v>
      </c>
      <c r="B500" s="149"/>
      <c r="C500" s="60" t="s">
        <v>137</v>
      </c>
    </row>
    <row r="501" spans="1:3" x14ac:dyDescent="0.3">
      <c r="A501" s="59" t="s">
        <v>2328</v>
      </c>
      <c r="B501" s="149"/>
      <c r="C501" s="60" t="s">
        <v>140</v>
      </c>
    </row>
    <row r="502" spans="1:3" x14ac:dyDescent="0.3">
      <c r="A502" s="59" t="s">
        <v>2329</v>
      </c>
      <c r="B502" s="149"/>
      <c r="C502" s="60" t="s">
        <v>138</v>
      </c>
    </row>
    <row r="503" spans="1:3" x14ac:dyDescent="0.3">
      <c r="A503" s="59" t="s">
        <v>2330</v>
      </c>
      <c r="B503" s="149"/>
      <c r="C503" s="60" t="s">
        <v>264</v>
      </c>
    </row>
    <row r="504" spans="1:3" x14ac:dyDescent="0.3">
      <c r="A504" s="59" t="s">
        <v>2331</v>
      </c>
      <c r="B504" s="149"/>
      <c r="C504" s="60" t="s">
        <v>104</v>
      </c>
    </row>
    <row r="505" spans="1:3" x14ac:dyDescent="0.3">
      <c r="A505" s="59" t="s">
        <v>2332</v>
      </c>
      <c r="B505" s="149"/>
      <c r="C505" s="60" t="s">
        <v>269</v>
      </c>
    </row>
    <row r="506" spans="1:3" x14ac:dyDescent="0.3">
      <c r="A506" s="59" t="s">
        <v>2333</v>
      </c>
      <c r="B506" s="149"/>
      <c r="C506" s="60" t="s">
        <v>292</v>
      </c>
    </row>
    <row r="507" spans="1:3" x14ac:dyDescent="0.3">
      <c r="A507" s="59" t="s">
        <v>2334</v>
      </c>
      <c r="B507" s="149"/>
      <c r="C507" s="60" t="s">
        <v>142</v>
      </c>
    </row>
    <row r="508" spans="1:3" x14ac:dyDescent="0.3">
      <c r="A508" s="59" t="s">
        <v>2335</v>
      </c>
      <c r="B508" s="149"/>
      <c r="C508" s="60" t="s">
        <v>143</v>
      </c>
    </row>
    <row r="509" spans="1:3" x14ac:dyDescent="0.3">
      <c r="A509" s="59" t="s">
        <v>2336</v>
      </c>
      <c r="B509" s="149"/>
      <c r="C509" s="60" t="s">
        <v>144</v>
      </c>
    </row>
    <row r="510" spans="1:3" x14ac:dyDescent="0.3">
      <c r="A510" s="59" t="s">
        <v>2337</v>
      </c>
      <c r="B510" s="149"/>
      <c r="C510" s="60" t="s">
        <v>270</v>
      </c>
    </row>
    <row r="511" spans="1:3" x14ac:dyDescent="0.3">
      <c r="A511" s="59" t="s">
        <v>2338</v>
      </c>
      <c r="B511" s="149"/>
      <c r="C511" s="60" t="s">
        <v>145</v>
      </c>
    </row>
    <row r="512" spans="1:3" x14ac:dyDescent="0.3">
      <c r="A512" s="59" t="s">
        <v>2339</v>
      </c>
      <c r="B512" s="149"/>
      <c r="C512" s="60" t="s">
        <v>154</v>
      </c>
    </row>
    <row r="513" spans="1:3" x14ac:dyDescent="0.3">
      <c r="A513" s="59" t="s">
        <v>2340</v>
      </c>
      <c r="B513" s="149"/>
      <c r="C513" s="60" t="s">
        <v>146</v>
      </c>
    </row>
    <row r="514" spans="1:3" x14ac:dyDescent="0.3">
      <c r="A514" s="59" t="s">
        <v>2341</v>
      </c>
      <c r="B514" s="149"/>
      <c r="C514" s="60" t="s">
        <v>155</v>
      </c>
    </row>
    <row r="515" spans="1:3" x14ac:dyDescent="0.3">
      <c r="A515" s="59" t="s">
        <v>2342</v>
      </c>
      <c r="B515" s="149"/>
      <c r="C515" s="60" t="s">
        <v>149</v>
      </c>
    </row>
    <row r="516" spans="1:3" x14ac:dyDescent="0.3">
      <c r="A516" s="59" t="s">
        <v>2343</v>
      </c>
      <c r="B516" s="149"/>
      <c r="C516" s="60" t="s">
        <v>266</v>
      </c>
    </row>
    <row r="517" spans="1:3" x14ac:dyDescent="0.3">
      <c r="A517" s="59" t="s">
        <v>2344</v>
      </c>
      <c r="B517" s="149"/>
      <c r="C517" s="60" t="s">
        <v>159</v>
      </c>
    </row>
    <row r="518" spans="1:3" x14ac:dyDescent="0.3">
      <c r="A518" s="59" t="s">
        <v>2345</v>
      </c>
      <c r="B518" s="149"/>
      <c r="C518" s="60" t="s">
        <v>293</v>
      </c>
    </row>
    <row r="519" spans="1:3" x14ac:dyDescent="0.3">
      <c r="A519" s="59" t="s">
        <v>2346</v>
      </c>
      <c r="B519" s="149"/>
      <c r="C519" s="60" t="s">
        <v>294</v>
      </c>
    </row>
    <row r="520" spans="1:3" x14ac:dyDescent="0.3">
      <c r="A520" s="59" t="s">
        <v>2347</v>
      </c>
      <c r="B520" s="149"/>
      <c r="C520" s="60" t="s">
        <v>295</v>
      </c>
    </row>
    <row r="521" spans="1:3" x14ac:dyDescent="0.3">
      <c r="A521" s="59" t="s">
        <v>2348</v>
      </c>
      <c r="B521" s="149"/>
      <c r="C521" s="60" t="s">
        <v>185</v>
      </c>
    </row>
    <row r="522" spans="1:3" x14ac:dyDescent="0.3">
      <c r="A522" s="59" t="s">
        <v>2349</v>
      </c>
      <c r="B522" s="149"/>
      <c r="C522" s="60" t="s">
        <v>186</v>
      </c>
    </row>
    <row r="523" spans="1:3" x14ac:dyDescent="0.3">
      <c r="A523" s="59" t="s">
        <v>2350</v>
      </c>
      <c r="B523" s="149"/>
      <c r="C523" s="60" t="s">
        <v>160</v>
      </c>
    </row>
    <row r="524" spans="1:3" x14ac:dyDescent="0.3">
      <c r="A524" s="59" t="s">
        <v>2351</v>
      </c>
      <c r="B524" s="149"/>
      <c r="C524" s="60" t="s">
        <v>113</v>
      </c>
    </row>
    <row r="525" spans="1:3" x14ac:dyDescent="0.3">
      <c r="A525" s="59" t="s">
        <v>2352</v>
      </c>
      <c r="B525" s="149"/>
      <c r="C525" s="60" t="s">
        <v>161</v>
      </c>
    </row>
    <row r="526" spans="1:3" ht="19.8" thickBot="1" x14ac:dyDescent="0.35">
      <c r="A526" s="61" t="s">
        <v>2353</v>
      </c>
      <c r="B526" s="150"/>
      <c r="C526" s="62" t="s">
        <v>162</v>
      </c>
    </row>
    <row r="527" spans="1:3" x14ac:dyDescent="0.3">
      <c r="A527" s="64" t="s">
        <v>2354</v>
      </c>
      <c r="B527" s="148" t="s">
        <v>2209</v>
      </c>
      <c r="C527" s="65" t="s">
        <v>251</v>
      </c>
    </row>
    <row r="528" spans="1:3" x14ac:dyDescent="0.3">
      <c r="A528" s="59" t="s">
        <v>2355</v>
      </c>
      <c r="B528" s="149"/>
      <c r="C528" s="60" t="s">
        <v>263</v>
      </c>
    </row>
    <row r="529" spans="1:3" x14ac:dyDescent="0.3">
      <c r="A529" s="59" t="s">
        <v>2356</v>
      </c>
      <c r="B529" s="149"/>
      <c r="C529" s="60" t="s">
        <v>164</v>
      </c>
    </row>
    <row r="530" spans="1:3" x14ac:dyDescent="0.3">
      <c r="A530" s="59" t="s">
        <v>2357</v>
      </c>
      <c r="B530" s="149"/>
      <c r="C530" s="60" t="s">
        <v>165</v>
      </c>
    </row>
    <row r="531" spans="1:3" x14ac:dyDescent="0.3">
      <c r="A531" s="59" t="s">
        <v>2358</v>
      </c>
      <c r="B531" s="149"/>
      <c r="C531" s="60" t="s">
        <v>166</v>
      </c>
    </row>
    <row r="532" spans="1:3" x14ac:dyDescent="0.3">
      <c r="A532" s="59" t="s">
        <v>2359</v>
      </c>
      <c r="B532" s="149"/>
      <c r="C532" s="60" t="s">
        <v>163</v>
      </c>
    </row>
    <row r="533" spans="1:3" x14ac:dyDescent="0.3">
      <c r="A533" s="59" t="s">
        <v>2360</v>
      </c>
      <c r="B533" s="149"/>
      <c r="C533" s="60" t="s">
        <v>296</v>
      </c>
    </row>
    <row r="534" spans="1:3" x14ac:dyDescent="0.3">
      <c r="A534" s="59" t="s">
        <v>2361</v>
      </c>
      <c r="B534" s="149"/>
      <c r="C534" s="60" t="s">
        <v>297</v>
      </c>
    </row>
    <row r="535" spans="1:3" ht="19.8" thickBot="1" x14ac:dyDescent="0.35">
      <c r="A535" s="61" t="s">
        <v>2362</v>
      </c>
      <c r="B535" s="150"/>
      <c r="C535" s="62" t="s">
        <v>189</v>
      </c>
    </row>
    <row r="536" spans="1:3" x14ac:dyDescent="0.3">
      <c r="A536" s="64" t="s">
        <v>2363</v>
      </c>
      <c r="B536" s="148" t="s">
        <v>2208</v>
      </c>
      <c r="C536" s="65" t="s">
        <v>271</v>
      </c>
    </row>
    <row r="537" spans="1:3" x14ac:dyDescent="0.3">
      <c r="A537" s="59" t="s">
        <v>2364</v>
      </c>
      <c r="B537" s="149"/>
      <c r="C537" s="60" t="s">
        <v>298</v>
      </c>
    </row>
    <row r="538" spans="1:3" x14ac:dyDescent="0.3">
      <c r="A538" s="59" t="s">
        <v>2365</v>
      </c>
      <c r="B538" s="149"/>
      <c r="C538" s="60" t="s">
        <v>299</v>
      </c>
    </row>
    <row r="539" spans="1:3" x14ac:dyDescent="0.3">
      <c r="A539" s="59" t="s">
        <v>2366</v>
      </c>
      <c r="B539" s="149"/>
      <c r="C539" s="60" t="s">
        <v>169</v>
      </c>
    </row>
    <row r="540" spans="1:3" x14ac:dyDescent="0.3">
      <c r="A540" s="59" t="s">
        <v>2367</v>
      </c>
      <c r="B540" s="149"/>
      <c r="C540" s="60" t="s">
        <v>300</v>
      </c>
    </row>
    <row r="541" spans="1:3" x14ac:dyDescent="0.3">
      <c r="A541" s="59" t="s">
        <v>2368</v>
      </c>
      <c r="B541" s="149"/>
      <c r="C541" s="60" t="s">
        <v>174</v>
      </c>
    </row>
    <row r="542" spans="1:3" x14ac:dyDescent="0.3">
      <c r="A542" s="59" t="s">
        <v>2369</v>
      </c>
      <c r="B542" s="149"/>
      <c r="C542" s="60" t="s">
        <v>173</v>
      </c>
    </row>
    <row r="543" spans="1:3" x14ac:dyDescent="0.3">
      <c r="A543" s="59" t="s">
        <v>2370</v>
      </c>
      <c r="B543" s="149"/>
      <c r="C543" s="60" t="s">
        <v>187</v>
      </c>
    </row>
    <row r="544" spans="1:3" x14ac:dyDescent="0.3">
      <c r="A544" s="59" t="s">
        <v>2371</v>
      </c>
      <c r="B544" s="149"/>
      <c r="C544" s="60" t="s">
        <v>198</v>
      </c>
    </row>
    <row r="545" spans="1:3" x14ac:dyDescent="0.3">
      <c r="A545" s="59" t="s">
        <v>2372</v>
      </c>
      <c r="B545" s="149"/>
      <c r="C545" s="60" t="s">
        <v>154</v>
      </c>
    </row>
    <row r="546" spans="1:3" x14ac:dyDescent="0.3">
      <c r="A546" s="59" t="s">
        <v>2373</v>
      </c>
      <c r="B546" s="149"/>
      <c r="C546" s="60" t="s">
        <v>146</v>
      </c>
    </row>
    <row r="547" spans="1:3" x14ac:dyDescent="0.3">
      <c r="A547" s="59" t="s">
        <v>2374</v>
      </c>
      <c r="B547" s="149"/>
      <c r="C547" s="60" t="s">
        <v>199</v>
      </c>
    </row>
    <row r="548" spans="1:3" x14ac:dyDescent="0.3">
      <c r="A548" s="59" t="s">
        <v>2375</v>
      </c>
      <c r="B548" s="149"/>
      <c r="C548" s="60" t="s">
        <v>149</v>
      </c>
    </row>
    <row r="549" spans="1:3" x14ac:dyDescent="0.3">
      <c r="A549" s="59" t="s">
        <v>2376</v>
      </c>
      <c r="B549" s="149"/>
      <c r="C549" s="60" t="s">
        <v>265</v>
      </c>
    </row>
    <row r="550" spans="1:3" x14ac:dyDescent="0.3">
      <c r="A550" s="59" t="s">
        <v>2377</v>
      </c>
      <c r="B550" s="149"/>
      <c r="C550" s="60" t="s">
        <v>175</v>
      </c>
    </row>
    <row r="551" spans="1:3" x14ac:dyDescent="0.3">
      <c r="A551" s="59" t="s">
        <v>2378</v>
      </c>
      <c r="B551" s="149"/>
      <c r="C551" s="60" t="s">
        <v>302</v>
      </c>
    </row>
    <row r="552" spans="1:3" x14ac:dyDescent="0.3">
      <c r="A552" s="59" t="s">
        <v>2379</v>
      </c>
      <c r="B552" s="149"/>
      <c r="C552" s="60" t="s">
        <v>301</v>
      </c>
    </row>
    <row r="553" spans="1:3" x14ac:dyDescent="0.3">
      <c r="A553" s="59" t="s">
        <v>2380</v>
      </c>
      <c r="B553" s="149"/>
      <c r="C553" s="60" t="s">
        <v>303</v>
      </c>
    </row>
    <row r="554" spans="1:3" x14ac:dyDescent="0.3">
      <c r="A554" s="59" t="s">
        <v>2381</v>
      </c>
      <c r="B554" s="149"/>
      <c r="C554" s="60" t="s">
        <v>264</v>
      </c>
    </row>
    <row r="555" spans="1:3" x14ac:dyDescent="0.3">
      <c r="A555" s="59" t="s">
        <v>2382</v>
      </c>
      <c r="B555" s="149"/>
      <c r="C555" s="60" t="s">
        <v>304</v>
      </c>
    </row>
    <row r="556" spans="1:3" ht="19.8" thickBot="1" x14ac:dyDescent="0.35">
      <c r="A556" s="61" t="s">
        <v>2383</v>
      </c>
      <c r="B556" s="150"/>
      <c r="C556" s="62" t="s">
        <v>222</v>
      </c>
    </row>
    <row r="557" spans="1:3" x14ac:dyDescent="0.3">
      <c r="A557" s="64" t="s">
        <v>2384</v>
      </c>
      <c r="B557" s="148" t="s">
        <v>2210</v>
      </c>
      <c r="C557" s="65" t="s">
        <v>272</v>
      </c>
    </row>
    <row r="558" spans="1:3" x14ac:dyDescent="0.3">
      <c r="A558" s="59" t="s">
        <v>2385</v>
      </c>
      <c r="B558" s="149"/>
      <c r="C558" s="60" t="s">
        <v>305</v>
      </c>
    </row>
    <row r="559" spans="1:3" x14ac:dyDescent="0.3">
      <c r="A559" s="59" t="s">
        <v>2386</v>
      </c>
      <c r="B559" s="149"/>
      <c r="C559" s="60" t="s">
        <v>306</v>
      </c>
    </row>
    <row r="560" spans="1:3" x14ac:dyDescent="0.3">
      <c r="A560" s="59" t="s">
        <v>2387</v>
      </c>
      <c r="B560" s="149"/>
      <c r="C560" s="60" t="s">
        <v>307</v>
      </c>
    </row>
    <row r="561" spans="1:3" x14ac:dyDescent="0.3">
      <c r="A561" s="59" t="s">
        <v>2388</v>
      </c>
      <c r="B561" s="149"/>
      <c r="C561" s="60" t="s">
        <v>176</v>
      </c>
    </row>
    <row r="562" spans="1:3" x14ac:dyDescent="0.3">
      <c r="A562" s="59" t="s">
        <v>2389</v>
      </c>
      <c r="B562" s="149"/>
      <c r="C562" s="60" t="s">
        <v>179</v>
      </c>
    </row>
    <row r="563" spans="1:3" x14ac:dyDescent="0.3">
      <c r="A563" s="59" t="s">
        <v>2390</v>
      </c>
      <c r="B563" s="149"/>
      <c r="C563" s="60" t="s">
        <v>178</v>
      </c>
    </row>
    <row r="564" spans="1:3" x14ac:dyDescent="0.3">
      <c r="A564" s="59" t="s">
        <v>2391</v>
      </c>
      <c r="B564" s="149"/>
      <c r="C564" s="60" t="s">
        <v>177</v>
      </c>
    </row>
    <row r="565" spans="1:3" x14ac:dyDescent="0.3">
      <c r="A565" s="59" t="s">
        <v>2392</v>
      </c>
      <c r="B565" s="149"/>
      <c r="C565" s="60" t="s">
        <v>200</v>
      </c>
    </row>
    <row r="566" spans="1:3" x14ac:dyDescent="0.3">
      <c r="A566" s="59" t="s">
        <v>2393</v>
      </c>
      <c r="B566" s="149"/>
      <c r="C566" s="60" t="s">
        <v>154</v>
      </c>
    </row>
    <row r="567" spans="1:3" x14ac:dyDescent="0.3">
      <c r="A567" s="59" t="s">
        <v>2394</v>
      </c>
      <c r="B567" s="149"/>
      <c r="C567" s="60" t="s">
        <v>146</v>
      </c>
    </row>
    <row r="568" spans="1:3" x14ac:dyDescent="0.3">
      <c r="A568" s="59" t="s">
        <v>2395</v>
      </c>
      <c r="B568" s="149"/>
      <c r="C568" s="60" t="s">
        <v>201</v>
      </c>
    </row>
    <row r="569" spans="1:3" x14ac:dyDescent="0.3">
      <c r="A569" s="59" t="s">
        <v>2396</v>
      </c>
      <c r="B569" s="149"/>
      <c r="C569" s="60" t="s">
        <v>149</v>
      </c>
    </row>
    <row r="570" spans="1:3" x14ac:dyDescent="0.3">
      <c r="A570" s="59" t="s">
        <v>2397</v>
      </c>
      <c r="B570" s="149"/>
      <c r="C570" s="60" t="s">
        <v>202</v>
      </c>
    </row>
    <row r="571" spans="1:3" ht="19.8" thickBot="1" x14ac:dyDescent="0.35">
      <c r="A571" s="61" t="s">
        <v>2398</v>
      </c>
      <c r="B571" s="150"/>
      <c r="C571" s="62" t="s">
        <v>190</v>
      </c>
    </row>
    <row r="572" spans="1:3" x14ac:dyDescent="0.3">
      <c r="A572" s="64" t="s">
        <v>2399</v>
      </c>
      <c r="B572" s="148" t="s">
        <v>2211</v>
      </c>
      <c r="C572" s="65" t="s">
        <v>273</v>
      </c>
    </row>
    <row r="573" spans="1:3" x14ac:dyDescent="0.3">
      <c r="A573" s="59" t="s">
        <v>2400</v>
      </c>
      <c r="B573" s="149"/>
      <c r="C573" s="60" t="s">
        <v>308</v>
      </c>
    </row>
    <row r="574" spans="1:3" x14ac:dyDescent="0.3">
      <c r="A574" s="59" t="s">
        <v>2401</v>
      </c>
      <c r="B574" s="149"/>
      <c r="C574" s="60" t="s">
        <v>309</v>
      </c>
    </row>
    <row r="575" spans="1:3" x14ac:dyDescent="0.3">
      <c r="A575" s="59" t="s">
        <v>2402</v>
      </c>
      <c r="B575" s="149"/>
      <c r="C575" s="60" t="s">
        <v>310</v>
      </c>
    </row>
    <row r="576" spans="1:3" x14ac:dyDescent="0.3">
      <c r="A576" s="59" t="s">
        <v>2403</v>
      </c>
      <c r="B576" s="149"/>
      <c r="C576" s="60" t="s">
        <v>180</v>
      </c>
    </row>
    <row r="577" spans="1:3" x14ac:dyDescent="0.3">
      <c r="A577" s="59" t="s">
        <v>2404</v>
      </c>
      <c r="B577" s="149"/>
      <c r="C577" s="60" t="s">
        <v>181</v>
      </c>
    </row>
    <row r="578" spans="1:3" x14ac:dyDescent="0.3">
      <c r="A578" s="59" t="s">
        <v>2405</v>
      </c>
      <c r="B578" s="149"/>
      <c r="C578" s="60" t="s">
        <v>182</v>
      </c>
    </row>
    <row r="579" spans="1:3" x14ac:dyDescent="0.3">
      <c r="A579" s="59" t="s">
        <v>2406</v>
      </c>
      <c r="B579" s="149"/>
      <c r="C579" s="60" t="s">
        <v>184</v>
      </c>
    </row>
    <row r="580" spans="1:3" x14ac:dyDescent="0.3">
      <c r="A580" s="59" t="s">
        <v>2407</v>
      </c>
      <c r="B580" s="149"/>
      <c r="C580" s="60" t="s">
        <v>183</v>
      </c>
    </row>
    <row r="581" spans="1:3" x14ac:dyDescent="0.3">
      <c r="A581" s="59" t="s">
        <v>2408</v>
      </c>
      <c r="B581" s="149"/>
      <c r="C581" s="60" t="s">
        <v>188</v>
      </c>
    </row>
    <row r="582" spans="1:3" x14ac:dyDescent="0.3">
      <c r="A582" s="59" t="s">
        <v>2409</v>
      </c>
      <c r="B582" s="149"/>
      <c r="C582" s="60" t="s">
        <v>203</v>
      </c>
    </row>
    <row r="583" spans="1:3" ht="19.8" thickBot="1" x14ac:dyDescent="0.35">
      <c r="A583" s="61" t="s">
        <v>2410</v>
      </c>
      <c r="B583" s="150"/>
      <c r="C583" s="62" t="s">
        <v>190</v>
      </c>
    </row>
    <row r="584" spans="1:3" x14ac:dyDescent="0.3">
      <c r="A584" s="64" t="s">
        <v>2411</v>
      </c>
      <c r="B584" s="148" t="s">
        <v>2212</v>
      </c>
      <c r="C584" s="65" t="s">
        <v>274</v>
      </c>
    </row>
    <row r="585" spans="1:3" x14ac:dyDescent="0.3">
      <c r="A585" s="59" t="s">
        <v>2412</v>
      </c>
      <c r="B585" s="149"/>
      <c r="C585" s="60" t="s">
        <v>311</v>
      </c>
    </row>
    <row r="586" spans="1:3" x14ac:dyDescent="0.3">
      <c r="A586" s="59" t="s">
        <v>2413</v>
      </c>
      <c r="B586" s="149"/>
      <c r="C586" s="60" t="s">
        <v>312</v>
      </c>
    </row>
    <row r="587" spans="1:3" x14ac:dyDescent="0.3">
      <c r="A587" s="59" t="s">
        <v>2414</v>
      </c>
      <c r="B587" s="149"/>
      <c r="C587" s="60" t="s">
        <v>313</v>
      </c>
    </row>
    <row r="588" spans="1:3" x14ac:dyDescent="0.3">
      <c r="A588" s="59" t="s">
        <v>2415</v>
      </c>
      <c r="B588" s="149"/>
      <c r="C588" s="60" t="s">
        <v>204</v>
      </c>
    </row>
    <row r="589" spans="1:3" x14ac:dyDescent="0.3">
      <c r="A589" s="59" t="s">
        <v>2416</v>
      </c>
      <c r="B589" s="149"/>
      <c r="C589" s="60" t="s">
        <v>207</v>
      </c>
    </row>
    <row r="590" spans="1:3" x14ac:dyDescent="0.3">
      <c r="A590" s="59" t="s">
        <v>2417</v>
      </c>
      <c r="B590" s="149"/>
      <c r="C590" s="60" t="s">
        <v>206</v>
      </c>
    </row>
    <row r="591" spans="1:3" x14ac:dyDescent="0.3">
      <c r="A591" s="59" t="s">
        <v>2418</v>
      </c>
      <c r="B591" s="149"/>
      <c r="C591" s="60" t="s">
        <v>205</v>
      </c>
    </row>
    <row r="592" spans="1:3" x14ac:dyDescent="0.3">
      <c r="A592" s="59" t="s">
        <v>2419</v>
      </c>
      <c r="B592" s="149"/>
      <c r="C592" s="60" t="s">
        <v>208</v>
      </c>
    </row>
    <row r="593" spans="1:3" ht="19.8" thickBot="1" x14ac:dyDescent="0.35">
      <c r="A593" s="61" t="s">
        <v>2420</v>
      </c>
      <c r="B593" s="150"/>
      <c r="C593" s="62" t="s">
        <v>190</v>
      </c>
    </row>
    <row r="594" spans="1:3" x14ac:dyDescent="0.3">
      <c r="A594" s="64" t="s">
        <v>2421</v>
      </c>
      <c r="B594" s="148" t="s">
        <v>2213</v>
      </c>
      <c r="C594" s="65" t="s">
        <v>275</v>
      </c>
    </row>
    <row r="595" spans="1:3" x14ac:dyDescent="0.3">
      <c r="A595" s="59" t="s">
        <v>2422</v>
      </c>
      <c r="B595" s="149"/>
      <c r="C595" s="60" t="s">
        <v>314</v>
      </c>
    </row>
    <row r="596" spans="1:3" x14ac:dyDescent="0.3">
      <c r="A596" s="59" t="s">
        <v>2423</v>
      </c>
      <c r="B596" s="149"/>
      <c r="C596" s="60" t="s">
        <v>315</v>
      </c>
    </row>
    <row r="597" spans="1:3" x14ac:dyDescent="0.3">
      <c r="A597" s="59" t="s">
        <v>2424</v>
      </c>
      <c r="B597" s="149"/>
      <c r="C597" s="60" t="s">
        <v>316</v>
      </c>
    </row>
    <row r="598" spans="1:3" x14ac:dyDescent="0.3">
      <c r="A598" s="59" t="s">
        <v>2425</v>
      </c>
      <c r="B598" s="149"/>
      <c r="C598" s="60" t="s">
        <v>211</v>
      </c>
    </row>
    <row r="599" spans="1:3" x14ac:dyDescent="0.3">
      <c r="A599" s="59" t="s">
        <v>2426</v>
      </c>
      <c r="B599" s="149"/>
      <c r="C599" s="60" t="s">
        <v>209</v>
      </c>
    </row>
    <row r="600" spans="1:3" x14ac:dyDescent="0.3">
      <c r="A600" s="59" t="s">
        <v>2427</v>
      </c>
      <c r="B600" s="149"/>
      <c r="C600" s="60" t="s">
        <v>212</v>
      </c>
    </row>
    <row r="601" spans="1:3" x14ac:dyDescent="0.3">
      <c r="A601" s="59" t="s">
        <v>2428</v>
      </c>
      <c r="B601" s="149"/>
      <c r="C601" s="60" t="s">
        <v>213</v>
      </c>
    </row>
    <row r="602" spans="1:3" x14ac:dyDescent="0.3">
      <c r="A602" s="59" t="s">
        <v>2429</v>
      </c>
      <c r="B602" s="149"/>
      <c r="C602" s="60" t="s">
        <v>210</v>
      </c>
    </row>
    <row r="603" spans="1:3" x14ac:dyDescent="0.3">
      <c r="A603" s="59" t="s">
        <v>2430</v>
      </c>
      <c r="B603" s="149"/>
      <c r="C603" s="60" t="s">
        <v>214</v>
      </c>
    </row>
    <row r="604" spans="1:3" x14ac:dyDescent="0.3">
      <c r="A604" s="59" t="s">
        <v>2431</v>
      </c>
      <c r="B604" s="149"/>
      <c r="C604" s="60" t="s">
        <v>215</v>
      </c>
    </row>
    <row r="605" spans="1:3" x14ac:dyDescent="0.3">
      <c r="A605" s="59" t="s">
        <v>2432</v>
      </c>
      <c r="B605" s="149"/>
      <c r="C605" s="60" t="s">
        <v>154</v>
      </c>
    </row>
    <row r="606" spans="1:3" x14ac:dyDescent="0.3">
      <c r="A606" s="59" t="s">
        <v>2433</v>
      </c>
      <c r="B606" s="149"/>
      <c r="C606" s="60" t="s">
        <v>146</v>
      </c>
    </row>
    <row r="607" spans="1:3" x14ac:dyDescent="0.3">
      <c r="A607" s="59" t="s">
        <v>2434</v>
      </c>
      <c r="B607" s="149"/>
      <c r="C607" s="60" t="s">
        <v>216</v>
      </c>
    </row>
    <row r="608" spans="1:3" x14ac:dyDescent="0.3">
      <c r="A608" s="59" t="s">
        <v>2435</v>
      </c>
      <c r="B608" s="149"/>
      <c r="C608" s="60" t="s">
        <v>149</v>
      </c>
    </row>
    <row r="609" spans="1:3" x14ac:dyDescent="0.3">
      <c r="A609" s="59" t="s">
        <v>2436</v>
      </c>
      <c r="B609" s="149"/>
      <c r="C609" s="60" t="s">
        <v>217</v>
      </c>
    </row>
    <row r="610" spans="1:3" ht="19.2" customHeight="1" thickBot="1" x14ac:dyDescent="0.35">
      <c r="A610" s="61" t="s">
        <v>2437</v>
      </c>
      <c r="B610" s="150"/>
      <c r="C610" s="62" t="s">
        <v>190</v>
      </c>
    </row>
    <row r="611" spans="1:3" x14ac:dyDescent="0.3">
      <c r="A611" s="64" t="s">
        <v>2438</v>
      </c>
      <c r="B611" s="148" t="s">
        <v>547</v>
      </c>
      <c r="C611" s="65" t="s">
        <v>353</v>
      </c>
    </row>
    <row r="612" spans="1:3" x14ac:dyDescent="0.3">
      <c r="A612" s="59" t="s">
        <v>2439</v>
      </c>
      <c r="B612" s="149"/>
      <c r="C612" s="60" t="s">
        <v>317</v>
      </c>
    </row>
    <row r="613" spans="1:3" x14ac:dyDescent="0.3">
      <c r="A613" s="59" t="s">
        <v>2440</v>
      </c>
      <c r="B613" s="149"/>
      <c r="C613" s="60" t="s">
        <v>318</v>
      </c>
    </row>
    <row r="614" spans="1:3" x14ac:dyDescent="0.3">
      <c r="A614" s="59" t="s">
        <v>2441</v>
      </c>
      <c r="B614" s="149"/>
      <c r="C614" s="60" t="s">
        <v>319</v>
      </c>
    </row>
    <row r="615" spans="1:3" x14ac:dyDescent="0.3">
      <c r="A615" s="59" t="s">
        <v>2442</v>
      </c>
      <c r="B615" s="149"/>
      <c r="C615" s="60" t="s">
        <v>365</v>
      </c>
    </row>
    <row r="616" spans="1:3" x14ac:dyDescent="0.3">
      <c r="A616" s="59" t="s">
        <v>2443</v>
      </c>
      <c r="B616" s="149"/>
      <c r="C616" s="60" t="s">
        <v>366</v>
      </c>
    </row>
    <row r="617" spans="1:3" x14ac:dyDescent="0.3">
      <c r="A617" s="59" t="s">
        <v>2444</v>
      </c>
      <c r="B617" s="149"/>
      <c r="C617" s="60" t="s">
        <v>367</v>
      </c>
    </row>
    <row r="618" spans="1:3" x14ac:dyDescent="0.3">
      <c r="A618" s="59" t="s">
        <v>2445</v>
      </c>
      <c r="B618" s="149"/>
      <c r="C618" s="60" t="s">
        <v>589</v>
      </c>
    </row>
    <row r="619" spans="1:3" x14ac:dyDescent="0.3">
      <c r="A619" s="59" t="s">
        <v>2446</v>
      </c>
      <c r="B619" s="149"/>
      <c r="C619" s="60" t="s">
        <v>320</v>
      </c>
    </row>
    <row r="620" spans="1:3" x14ac:dyDescent="0.3">
      <c r="A620" s="59" t="s">
        <v>2447</v>
      </c>
      <c r="B620" s="149"/>
      <c r="C620" s="60" t="s">
        <v>322</v>
      </c>
    </row>
    <row r="621" spans="1:3" x14ac:dyDescent="0.3">
      <c r="A621" s="59" t="s">
        <v>2448</v>
      </c>
      <c r="B621" s="149"/>
      <c r="C621" s="60" t="s">
        <v>323</v>
      </c>
    </row>
    <row r="622" spans="1:3" x14ac:dyDescent="0.3">
      <c r="A622" s="59" t="s">
        <v>2449</v>
      </c>
      <c r="B622" s="149"/>
      <c r="C622" s="60" t="s">
        <v>321</v>
      </c>
    </row>
    <row r="623" spans="1:3" x14ac:dyDescent="0.3">
      <c r="A623" s="59" t="s">
        <v>2450</v>
      </c>
      <c r="B623" s="149"/>
      <c r="C623" s="60" t="s">
        <v>324</v>
      </c>
    </row>
    <row r="624" spans="1:3" x14ac:dyDescent="0.3">
      <c r="A624" s="59" t="s">
        <v>2451</v>
      </c>
      <c r="B624" s="149"/>
      <c r="C624" s="60" t="s">
        <v>325</v>
      </c>
    </row>
    <row r="625" spans="1:3" x14ac:dyDescent="0.3">
      <c r="A625" s="59" t="s">
        <v>2452</v>
      </c>
      <c r="B625" s="149"/>
      <c r="C625" s="60" t="s">
        <v>327</v>
      </c>
    </row>
    <row r="626" spans="1:3" x14ac:dyDescent="0.3">
      <c r="A626" s="59" t="s">
        <v>2453</v>
      </c>
      <c r="B626" s="149"/>
      <c r="C626" s="60" t="s">
        <v>326</v>
      </c>
    </row>
    <row r="627" spans="1:3" x14ac:dyDescent="0.3">
      <c r="A627" s="59" t="s">
        <v>2454</v>
      </c>
      <c r="B627" s="149"/>
      <c r="C627" s="60" t="s">
        <v>328</v>
      </c>
    </row>
    <row r="628" spans="1:3" x14ac:dyDescent="0.3">
      <c r="A628" s="59" t="s">
        <v>2455</v>
      </c>
      <c r="B628" s="149"/>
      <c r="C628" s="60" t="s">
        <v>329</v>
      </c>
    </row>
    <row r="629" spans="1:3" x14ac:dyDescent="0.3">
      <c r="A629" s="59" t="s">
        <v>2456</v>
      </c>
      <c r="B629" s="149"/>
      <c r="C629" s="60" t="s">
        <v>330</v>
      </c>
    </row>
    <row r="630" spans="1:3" x14ac:dyDescent="0.3">
      <c r="A630" s="59" t="s">
        <v>2457</v>
      </c>
      <c r="B630" s="149"/>
      <c r="C630" s="60" t="s">
        <v>331</v>
      </c>
    </row>
    <row r="631" spans="1:3" x14ac:dyDescent="0.3">
      <c r="A631" s="59" t="s">
        <v>2458</v>
      </c>
      <c r="B631" s="149"/>
      <c r="C631" s="60" t="s">
        <v>332</v>
      </c>
    </row>
    <row r="632" spans="1:3" x14ac:dyDescent="0.3">
      <c r="A632" s="59" t="s">
        <v>2459</v>
      </c>
      <c r="B632" s="149"/>
      <c r="C632" s="60" t="s">
        <v>333</v>
      </c>
    </row>
    <row r="633" spans="1:3" x14ac:dyDescent="0.3">
      <c r="A633" s="59" t="s">
        <v>2460</v>
      </c>
      <c r="B633" s="149"/>
      <c r="C633" s="60" t="s">
        <v>334</v>
      </c>
    </row>
    <row r="634" spans="1:3" x14ac:dyDescent="0.3">
      <c r="A634" s="59" t="s">
        <v>2461</v>
      </c>
      <c r="B634" s="149"/>
      <c r="C634" s="60" t="s">
        <v>335</v>
      </c>
    </row>
    <row r="635" spans="1:3" x14ac:dyDescent="0.3">
      <c r="A635" s="59" t="s">
        <v>2462</v>
      </c>
      <c r="B635" s="149"/>
      <c r="C635" s="60" t="s">
        <v>336</v>
      </c>
    </row>
    <row r="636" spans="1:3" x14ac:dyDescent="0.3">
      <c r="A636" s="59" t="s">
        <v>2463</v>
      </c>
      <c r="B636" s="149"/>
      <c r="C636" s="60" t="s">
        <v>337</v>
      </c>
    </row>
    <row r="637" spans="1:3" x14ac:dyDescent="0.3">
      <c r="A637" s="59" t="s">
        <v>2464</v>
      </c>
      <c r="B637" s="149"/>
      <c r="C637" s="60" t="s">
        <v>338</v>
      </c>
    </row>
    <row r="638" spans="1:3" x14ac:dyDescent="0.3">
      <c r="A638" s="59" t="s">
        <v>2465</v>
      </c>
      <c r="B638" s="149"/>
      <c r="C638" s="60" t="s">
        <v>339</v>
      </c>
    </row>
    <row r="639" spans="1:3" x14ac:dyDescent="0.3">
      <c r="A639" s="59" t="s">
        <v>2466</v>
      </c>
      <c r="B639" s="149"/>
      <c r="C639" s="60" t="s">
        <v>340</v>
      </c>
    </row>
    <row r="640" spans="1:3" x14ac:dyDescent="0.3">
      <c r="A640" s="59" t="s">
        <v>2467</v>
      </c>
      <c r="B640" s="149"/>
      <c r="C640" s="60" t="s">
        <v>341</v>
      </c>
    </row>
    <row r="641" spans="1:3" x14ac:dyDescent="0.3">
      <c r="A641" s="59" t="s">
        <v>2468</v>
      </c>
      <c r="B641" s="149"/>
      <c r="C641" s="60" t="s">
        <v>342</v>
      </c>
    </row>
    <row r="642" spans="1:3" x14ac:dyDescent="0.3">
      <c r="A642" s="59" t="s">
        <v>2469</v>
      </c>
      <c r="B642" s="149"/>
      <c r="C642" s="60" t="s">
        <v>343</v>
      </c>
    </row>
    <row r="643" spans="1:3" x14ac:dyDescent="0.3">
      <c r="A643" s="59" t="s">
        <v>2470</v>
      </c>
      <c r="B643" s="149"/>
      <c r="C643" s="60" t="s">
        <v>344</v>
      </c>
    </row>
    <row r="644" spans="1:3" x14ac:dyDescent="0.3">
      <c r="A644" s="59" t="s">
        <v>2471</v>
      </c>
      <c r="B644" s="149"/>
      <c r="C644" s="60" t="s">
        <v>345</v>
      </c>
    </row>
    <row r="645" spans="1:3" x14ac:dyDescent="0.3">
      <c r="A645" s="59" t="s">
        <v>2472</v>
      </c>
      <c r="B645" s="149"/>
      <c r="C645" s="60" t="s">
        <v>346</v>
      </c>
    </row>
    <row r="646" spans="1:3" x14ac:dyDescent="0.3">
      <c r="A646" s="59" t="s">
        <v>2473</v>
      </c>
      <c r="B646" s="149"/>
      <c r="C646" s="60" t="s">
        <v>347</v>
      </c>
    </row>
    <row r="647" spans="1:3" x14ac:dyDescent="0.3">
      <c r="A647" s="59" t="s">
        <v>2474</v>
      </c>
      <c r="B647" s="149"/>
      <c r="C647" s="60" t="s">
        <v>350</v>
      </c>
    </row>
    <row r="648" spans="1:3" x14ac:dyDescent="0.3">
      <c r="A648" s="59" t="s">
        <v>2475</v>
      </c>
      <c r="B648" s="149"/>
      <c r="C648" s="60" t="s">
        <v>348</v>
      </c>
    </row>
    <row r="649" spans="1:3" ht="19.8" thickBot="1" x14ac:dyDescent="0.35">
      <c r="A649" s="61" t="s">
        <v>2476</v>
      </c>
      <c r="B649" s="150"/>
      <c r="C649" s="62" t="s">
        <v>709</v>
      </c>
    </row>
    <row r="650" spans="1:3" x14ac:dyDescent="0.3">
      <c r="A650" s="64" t="s">
        <v>2477</v>
      </c>
      <c r="B650" s="145" t="s">
        <v>708</v>
      </c>
      <c r="C650" s="65" t="s">
        <v>353</v>
      </c>
    </row>
    <row r="651" spans="1:3" x14ac:dyDescent="0.3">
      <c r="A651" s="59" t="s">
        <v>2478</v>
      </c>
      <c r="B651" s="146"/>
      <c r="C651" s="60" t="s">
        <v>317</v>
      </c>
    </row>
    <row r="652" spans="1:3" x14ac:dyDescent="0.3">
      <c r="A652" s="59" t="s">
        <v>2479</v>
      </c>
      <c r="B652" s="146"/>
      <c r="C652" s="60" t="s">
        <v>318</v>
      </c>
    </row>
    <row r="653" spans="1:3" x14ac:dyDescent="0.3">
      <c r="A653" s="59" t="s">
        <v>2480</v>
      </c>
      <c r="B653" s="146"/>
      <c r="C653" s="60" t="s">
        <v>319</v>
      </c>
    </row>
    <row r="654" spans="1:3" x14ac:dyDescent="0.3">
      <c r="A654" s="59" t="s">
        <v>2481</v>
      </c>
      <c r="B654" s="146"/>
      <c r="C654" s="60" t="s">
        <v>354</v>
      </c>
    </row>
    <row r="655" spans="1:3" x14ac:dyDescent="0.3">
      <c r="A655" s="59" t="s">
        <v>2482</v>
      </c>
      <c r="B655" s="146"/>
      <c r="C655" s="60" t="s">
        <v>355</v>
      </c>
    </row>
    <row r="656" spans="1:3" x14ac:dyDescent="0.3">
      <c r="A656" s="59" t="s">
        <v>2483</v>
      </c>
      <c r="B656" s="146"/>
      <c r="C656" s="60" t="s">
        <v>1</v>
      </c>
    </row>
    <row r="657" spans="1:3" x14ac:dyDescent="0.3">
      <c r="A657" s="59" t="s">
        <v>2484</v>
      </c>
      <c r="B657" s="146"/>
      <c r="C657" s="60" t="s">
        <v>356</v>
      </c>
    </row>
    <row r="658" spans="1:3" x14ac:dyDescent="0.3">
      <c r="A658" s="59" t="s">
        <v>2485</v>
      </c>
      <c r="B658" s="146"/>
      <c r="C658" s="60" t="s">
        <v>357</v>
      </c>
    </row>
    <row r="659" spans="1:3" x14ac:dyDescent="0.3">
      <c r="A659" s="59" t="s">
        <v>2486</v>
      </c>
      <c r="B659" s="146"/>
      <c r="C659" s="60" t="s">
        <v>358</v>
      </c>
    </row>
    <row r="660" spans="1:3" x14ac:dyDescent="0.3">
      <c r="A660" s="59" t="s">
        <v>2487</v>
      </c>
      <c r="B660" s="146"/>
      <c r="C660" s="60" t="s">
        <v>359</v>
      </c>
    </row>
    <row r="661" spans="1:3" x14ac:dyDescent="0.3">
      <c r="A661" s="59" t="s">
        <v>2488</v>
      </c>
      <c r="B661" s="146"/>
      <c r="C661" s="60" t="s">
        <v>371</v>
      </c>
    </row>
    <row r="662" spans="1:3" x14ac:dyDescent="0.3">
      <c r="A662" s="59" t="s">
        <v>2489</v>
      </c>
      <c r="B662" s="146"/>
      <c r="C662" s="60" t="s">
        <v>370</v>
      </c>
    </row>
    <row r="663" spans="1:3" x14ac:dyDescent="0.3">
      <c r="A663" s="59" t="s">
        <v>2490</v>
      </c>
      <c r="B663" s="146"/>
      <c r="C663" s="60" t="s">
        <v>360</v>
      </c>
    </row>
    <row r="664" spans="1:3" x14ac:dyDescent="0.3">
      <c r="A664" s="59" t="s">
        <v>2491</v>
      </c>
      <c r="B664" s="146"/>
      <c r="C664" s="60" t="s">
        <v>372</v>
      </c>
    </row>
    <row r="665" spans="1:3" x14ac:dyDescent="0.3">
      <c r="A665" s="59" t="s">
        <v>2492</v>
      </c>
      <c r="B665" s="146"/>
      <c r="C665" s="60" t="s">
        <v>373</v>
      </c>
    </row>
    <row r="666" spans="1:3" x14ac:dyDescent="0.3">
      <c r="A666" s="59" t="s">
        <v>2493</v>
      </c>
      <c r="B666" s="146"/>
      <c r="C666" s="60" t="s">
        <v>374</v>
      </c>
    </row>
    <row r="667" spans="1:3" x14ac:dyDescent="0.3">
      <c r="A667" s="59" t="s">
        <v>2494</v>
      </c>
      <c r="B667" s="146"/>
      <c r="C667" s="60" t="s">
        <v>361</v>
      </c>
    </row>
    <row r="668" spans="1:3" x14ac:dyDescent="0.3">
      <c r="A668" s="59" t="s">
        <v>2495</v>
      </c>
      <c r="B668" s="146"/>
      <c r="C668" s="60" t="s">
        <v>364</v>
      </c>
    </row>
    <row r="669" spans="1:3" x14ac:dyDescent="0.3">
      <c r="A669" s="59" t="s">
        <v>2496</v>
      </c>
      <c r="B669" s="146"/>
      <c r="C669" s="60" t="s">
        <v>390</v>
      </c>
    </row>
    <row r="670" spans="1:3" x14ac:dyDescent="0.3">
      <c r="A670" s="59" t="s">
        <v>2497</v>
      </c>
      <c r="B670" s="146"/>
      <c r="C670" s="60" t="s">
        <v>362</v>
      </c>
    </row>
    <row r="671" spans="1:3" x14ac:dyDescent="0.3">
      <c r="A671" s="59" t="s">
        <v>2498</v>
      </c>
      <c r="B671" s="146"/>
      <c r="C671" s="60" t="s">
        <v>376</v>
      </c>
    </row>
    <row r="672" spans="1:3" x14ac:dyDescent="0.3">
      <c r="A672" s="59" t="s">
        <v>2499</v>
      </c>
      <c r="B672" s="146"/>
      <c r="C672" s="60" t="s">
        <v>375</v>
      </c>
    </row>
    <row r="673" spans="1:3" x14ac:dyDescent="0.3">
      <c r="A673" s="59" t="s">
        <v>2500</v>
      </c>
      <c r="B673" s="146"/>
      <c r="C673" s="60" t="s">
        <v>377</v>
      </c>
    </row>
    <row r="674" spans="1:3" x14ac:dyDescent="0.3">
      <c r="A674" s="59" t="s">
        <v>2501</v>
      </c>
      <c r="B674" s="146"/>
      <c r="C674" s="60" t="s">
        <v>419</v>
      </c>
    </row>
    <row r="675" spans="1:3" x14ac:dyDescent="0.3">
      <c r="A675" s="59" t="s">
        <v>2502</v>
      </c>
      <c r="B675" s="146"/>
      <c r="C675" s="60" t="s">
        <v>378</v>
      </c>
    </row>
    <row r="676" spans="1:3" x14ac:dyDescent="0.3">
      <c r="A676" s="59" t="s">
        <v>2503</v>
      </c>
      <c r="B676" s="146"/>
      <c r="C676" s="60" t="s">
        <v>379</v>
      </c>
    </row>
    <row r="677" spans="1:3" x14ac:dyDescent="0.3">
      <c r="A677" s="59" t="s">
        <v>2504</v>
      </c>
      <c r="B677" s="146"/>
      <c r="C677" s="60" t="s">
        <v>380</v>
      </c>
    </row>
    <row r="678" spans="1:3" x14ac:dyDescent="0.3">
      <c r="A678" s="59" t="s">
        <v>2505</v>
      </c>
      <c r="B678" s="146"/>
      <c r="C678" s="60" t="s">
        <v>381</v>
      </c>
    </row>
    <row r="679" spans="1:3" x14ac:dyDescent="0.3">
      <c r="A679" s="59" t="s">
        <v>2506</v>
      </c>
      <c r="B679" s="146"/>
      <c r="C679" s="60" t="s">
        <v>382</v>
      </c>
    </row>
    <row r="680" spans="1:3" x14ac:dyDescent="0.3">
      <c r="A680" s="59" t="s">
        <v>2507</v>
      </c>
      <c r="B680" s="146"/>
      <c r="C680" s="60" t="s">
        <v>383</v>
      </c>
    </row>
    <row r="681" spans="1:3" x14ac:dyDescent="0.3">
      <c r="A681" s="59" t="s">
        <v>2508</v>
      </c>
      <c r="B681" s="146"/>
      <c r="C681" s="60" t="s">
        <v>384</v>
      </c>
    </row>
    <row r="682" spans="1:3" x14ac:dyDescent="0.3">
      <c r="A682" s="59" t="s">
        <v>2509</v>
      </c>
      <c r="B682" s="146"/>
      <c r="C682" s="60" t="s">
        <v>439</v>
      </c>
    </row>
    <row r="683" spans="1:3" x14ac:dyDescent="0.3">
      <c r="A683" s="59" t="s">
        <v>2510</v>
      </c>
      <c r="B683" s="146"/>
      <c r="C683" s="60" t="s">
        <v>385</v>
      </c>
    </row>
    <row r="684" spans="1:3" x14ac:dyDescent="0.3">
      <c r="A684" s="59" t="s">
        <v>2511</v>
      </c>
      <c r="B684" s="146"/>
      <c r="C684" s="60" t="s">
        <v>386</v>
      </c>
    </row>
    <row r="685" spans="1:3" x14ac:dyDescent="0.3">
      <c r="A685" s="59" t="s">
        <v>2512</v>
      </c>
      <c r="B685" s="146"/>
      <c r="C685" s="60" t="s">
        <v>387</v>
      </c>
    </row>
    <row r="686" spans="1:3" x14ac:dyDescent="0.3">
      <c r="A686" s="59" t="s">
        <v>2513</v>
      </c>
      <c r="B686" s="146"/>
      <c r="C686" s="60" t="s">
        <v>388</v>
      </c>
    </row>
    <row r="687" spans="1:3" x14ac:dyDescent="0.3">
      <c r="A687" s="59" t="s">
        <v>2514</v>
      </c>
      <c r="B687" s="146"/>
      <c r="C687" s="60" t="s">
        <v>389</v>
      </c>
    </row>
    <row r="688" spans="1:3" x14ac:dyDescent="0.3">
      <c r="A688" s="59" t="s">
        <v>2515</v>
      </c>
      <c r="B688" s="146"/>
      <c r="C688" s="60" t="s">
        <v>391</v>
      </c>
    </row>
    <row r="689" spans="1:3" x14ac:dyDescent="0.3">
      <c r="A689" s="59" t="s">
        <v>2516</v>
      </c>
      <c r="B689" s="146"/>
      <c r="C689" s="60" t="s">
        <v>392</v>
      </c>
    </row>
    <row r="690" spans="1:3" x14ac:dyDescent="0.3">
      <c r="A690" s="59" t="s">
        <v>2517</v>
      </c>
      <c r="B690" s="146"/>
      <c r="C690" s="60" t="s">
        <v>393</v>
      </c>
    </row>
    <row r="691" spans="1:3" x14ac:dyDescent="0.3">
      <c r="A691" s="59" t="s">
        <v>2518</v>
      </c>
      <c r="B691" s="146"/>
      <c r="C691" s="60" t="s">
        <v>394</v>
      </c>
    </row>
    <row r="692" spans="1:3" x14ac:dyDescent="0.3">
      <c r="A692" s="59" t="s">
        <v>2519</v>
      </c>
      <c r="B692" s="146"/>
      <c r="C692" s="60" t="s">
        <v>395</v>
      </c>
    </row>
    <row r="693" spans="1:3" x14ac:dyDescent="0.3">
      <c r="A693" s="59" t="s">
        <v>2520</v>
      </c>
      <c r="B693" s="146"/>
      <c r="C693" s="60" t="s">
        <v>396</v>
      </c>
    </row>
    <row r="694" spans="1:3" x14ac:dyDescent="0.3">
      <c r="A694" s="59" t="s">
        <v>2521</v>
      </c>
      <c r="B694" s="146"/>
      <c r="C694" s="60" t="s">
        <v>397</v>
      </c>
    </row>
    <row r="695" spans="1:3" x14ac:dyDescent="0.3">
      <c r="A695" s="59" t="s">
        <v>2522</v>
      </c>
      <c r="B695" s="146"/>
      <c r="C695" s="60" t="s">
        <v>398</v>
      </c>
    </row>
    <row r="696" spans="1:3" x14ac:dyDescent="0.3">
      <c r="A696" s="59" t="s">
        <v>2523</v>
      </c>
      <c r="B696" s="146"/>
      <c r="C696" s="60" t="s">
        <v>399</v>
      </c>
    </row>
    <row r="697" spans="1:3" x14ac:dyDescent="0.3">
      <c r="A697" s="59" t="s">
        <v>2524</v>
      </c>
      <c r="B697" s="146"/>
      <c r="C697" s="60" t="s">
        <v>400</v>
      </c>
    </row>
    <row r="698" spans="1:3" x14ac:dyDescent="0.3">
      <c r="A698" s="59" t="s">
        <v>2525</v>
      </c>
      <c r="B698" s="146"/>
      <c r="C698" s="60" t="s">
        <v>402</v>
      </c>
    </row>
    <row r="699" spans="1:3" x14ac:dyDescent="0.3">
      <c r="A699" s="59" t="s">
        <v>2526</v>
      </c>
      <c r="B699" s="146"/>
      <c r="C699" s="60" t="s">
        <v>408</v>
      </c>
    </row>
    <row r="700" spans="1:3" x14ac:dyDescent="0.3">
      <c r="A700" s="59" t="s">
        <v>2527</v>
      </c>
      <c r="B700" s="146"/>
      <c r="C700" s="60" t="s">
        <v>403</v>
      </c>
    </row>
    <row r="701" spans="1:3" x14ac:dyDescent="0.3">
      <c r="A701" s="59" t="s">
        <v>2528</v>
      </c>
      <c r="B701" s="146"/>
      <c r="C701" s="60" t="s">
        <v>405</v>
      </c>
    </row>
    <row r="702" spans="1:3" x14ac:dyDescent="0.3">
      <c r="A702" s="59" t="s">
        <v>2529</v>
      </c>
      <c r="B702" s="146"/>
      <c r="C702" s="60" t="s">
        <v>406</v>
      </c>
    </row>
    <row r="703" spans="1:3" x14ac:dyDescent="0.3">
      <c r="A703" s="59" t="s">
        <v>2530</v>
      </c>
      <c r="B703" s="146"/>
      <c r="C703" s="60" t="s">
        <v>409</v>
      </c>
    </row>
    <row r="704" spans="1:3" x14ac:dyDescent="0.3">
      <c r="A704" s="59" t="s">
        <v>2531</v>
      </c>
      <c r="B704" s="146"/>
      <c r="C704" s="60" t="s">
        <v>410</v>
      </c>
    </row>
    <row r="705" spans="1:3" x14ac:dyDescent="0.3">
      <c r="A705" s="59" t="s">
        <v>2532</v>
      </c>
      <c r="B705" s="146"/>
      <c r="C705" s="60" t="s">
        <v>411</v>
      </c>
    </row>
    <row r="706" spans="1:3" x14ac:dyDescent="0.3">
      <c r="A706" s="59" t="s">
        <v>2533</v>
      </c>
      <c r="B706" s="146"/>
      <c r="C706" s="60" t="s">
        <v>412</v>
      </c>
    </row>
    <row r="707" spans="1:3" x14ac:dyDescent="0.3">
      <c r="A707" s="59" t="s">
        <v>2534</v>
      </c>
      <c r="B707" s="146"/>
      <c r="C707" s="60" t="s">
        <v>478</v>
      </c>
    </row>
    <row r="708" spans="1:3" x14ac:dyDescent="0.3">
      <c r="A708" s="59" t="s">
        <v>2535</v>
      </c>
      <c r="B708" s="146"/>
      <c r="C708" s="60" t="s">
        <v>413</v>
      </c>
    </row>
    <row r="709" spans="1:3" x14ac:dyDescent="0.3">
      <c r="A709" s="59" t="s">
        <v>2536</v>
      </c>
      <c r="B709" s="146"/>
      <c r="C709" s="60" t="s">
        <v>414</v>
      </c>
    </row>
    <row r="710" spans="1:3" x14ac:dyDescent="0.3">
      <c r="A710" s="59" t="s">
        <v>2537</v>
      </c>
      <c r="B710" s="146"/>
      <c r="C710" s="60" t="s">
        <v>415</v>
      </c>
    </row>
    <row r="711" spans="1:3" x14ac:dyDescent="0.3">
      <c r="A711" s="59" t="s">
        <v>2538</v>
      </c>
      <c r="B711" s="146"/>
      <c r="C711" s="60" t="s">
        <v>417</v>
      </c>
    </row>
    <row r="712" spans="1:3" x14ac:dyDescent="0.3">
      <c r="A712" s="59" t="s">
        <v>2539</v>
      </c>
      <c r="B712" s="146"/>
      <c r="C712" s="60" t="s">
        <v>416</v>
      </c>
    </row>
    <row r="713" spans="1:3" x14ac:dyDescent="0.3">
      <c r="A713" s="59" t="s">
        <v>2540</v>
      </c>
      <c r="B713" s="146"/>
      <c r="C713" s="60" t="s">
        <v>418</v>
      </c>
    </row>
    <row r="714" spans="1:3" x14ac:dyDescent="0.3">
      <c r="A714" s="59" t="s">
        <v>2541</v>
      </c>
      <c r="B714" s="146"/>
      <c r="C714" s="60" t="s">
        <v>420</v>
      </c>
    </row>
    <row r="715" spans="1:3" x14ac:dyDescent="0.3">
      <c r="A715" s="59" t="s">
        <v>2542</v>
      </c>
      <c r="B715" s="146"/>
      <c r="C715" s="60" t="s">
        <v>421</v>
      </c>
    </row>
    <row r="716" spans="1:3" x14ac:dyDescent="0.3">
      <c r="A716" s="59" t="s">
        <v>2543</v>
      </c>
      <c r="B716" s="146"/>
      <c r="C716" s="60" t="s">
        <v>422</v>
      </c>
    </row>
    <row r="717" spans="1:3" x14ac:dyDescent="0.3">
      <c r="A717" s="59" t="s">
        <v>2544</v>
      </c>
      <c r="B717" s="146"/>
      <c r="C717" s="60" t="s">
        <v>423</v>
      </c>
    </row>
    <row r="718" spans="1:3" x14ac:dyDescent="0.3">
      <c r="A718" s="59" t="s">
        <v>2545</v>
      </c>
      <c r="B718" s="146"/>
      <c r="C718" s="60" t="s">
        <v>424</v>
      </c>
    </row>
    <row r="719" spans="1:3" x14ac:dyDescent="0.3">
      <c r="A719" s="59" t="s">
        <v>2546</v>
      </c>
      <c r="B719" s="146"/>
      <c r="C719" s="60" t="s">
        <v>425</v>
      </c>
    </row>
    <row r="720" spans="1:3" x14ac:dyDescent="0.3">
      <c r="A720" s="59" t="s">
        <v>2547</v>
      </c>
      <c r="B720" s="146"/>
      <c r="C720" s="60" t="s">
        <v>426</v>
      </c>
    </row>
    <row r="721" spans="1:3" x14ac:dyDescent="0.3">
      <c r="A721" s="59" t="s">
        <v>2548</v>
      </c>
      <c r="B721" s="146"/>
      <c r="C721" s="60" t="s">
        <v>427</v>
      </c>
    </row>
    <row r="722" spans="1:3" x14ac:dyDescent="0.3">
      <c r="A722" s="59" t="s">
        <v>2549</v>
      </c>
      <c r="B722" s="146"/>
      <c r="C722" s="60" t="s">
        <v>428</v>
      </c>
    </row>
    <row r="723" spans="1:3" x14ac:dyDescent="0.3">
      <c r="A723" s="59" t="s">
        <v>2550</v>
      </c>
      <c r="B723" s="146"/>
      <c r="C723" s="60" t="s">
        <v>429</v>
      </c>
    </row>
    <row r="724" spans="1:3" x14ac:dyDescent="0.3">
      <c r="A724" s="59" t="s">
        <v>2551</v>
      </c>
      <c r="B724" s="146"/>
      <c r="C724" s="60" t="s">
        <v>430</v>
      </c>
    </row>
    <row r="725" spans="1:3" x14ac:dyDescent="0.3">
      <c r="A725" s="59" t="s">
        <v>2552</v>
      </c>
      <c r="B725" s="146"/>
      <c r="C725" s="60" t="s">
        <v>431</v>
      </c>
    </row>
    <row r="726" spans="1:3" x14ac:dyDescent="0.3">
      <c r="A726" s="59" t="s">
        <v>2553</v>
      </c>
      <c r="B726" s="146"/>
      <c r="C726" s="60" t="s">
        <v>432</v>
      </c>
    </row>
    <row r="727" spans="1:3" x14ac:dyDescent="0.3">
      <c r="A727" s="59" t="s">
        <v>2554</v>
      </c>
      <c r="B727" s="146"/>
      <c r="C727" s="60" t="s">
        <v>433</v>
      </c>
    </row>
    <row r="728" spans="1:3" x14ac:dyDescent="0.3">
      <c r="A728" s="59" t="s">
        <v>2555</v>
      </c>
      <c r="B728" s="146"/>
      <c r="C728" s="60" t="s">
        <v>434</v>
      </c>
    </row>
    <row r="729" spans="1:3" x14ac:dyDescent="0.3">
      <c r="A729" s="59" t="s">
        <v>2556</v>
      </c>
      <c r="B729" s="146"/>
      <c r="C729" s="60" t="s">
        <v>438</v>
      </c>
    </row>
    <row r="730" spans="1:3" x14ac:dyDescent="0.3">
      <c r="A730" s="59" t="s">
        <v>2557</v>
      </c>
      <c r="B730" s="146"/>
      <c r="C730" s="60" t="s">
        <v>435</v>
      </c>
    </row>
    <row r="731" spans="1:3" x14ac:dyDescent="0.3">
      <c r="A731" s="59" t="s">
        <v>2558</v>
      </c>
      <c r="B731" s="146"/>
      <c r="C731" s="60" t="s">
        <v>436</v>
      </c>
    </row>
    <row r="732" spans="1:3" x14ac:dyDescent="0.3">
      <c r="A732" s="59" t="s">
        <v>2559</v>
      </c>
      <c r="B732" s="146"/>
      <c r="C732" s="60" t="s">
        <v>437</v>
      </c>
    </row>
    <row r="733" spans="1:3" x14ac:dyDescent="0.3">
      <c r="A733" s="59" t="s">
        <v>2560</v>
      </c>
      <c r="B733" s="146"/>
      <c r="C733" s="60" t="s">
        <v>440</v>
      </c>
    </row>
    <row r="734" spans="1:3" x14ac:dyDescent="0.3">
      <c r="A734" s="59" t="s">
        <v>2561</v>
      </c>
      <c r="B734" s="146"/>
      <c r="C734" s="60" t="s">
        <v>441</v>
      </c>
    </row>
    <row r="735" spans="1:3" x14ac:dyDescent="0.3">
      <c r="A735" s="59" t="s">
        <v>2562</v>
      </c>
      <c r="B735" s="146"/>
      <c r="C735" s="60" t="s">
        <v>710</v>
      </c>
    </row>
    <row r="736" spans="1:3" x14ac:dyDescent="0.3">
      <c r="A736" s="59" t="s">
        <v>2563</v>
      </c>
      <c r="B736" s="146"/>
      <c r="C736" s="60" t="s">
        <v>443</v>
      </c>
    </row>
    <row r="737" spans="1:3" x14ac:dyDescent="0.3">
      <c r="A737" s="59" t="s">
        <v>2564</v>
      </c>
      <c r="B737" s="146"/>
      <c r="C737" s="60" t="s">
        <v>444</v>
      </c>
    </row>
    <row r="738" spans="1:3" x14ac:dyDescent="0.3">
      <c r="A738" s="59" t="s">
        <v>2565</v>
      </c>
      <c r="B738" s="146"/>
      <c r="C738" s="60" t="s">
        <v>449</v>
      </c>
    </row>
    <row r="739" spans="1:3" x14ac:dyDescent="0.3">
      <c r="A739" s="59" t="s">
        <v>2566</v>
      </c>
      <c r="B739" s="146"/>
      <c r="C739" s="60" t="s">
        <v>445</v>
      </c>
    </row>
    <row r="740" spans="1:3" x14ac:dyDescent="0.3">
      <c r="A740" s="59" t="s">
        <v>2567</v>
      </c>
      <c r="B740" s="146"/>
      <c r="C740" s="60" t="s">
        <v>446</v>
      </c>
    </row>
    <row r="741" spans="1:3" x14ac:dyDescent="0.3">
      <c r="A741" s="59" t="s">
        <v>2568</v>
      </c>
      <c r="B741" s="146"/>
      <c r="C741" s="60" t="s">
        <v>447</v>
      </c>
    </row>
    <row r="742" spans="1:3" x14ac:dyDescent="0.3">
      <c r="A742" s="59" t="s">
        <v>2569</v>
      </c>
      <c r="B742" s="146"/>
      <c r="C742" s="60" t="s">
        <v>448</v>
      </c>
    </row>
    <row r="743" spans="1:3" x14ac:dyDescent="0.3">
      <c r="A743" s="59" t="s">
        <v>2570</v>
      </c>
      <c r="B743" s="146"/>
      <c r="C743" s="60" t="s">
        <v>467</v>
      </c>
    </row>
    <row r="744" spans="1:3" x14ac:dyDescent="0.3">
      <c r="A744" s="59" t="s">
        <v>2571</v>
      </c>
      <c r="B744" s="146"/>
      <c r="C744" s="60" t="s">
        <v>452</v>
      </c>
    </row>
    <row r="745" spans="1:3" x14ac:dyDescent="0.3">
      <c r="A745" s="59" t="s">
        <v>2572</v>
      </c>
      <c r="B745" s="146"/>
      <c r="C745" s="60" t="s">
        <v>451</v>
      </c>
    </row>
    <row r="746" spans="1:3" x14ac:dyDescent="0.3">
      <c r="A746" s="59" t="s">
        <v>2573</v>
      </c>
      <c r="B746" s="146"/>
      <c r="C746" s="60" t="s">
        <v>450</v>
      </c>
    </row>
    <row r="747" spans="1:3" x14ac:dyDescent="0.3">
      <c r="A747" s="59" t="s">
        <v>2574</v>
      </c>
      <c r="B747" s="146"/>
      <c r="C747" s="60" t="s">
        <v>453</v>
      </c>
    </row>
    <row r="748" spans="1:3" x14ac:dyDescent="0.3">
      <c r="A748" s="59" t="s">
        <v>2575</v>
      </c>
      <c r="B748" s="146"/>
      <c r="C748" s="60" t="s">
        <v>454</v>
      </c>
    </row>
    <row r="749" spans="1:3" x14ac:dyDescent="0.3">
      <c r="A749" s="59" t="s">
        <v>2576</v>
      </c>
      <c r="B749" s="146"/>
      <c r="C749" s="60" t="s">
        <v>455</v>
      </c>
    </row>
    <row r="750" spans="1:3" x14ac:dyDescent="0.3">
      <c r="A750" s="59" t="s">
        <v>2577</v>
      </c>
      <c r="B750" s="146"/>
      <c r="C750" s="60" t="s">
        <v>456</v>
      </c>
    </row>
    <row r="751" spans="1:3" x14ac:dyDescent="0.3">
      <c r="A751" s="59" t="s">
        <v>2578</v>
      </c>
      <c r="B751" s="146"/>
      <c r="C751" s="60" t="s">
        <v>457</v>
      </c>
    </row>
    <row r="752" spans="1:3" x14ac:dyDescent="0.3">
      <c r="A752" s="59" t="s">
        <v>2579</v>
      </c>
      <c r="B752" s="146"/>
      <c r="C752" s="60" t="s">
        <v>458</v>
      </c>
    </row>
    <row r="753" spans="1:3" x14ac:dyDescent="0.3">
      <c r="A753" s="59" t="s">
        <v>2580</v>
      </c>
      <c r="B753" s="146"/>
      <c r="C753" s="60" t="s">
        <v>459</v>
      </c>
    </row>
    <row r="754" spans="1:3" x14ac:dyDescent="0.3">
      <c r="A754" s="59" t="s">
        <v>2581</v>
      </c>
      <c r="B754" s="146"/>
      <c r="C754" s="60" t="s">
        <v>460</v>
      </c>
    </row>
    <row r="755" spans="1:3" x14ac:dyDescent="0.3">
      <c r="A755" s="59" t="s">
        <v>2582</v>
      </c>
      <c r="B755" s="146"/>
      <c r="C755" s="60" t="s">
        <v>461</v>
      </c>
    </row>
    <row r="756" spans="1:3" x14ac:dyDescent="0.3">
      <c r="A756" s="59" t="s">
        <v>2583</v>
      </c>
      <c r="B756" s="146"/>
      <c r="C756" s="60" t="s">
        <v>462</v>
      </c>
    </row>
    <row r="757" spans="1:3" x14ac:dyDescent="0.3">
      <c r="A757" s="59" t="s">
        <v>2584</v>
      </c>
      <c r="B757" s="146"/>
      <c r="C757" s="60" t="s">
        <v>463</v>
      </c>
    </row>
    <row r="758" spans="1:3" x14ac:dyDescent="0.3">
      <c r="A758" s="59" t="s">
        <v>2585</v>
      </c>
      <c r="B758" s="146"/>
      <c r="C758" s="60" t="s">
        <v>464</v>
      </c>
    </row>
    <row r="759" spans="1:3" x14ac:dyDescent="0.3">
      <c r="A759" s="59" t="s">
        <v>2586</v>
      </c>
      <c r="B759" s="146"/>
      <c r="C759" s="60" t="s">
        <v>465</v>
      </c>
    </row>
    <row r="760" spans="1:3" x14ac:dyDescent="0.3">
      <c r="A760" s="59" t="s">
        <v>2587</v>
      </c>
      <c r="B760" s="146"/>
      <c r="C760" s="60" t="s">
        <v>466</v>
      </c>
    </row>
    <row r="761" spans="1:3" x14ac:dyDescent="0.3">
      <c r="A761" s="59" t="s">
        <v>2588</v>
      </c>
      <c r="B761" s="146"/>
      <c r="C761" s="60" t="s">
        <v>468</v>
      </c>
    </row>
    <row r="762" spans="1:3" x14ac:dyDescent="0.3">
      <c r="A762" s="59" t="s">
        <v>2589</v>
      </c>
      <c r="B762" s="146"/>
      <c r="C762" s="60" t="s">
        <v>469</v>
      </c>
    </row>
    <row r="763" spans="1:3" x14ac:dyDescent="0.3">
      <c r="A763" s="59" t="s">
        <v>2590</v>
      </c>
      <c r="B763" s="146"/>
      <c r="C763" s="60" t="s">
        <v>470</v>
      </c>
    </row>
    <row r="764" spans="1:3" x14ac:dyDescent="0.3">
      <c r="A764" s="59" t="s">
        <v>2591</v>
      </c>
      <c r="B764" s="146"/>
      <c r="C764" s="60" t="s">
        <v>471</v>
      </c>
    </row>
    <row r="765" spans="1:3" x14ac:dyDescent="0.3">
      <c r="A765" s="59" t="s">
        <v>2592</v>
      </c>
      <c r="B765" s="146"/>
      <c r="C765" s="60" t="s">
        <v>472</v>
      </c>
    </row>
    <row r="766" spans="1:3" x14ac:dyDescent="0.3">
      <c r="A766" s="59" t="s">
        <v>2593</v>
      </c>
      <c r="B766" s="146"/>
      <c r="C766" s="60" t="s">
        <v>473</v>
      </c>
    </row>
    <row r="767" spans="1:3" x14ac:dyDescent="0.3">
      <c r="A767" s="59" t="s">
        <v>2594</v>
      </c>
      <c r="B767" s="146"/>
      <c r="C767" s="60" t="s">
        <v>474</v>
      </c>
    </row>
    <row r="768" spans="1:3" x14ac:dyDescent="0.3">
      <c r="A768" s="59" t="s">
        <v>2595</v>
      </c>
      <c r="B768" s="146"/>
      <c r="C768" s="60" t="s">
        <v>475</v>
      </c>
    </row>
    <row r="769" spans="1:3" x14ac:dyDescent="0.3">
      <c r="A769" s="59" t="s">
        <v>2596</v>
      </c>
      <c r="B769" s="146"/>
      <c r="C769" s="60" t="s">
        <v>476</v>
      </c>
    </row>
    <row r="770" spans="1:3" x14ac:dyDescent="0.3">
      <c r="A770" s="59" t="s">
        <v>2597</v>
      </c>
      <c r="B770" s="146"/>
      <c r="C770" s="60" t="s">
        <v>477</v>
      </c>
    </row>
    <row r="771" spans="1:3" x14ac:dyDescent="0.3">
      <c r="A771" s="59" t="s">
        <v>2598</v>
      </c>
      <c r="B771" s="146"/>
      <c r="C771" s="60" t="s">
        <v>479</v>
      </c>
    </row>
    <row r="772" spans="1:3" x14ac:dyDescent="0.3">
      <c r="A772" s="59" t="s">
        <v>2599</v>
      </c>
      <c r="B772" s="146"/>
      <c r="C772" s="60" t="s">
        <v>480</v>
      </c>
    </row>
    <row r="773" spans="1:3" x14ac:dyDescent="0.3">
      <c r="A773" s="59" t="s">
        <v>2600</v>
      </c>
      <c r="B773" s="146"/>
      <c r="C773" s="60" t="s">
        <v>481</v>
      </c>
    </row>
    <row r="774" spans="1:3" x14ac:dyDescent="0.3">
      <c r="A774" s="59" t="s">
        <v>2601</v>
      </c>
      <c r="B774" s="146"/>
      <c r="C774" s="60" t="s">
        <v>482</v>
      </c>
    </row>
    <row r="775" spans="1:3" x14ac:dyDescent="0.3">
      <c r="A775" s="59" t="s">
        <v>2602</v>
      </c>
      <c r="B775" s="146"/>
      <c r="C775" s="60" t="s">
        <v>483</v>
      </c>
    </row>
    <row r="776" spans="1:3" x14ac:dyDescent="0.3">
      <c r="A776" s="59" t="s">
        <v>2603</v>
      </c>
      <c r="B776" s="146"/>
      <c r="C776" s="60" t="s">
        <v>484</v>
      </c>
    </row>
    <row r="777" spans="1:3" x14ac:dyDescent="0.3">
      <c r="A777" s="59" t="s">
        <v>2604</v>
      </c>
      <c r="B777" s="146"/>
      <c r="C777" s="60" t="s">
        <v>485</v>
      </c>
    </row>
    <row r="778" spans="1:3" x14ac:dyDescent="0.3">
      <c r="A778" s="59" t="s">
        <v>2605</v>
      </c>
      <c r="B778" s="146"/>
      <c r="C778" s="60" t="s">
        <v>486</v>
      </c>
    </row>
    <row r="779" spans="1:3" x14ac:dyDescent="0.3">
      <c r="A779" s="59" t="s">
        <v>2606</v>
      </c>
      <c r="B779" s="146"/>
      <c r="C779" s="60" t="s">
        <v>487</v>
      </c>
    </row>
    <row r="780" spans="1:3" x14ac:dyDescent="0.3">
      <c r="A780" s="59" t="s">
        <v>2607</v>
      </c>
      <c r="B780" s="146"/>
      <c r="C780" s="60" t="s">
        <v>488</v>
      </c>
    </row>
    <row r="781" spans="1:3" x14ac:dyDescent="0.3">
      <c r="A781" s="59" t="s">
        <v>2608</v>
      </c>
      <c r="B781" s="146"/>
      <c r="C781" s="60" t="s">
        <v>489</v>
      </c>
    </row>
    <row r="782" spans="1:3" x14ac:dyDescent="0.3">
      <c r="A782" s="59" t="s">
        <v>2609</v>
      </c>
      <c r="B782" s="146"/>
      <c r="C782" s="60" t="s">
        <v>490</v>
      </c>
    </row>
    <row r="783" spans="1:3" x14ac:dyDescent="0.3">
      <c r="A783" s="59" t="s">
        <v>2610</v>
      </c>
      <c r="B783" s="146"/>
      <c r="C783" s="60" t="s">
        <v>492</v>
      </c>
    </row>
    <row r="784" spans="1:3" x14ac:dyDescent="0.3">
      <c r="A784" s="59" t="s">
        <v>2611</v>
      </c>
      <c r="B784" s="146"/>
      <c r="C784" s="60" t="s">
        <v>493</v>
      </c>
    </row>
    <row r="785" spans="1:3" x14ac:dyDescent="0.3">
      <c r="A785" s="59" t="s">
        <v>2612</v>
      </c>
      <c r="B785" s="146"/>
      <c r="C785" s="60" t="s">
        <v>494</v>
      </c>
    </row>
    <row r="786" spans="1:3" x14ac:dyDescent="0.3">
      <c r="A786" s="59" t="s">
        <v>2613</v>
      </c>
      <c r="B786" s="146"/>
      <c r="C786" s="60" t="s">
        <v>495</v>
      </c>
    </row>
    <row r="787" spans="1:3" x14ac:dyDescent="0.3">
      <c r="A787" s="59" t="s">
        <v>2614</v>
      </c>
      <c r="B787" s="146"/>
      <c r="C787" s="60" t="s">
        <v>496</v>
      </c>
    </row>
    <row r="788" spans="1:3" x14ac:dyDescent="0.3">
      <c r="A788" s="59" t="s">
        <v>2615</v>
      </c>
      <c r="B788" s="146"/>
      <c r="C788" s="60" t="s">
        <v>497</v>
      </c>
    </row>
    <row r="789" spans="1:3" x14ac:dyDescent="0.3">
      <c r="A789" s="59" t="s">
        <v>2616</v>
      </c>
      <c r="B789" s="146"/>
      <c r="C789" s="60" t="s">
        <v>498</v>
      </c>
    </row>
    <row r="790" spans="1:3" x14ac:dyDescent="0.3">
      <c r="A790" s="59" t="s">
        <v>2617</v>
      </c>
      <c r="B790" s="146"/>
      <c r="C790" s="60" t="s">
        <v>499</v>
      </c>
    </row>
    <row r="791" spans="1:3" x14ac:dyDescent="0.3">
      <c r="A791" s="59" t="s">
        <v>2618</v>
      </c>
      <c r="B791" s="146"/>
      <c r="C791" s="60" t="s">
        <v>500</v>
      </c>
    </row>
    <row r="792" spans="1:3" x14ac:dyDescent="0.3">
      <c r="A792" s="59" t="s">
        <v>2619</v>
      </c>
      <c r="B792" s="146"/>
      <c r="C792" s="60" t="s">
        <v>502</v>
      </c>
    </row>
    <row r="793" spans="1:3" x14ac:dyDescent="0.3">
      <c r="A793" s="59" t="s">
        <v>2620</v>
      </c>
      <c r="B793" s="146"/>
      <c r="C793" s="60" t="s">
        <v>503</v>
      </c>
    </row>
    <row r="794" spans="1:3" x14ac:dyDescent="0.3">
      <c r="A794" s="59" t="s">
        <v>2621</v>
      </c>
      <c r="B794" s="146"/>
      <c r="C794" s="60" t="s">
        <v>504</v>
      </c>
    </row>
    <row r="795" spans="1:3" x14ac:dyDescent="0.3">
      <c r="A795" s="59" t="s">
        <v>2622</v>
      </c>
      <c r="B795" s="146"/>
      <c r="C795" s="60" t="s">
        <v>501</v>
      </c>
    </row>
    <row r="796" spans="1:3" x14ac:dyDescent="0.3">
      <c r="A796" s="59" t="s">
        <v>2623</v>
      </c>
      <c r="B796" s="146"/>
      <c r="C796" s="60" t="s">
        <v>505</v>
      </c>
    </row>
    <row r="797" spans="1:3" x14ac:dyDescent="0.3">
      <c r="A797" s="59" t="s">
        <v>2624</v>
      </c>
      <c r="B797" s="146"/>
      <c r="C797" s="60" t="s">
        <v>506</v>
      </c>
    </row>
    <row r="798" spans="1:3" x14ac:dyDescent="0.3">
      <c r="A798" s="59" t="s">
        <v>2625</v>
      </c>
      <c r="B798" s="146"/>
      <c r="C798" s="60" t="s">
        <v>507</v>
      </c>
    </row>
    <row r="799" spans="1:3" x14ac:dyDescent="0.3">
      <c r="A799" s="59" t="s">
        <v>2626</v>
      </c>
      <c r="B799" s="146"/>
      <c r="C799" s="60" t="s">
        <v>508</v>
      </c>
    </row>
    <row r="800" spans="1:3" x14ac:dyDescent="0.3">
      <c r="A800" s="59" t="s">
        <v>2627</v>
      </c>
      <c r="B800" s="146"/>
      <c r="C800" s="60" t="s">
        <v>509</v>
      </c>
    </row>
    <row r="801" spans="1:3" x14ac:dyDescent="0.3">
      <c r="A801" s="59" t="s">
        <v>2628</v>
      </c>
      <c r="B801" s="146"/>
      <c r="C801" s="60" t="s">
        <v>510</v>
      </c>
    </row>
    <row r="802" spans="1:3" x14ac:dyDescent="0.3">
      <c r="A802" s="59" t="s">
        <v>2629</v>
      </c>
      <c r="B802" s="146"/>
      <c r="C802" s="60" t="s">
        <v>511</v>
      </c>
    </row>
    <row r="803" spans="1:3" x14ac:dyDescent="0.3">
      <c r="A803" s="59" t="s">
        <v>2630</v>
      </c>
      <c r="B803" s="146"/>
      <c r="C803" s="60" t="s">
        <v>512</v>
      </c>
    </row>
    <row r="804" spans="1:3" x14ac:dyDescent="0.3">
      <c r="A804" s="59" t="s">
        <v>2631</v>
      </c>
      <c r="B804" s="146"/>
      <c r="C804" s="60" t="s">
        <v>513</v>
      </c>
    </row>
    <row r="805" spans="1:3" x14ac:dyDescent="0.3">
      <c r="A805" s="59" t="s">
        <v>2632</v>
      </c>
      <c r="B805" s="146"/>
      <c r="C805" s="60" t="s">
        <v>514</v>
      </c>
    </row>
    <row r="806" spans="1:3" x14ac:dyDescent="0.3">
      <c r="A806" s="59" t="s">
        <v>2633</v>
      </c>
      <c r="B806" s="146"/>
      <c r="C806" s="60" t="s">
        <v>515</v>
      </c>
    </row>
    <row r="807" spans="1:3" ht="19.8" thickBot="1" x14ac:dyDescent="0.35">
      <c r="A807" s="61" t="s">
        <v>2634</v>
      </c>
      <c r="B807" s="147"/>
      <c r="C807" s="62" t="s">
        <v>516</v>
      </c>
    </row>
    <row r="808" spans="1:3" x14ac:dyDescent="0.3"/>
    <row r="809" spans="1:3" x14ac:dyDescent="0.3"/>
  </sheetData>
  <sheetProtection algorithmName="SHA-512" hashValue="YSaEtqsJjKJtLz8YPNxqXMy0IlIcZ456b+lgn98oUv8HNoIlQnafqH69w55YAv6B1hbdxWwwRIxepJIgc+rH3w==" saltValue="+kAdXGCjbGydNGGbgAT5ew==" spinCount="100000" sheet="1" objects="1" scenarios="1" selectLockedCells="1"/>
  <mergeCells count="18">
    <mergeCell ref="B3:B24"/>
    <mergeCell ref="B48:B375"/>
    <mergeCell ref="B389:B390"/>
    <mergeCell ref="B384:B388"/>
    <mergeCell ref="B376:B383"/>
    <mergeCell ref="B473:B526"/>
    <mergeCell ref="B430:B448"/>
    <mergeCell ref="B449:B472"/>
    <mergeCell ref="B25:B47"/>
    <mergeCell ref="B391:B429"/>
    <mergeCell ref="B650:B807"/>
    <mergeCell ref="B594:B610"/>
    <mergeCell ref="B611:B649"/>
    <mergeCell ref="B584:B593"/>
    <mergeCell ref="B527:B535"/>
    <mergeCell ref="B536:B556"/>
    <mergeCell ref="B557:B571"/>
    <mergeCell ref="B572:B58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A0097-D77F-49EF-964A-1431BB60FD3D}">
  <sheetPr codeName="Hoja14"/>
  <dimension ref="A1:N2007"/>
  <sheetViews>
    <sheetView showGridLines="0" zoomScaleNormal="100" workbookViewId="0">
      <pane ySplit="6" topLeftCell="A7" activePane="bottomLeft" state="frozen"/>
      <selection pane="bottomLeft" activeCell="D2" sqref="D2:F2"/>
    </sheetView>
  </sheetViews>
  <sheetFormatPr baseColWidth="10" defaultColWidth="0" defaultRowHeight="19.2" customHeight="1" zeroHeight="1" x14ac:dyDescent="0.3"/>
  <cols>
    <col min="1" max="1" width="8.77734375" style="14" customWidth="1"/>
    <col min="2" max="12" width="11.5546875" style="14" customWidth="1"/>
    <col min="13" max="14" width="8.77734375" style="14" customWidth="1"/>
    <col min="15" max="16384" width="11.5546875" style="14" hidden="1"/>
  </cols>
  <sheetData>
    <row r="1" spans="2:12" ht="10.050000000000001" customHeight="1" thickBot="1" x14ac:dyDescent="0.35"/>
    <row r="2" spans="2:12" ht="19.2" customHeight="1" thickBot="1" x14ac:dyDescent="0.35">
      <c r="B2" s="153" t="str">
        <f>IF(ISBLANK(PARAMETROS!$C$384),"",PARAMETROS!$C$384)</f>
        <v>País</v>
      </c>
      <c r="C2" s="154"/>
      <c r="D2" s="151" t="s">
        <v>764</v>
      </c>
      <c r="E2" s="151"/>
      <c r="F2" s="152"/>
      <c r="H2" s="153" t="str">
        <f>IF(ISBLANK(PARAMETROS!$C$385),"",PARAMETROS!$C$385)</f>
        <v>Código País</v>
      </c>
      <c r="I2" s="154"/>
      <c r="J2" s="155" t="str">
        <f>_xlfn.XLOOKUP($D$2,LISTAS!$U$3:$U$251,LISTAS!V3:V251,"",0)</f>
        <v>170</v>
      </c>
      <c r="K2" s="155"/>
      <c r="L2" s="156"/>
    </row>
    <row r="3" spans="2:12" ht="10.050000000000001" customHeight="1" x14ac:dyDescent="0.3"/>
    <row r="4" spans="2:12" ht="10.050000000000001" customHeight="1" thickBot="1" x14ac:dyDescent="0.35"/>
    <row r="5" spans="2:12" ht="19.2" customHeight="1" thickBot="1" x14ac:dyDescent="0.35">
      <c r="B5" s="153" t="str">
        <f>IF(ISBLANK(PARAMETROS!$C$386),"",PARAMETROS!$C$386)</f>
        <v>Listado Instituciones del País Relacionado</v>
      </c>
      <c r="C5" s="154"/>
      <c r="D5" s="154"/>
      <c r="E5" s="154"/>
      <c r="F5" s="154"/>
      <c r="G5" s="154"/>
      <c r="H5" s="154"/>
      <c r="I5" s="154"/>
      <c r="J5" s="154"/>
      <c r="K5" s="154"/>
      <c r="L5" s="160"/>
    </row>
    <row r="6" spans="2:12" ht="19.2" customHeight="1" thickBot="1" x14ac:dyDescent="0.35">
      <c r="B6" s="157" t="str">
        <f>IF(ISBLANK(PARAMETROS!$C$387),"",PARAMETROS!$C$387)</f>
        <v>Código de la Institución</v>
      </c>
      <c r="C6" s="158"/>
      <c r="D6" s="158"/>
      <c r="E6" s="158" t="str">
        <f>IF(ISBLANK(PARAMETROS!$C$388),"",PARAMETROS!$C$388)</f>
        <v>Nombre de la Institución</v>
      </c>
      <c r="F6" s="158"/>
      <c r="G6" s="158"/>
      <c r="H6" s="158"/>
      <c r="I6" s="158"/>
      <c r="J6" s="158"/>
      <c r="K6" s="158"/>
      <c r="L6" s="159"/>
    </row>
    <row r="7" spans="2:12" ht="19.2" customHeight="1" x14ac:dyDescent="0.3">
      <c r="B7" s="164">
        <v>0</v>
      </c>
      <c r="C7" s="165"/>
      <c r="D7" s="166"/>
      <c r="E7" s="162" t="str">
        <f>IF(ISBLANK(PARAMETROS!$C$50),"",PARAMETROS!$C$50)</f>
        <v>Sin información</v>
      </c>
      <c r="F7" s="162"/>
      <c r="G7" s="162"/>
      <c r="H7" s="162"/>
      <c r="I7" s="162"/>
      <c r="J7" s="162"/>
      <c r="K7" s="162"/>
      <c r="L7" s="163"/>
    </row>
    <row r="8" spans="2:12" ht="19.2" customHeight="1" x14ac:dyDescent="0.3">
      <c r="B8" s="161"/>
      <c r="C8" s="162"/>
      <c r="D8" s="163"/>
      <c r="E8" s="162"/>
      <c r="F8" s="162"/>
      <c r="G8" s="162"/>
      <c r="H8" s="162"/>
      <c r="I8" s="162"/>
      <c r="J8" s="162"/>
      <c r="K8" s="162"/>
      <c r="L8" s="163"/>
    </row>
    <row r="9" spans="2:12" ht="19.2" customHeight="1" x14ac:dyDescent="0.3">
      <c r="B9" s="161"/>
      <c r="C9" s="162"/>
      <c r="D9" s="163"/>
      <c r="E9" s="162"/>
      <c r="F9" s="162"/>
      <c r="G9" s="162"/>
      <c r="H9" s="162"/>
      <c r="I9" s="162"/>
      <c r="J9" s="162"/>
      <c r="K9" s="162"/>
      <c r="L9" s="163"/>
    </row>
    <row r="10" spans="2:12" ht="19.2" customHeight="1" x14ac:dyDescent="0.3">
      <c r="B10" s="161"/>
      <c r="C10" s="162"/>
      <c r="D10" s="163"/>
      <c r="E10" s="162"/>
      <c r="F10" s="162"/>
      <c r="G10" s="162"/>
      <c r="H10" s="162"/>
      <c r="I10" s="162"/>
      <c r="J10" s="162"/>
      <c r="K10" s="162"/>
      <c r="L10" s="163"/>
    </row>
    <row r="11" spans="2:12" ht="19.2" customHeight="1" x14ac:dyDescent="0.3">
      <c r="B11" s="161"/>
      <c r="C11" s="162"/>
      <c r="D11" s="163"/>
      <c r="E11" s="162"/>
      <c r="F11" s="162"/>
      <c r="G11" s="162"/>
      <c r="H11" s="162"/>
      <c r="I11" s="162"/>
      <c r="J11" s="162"/>
      <c r="K11" s="162"/>
      <c r="L11" s="163"/>
    </row>
    <row r="12" spans="2:12" ht="19.2" customHeight="1" x14ac:dyDescent="0.3">
      <c r="B12" s="161"/>
      <c r="C12" s="162"/>
      <c r="D12" s="163"/>
      <c r="E12" s="162"/>
      <c r="F12" s="162"/>
      <c r="G12" s="162"/>
      <c r="H12" s="162"/>
      <c r="I12" s="162"/>
      <c r="J12" s="162"/>
      <c r="K12" s="162"/>
      <c r="L12" s="163"/>
    </row>
    <row r="13" spans="2:12" ht="19.2" customHeight="1" x14ac:dyDescent="0.3">
      <c r="B13" s="161"/>
      <c r="C13" s="162"/>
      <c r="D13" s="163"/>
      <c r="E13" s="162"/>
      <c r="F13" s="162"/>
      <c r="G13" s="162"/>
      <c r="H13" s="162"/>
      <c r="I13" s="162"/>
      <c r="J13" s="162"/>
      <c r="K13" s="162"/>
      <c r="L13" s="163"/>
    </row>
    <row r="14" spans="2:12" ht="19.2" customHeight="1" x14ac:dyDescent="0.3">
      <c r="B14" s="161"/>
      <c r="C14" s="162"/>
      <c r="D14" s="163"/>
      <c r="E14" s="162"/>
      <c r="F14" s="162"/>
      <c r="G14" s="162"/>
      <c r="H14" s="162"/>
      <c r="I14" s="162"/>
      <c r="J14" s="162"/>
      <c r="K14" s="162"/>
      <c r="L14" s="163"/>
    </row>
    <row r="15" spans="2:12" ht="19.2" customHeight="1" x14ac:dyDescent="0.3">
      <c r="B15" s="161"/>
      <c r="C15" s="162"/>
      <c r="D15" s="163"/>
      <c r="E15" s="162"/>
      <c r="F15" s="162"/>
      <c r="G15" s="162"/>
      <c r="H15" s="162"/>
      <c r="I15" s="162"/>
      <c r="J15" s="162"/>
      <c r="K15" s="162"/>
      <c r="L15" s="163"/>
    </row>
    <row r="16" spans="2:12" ht="19.2" customHeight="1" x14ac:dyDescent="0.3">
      <c r="B16" s="161"/>
      <c r="C16" s="162"/>
      <c r="D16" s="163"/>
      <c r="E16" s="162"/>
      <c r="F16" s="162"/>
      <c r="G16" s="162"/>
      <c r="H16" s="162"/>
      <c r="I16" s="162"/>
      <c r="J16" s="162"/>
      <c r="K16" s="162"/>
      <c r="L16" s="163"/>
    </row>
    <row r="17" spans="2:12" ht="19.2" customHeight="1" x14ac:dyDescent="0.3">
      <c r="B17" s="161"/>
      <c r="C17" s="162"/>
      <c r="D17" s="163"/>
      <c r="E17" s="162"/>
      <c r="F17" s="162"/>
      <c r="G17" s="162"/>
      <c r="H17" s="162"/>
      <c r="I17" s="162"/>
      <c r="J17" s="162"/>
      <c r="K17" s="162"/>
      <c r="L17" s="163"/>
    </row>
    <row r="18" spans="2:12" ht="19.2" customHeight="1" x14ac:dyDescent="0.3">
      <c r="B18" s="161"/>
      <c r="C18" s="162"/>
      <c r="D18" s="163"/>
      <c r="E18" s="162"/>
      <c r="F18" s="162"/>
      <c r="G18" s="162"/>
      <c r="H18" s="162"/>
      <c r="I18" s="162"/>
      <c r="J18" s="162"/>
      <c r="K18" s="162"/>
      <c r="L18" s="163"/>
    </row>
    <row r="19" spans="2:12" ht="19.2" customHeight="1" x14ac:dyDescent="0.3">
      <c r="B19" s="161"/>
      <c r="C19" s="162"/>
      <c r="D19" s="163"/>
      <c r="E19" s="162"/>
      <c r="F19" s="162"/>
      <c r="G19" s="162"/>
      <c r="H19" s="162"/>
      <c r="I19" s="162"/>
      <c r="J19" s="162"/>
      <c r="K19" s="162"/>
      <c r="L19" s="163"/>
    </row>
    <row r="20" spans="2:12" ht="19.2" customHeight="1" x14ac:dyDescent="0.3">
      <c r="B20" s="161"/>
      <c r="C20" s="162"/>
      <c r="D20" s="163"/>
      <c r="E20" s="162"/>
      <c r="F20" s="162"/>
      <c r="G20" s="162"/>
      <c r="H20" s="162"/>
      <c r="I20" s="162"/>
      <c r="J20" s="162"/>
      <c r="K20" s="162"/>
      <c r="L20" s="163"/>
    </row>
    <row r="21" spans="2:12" ht="19.2" customHeight="1" x14ac:dyDescent="0.3">
      <c r="B21" s="161"/>
      <c r="C21" s="162"/>
      <c r="D21" s="163"/>
      <c r="E21" s="162"/>
      <c r="F21" s="162"/>
      <c r="G21" s="162"/>
      <c r="H21" s="162"/>
      <c r="I21" s="162"/>
      <c r="J21" s="162"/>
      <c r="K21" s="162"/>
      <c r="L21" s="163"/>
    </row>
    <row r="22" spans="2:12" ht="19.2" customHeight="1" x14ac:dyDescent="0.3">
      <c r="B22" s="161"/>
      <c r="C22" s="162"/>
      <c r="D22" s="163"/>
      <c r="E22" s="162"/>
      <c r="F22" s="162"/>
      <c r="G22" s="162"/>
      <c r="H22" s="162"/>
      <c r="I22" s="162"/>
      <c r="J22" s="162"/>
      <c r="K22" s="162"/>
      <c r="L22" s="163"/>
    </row>
    <row r="23" spans="2:12" ht="19.2" customHeight="1" x14ac:dyDescent="0.3">
      <c r="B23" s="161"/>
      <c r="C23" s="162"/>
      <c r="D23" s="163"/>
      <c r="E23" s="162"/>
      <c r="F23" s="162"/>
      <c r="G23" s="162"/>
      <c r="H23" s="162"/>
      <c r="I23" s="162"/>
      <c r="J23" s="162"/>
      <c r="K23" s="162"/>
      <c r="L23" s="163"/>
    </row>
    <row r="24" spans="2:12" ht="19.2" customHeight="1" x14ac:dyDescent="0.3">
      <c r="B24" s="161"/>
      <c r="C24" s="162"/>
      <c r="D24" s="163"/>
      <c r="E24" s="162"/>
      <c r="F24" s="162"/>
      <c r="G24" s="162"/>
      <c r="H24" s="162"/>
      <c r="I24" s="162"/>
      <c r="J24" s="162"/>
      <c r="K24" s="162"/>
      <c r="L24" s="163"/>
    </row>
    <row r="25" spans="2:12" ht="19.2" customHeight="1" x14ac:dyDescent="0.3">
      <c r="B25" s="161"/>
      <c r="C25" s="162"/>
      <c r="D25" s="163"/>
      <c r="E25" s="162"/>
      <c r="F25" s="162"/>
      <c r="G25" s="162"/>
      <c r="H25" s="162"/>
      <c r="I25" s="162"/>
      <c r="J25" s="162"/>
      <c r="K25" s="162"/>
      <c r="L25" s="163"/>
    </row>
    <row r="26" spans="2:12" ht="19.2" customHeight="1" x14ac:dyDescent="0.3">
      <c r="B26" s="161"/>
      <c r="C26" s="162"/>
      <c r="D26" s="163"/>
      <c r="E26" s="162"/>
      <c r="F26" s="162"/>
      <c r="G26" s="162"/>
      <c r="H26" s="162"/>
      <c r="I26" s="162"/>
      <c r="J26" s="162"/>
      <c r="K26" s="162"/>
      <c r="L26" s="163"/>
    </row>
    <row r="27" spans="2:12" ht="19.2" customHeight="1" x14ac:dyDescent="0.3">
      <c r="B27" s="161"/>
      <c r="C27" s="162"/>
      <c r="D27" s="163"/>
      <c r="E27" s="162"/>
      <c r="F27" s="162"/>
      <c r="G27" s="162"/>
      <c r="H27" s="162"/>
      <c r="I27" s="162"/>
      <c r="J27" s="162"/>
      <c r="K27" s="162"/>
      <c r="L27" s="163"/>
    </row>
    <row r="28" spans="2:12" ht="19.2" customHeight="1" x14ac:dyDescent="0.3">
      <c r="B28" s="161"/>
      <c r="C28" s="162"/>
      <c r="D28" s="163"/>
      <c r="E28" s="162"/>
      <c r="F28" s="162"/>
      <c r="G28" s="162"/>
      <c r="H28" s="162"/>
      <c r="I28" s="162"/>
      <c r="J28" s="162"/>
      <c r="K28" s="162"/>
      <c r="L28" s="163"/>
    </row>
    <row r="29" spans="2:12" ht="19.2" customHeight="1" x14ac:dyDescent="0.3">
      <c r="B29" s="161"/>
      <c r="C29" s="162"/>
      <c r="D29" s="163"/>
      <c r="E29" s="162"/>
      <c r="F29" s="162"/>
      <c r="G29" s="162"/>
      <c r="H29" s="162"/>
      <c r="I29" s="162"/>
      <c r="J29" s="162"/>
      <c r="K29" s="162"/>
      <c r="L29" s="163"/>
    </row>
    <row r="30" spans="2:12" ht="19.2" customHeight="1" x14ac:dyDescent="0.3">
      <c r="B30" s="161"/>
      <c r="C30" s="162"/>
      <c r="D30" s="163"/>
      <c r="E30" s="162"/>
      <c r="F30" s="162"/>
      <c r="G30" s="162"/>
      <c r="H30" s="162"/>
      <c r="I30" s="162"/>
      <c r="J30" s="162"/>
      <c r="K30" s="162"/>
      <c r="L30" s="163"/>
    </row>
    <row r="31" spans="2:12" ht="19.2" customHeight="1" x14ac:dyDescent="0.3">
      <c r="B31" s="161"/>
      <c r="C31" s="162"/>
      <c r="D31" s="163"/>
      <c r="E31" s="162"/>
      <c r="F31" s="162"/>
      <c r="G31" s="162"/>
      <c r="H31" s="162"/>
      <c r="I31" s="162"/>
      <c r="J31" s="162"/>
      <c r="K31" s="162"/>
      <c r="L31" s="163"/>
    </row>
    <row r="32" spans="2:12" ht="19.2" customHeight="1" x14ac:dyDescent="0.3">
      <c r="B32" s="161"/>
      <c r="C32" s="162"/>
      <c r="D32" s="163"/>
      <c r="E32" s="162"/>
      <c r="F32" s="162"/>
      <c r="G32" s="162"/>
      <c r="H32" s="162"/>
      <c r="I32" s="162"/>
      <c r="J32" s="162"/>
      <c r="K32" s="162"/>
      <c r="L32" s="163"/>
    </row>
    <row r="33" spans="2:12" ht="19.2" customHeight="1" x14ac:dyDescent="0.3">
      <c r="B33" s="161"/>
      <c r="C33" s="162"/>
      <c r="D33" s="163"/>
      <c r="E33" s="162"/>
      <c r="F33" s="162"/>
      <c r="G33" s="162"/>
      <c r="H33" s="162"/>
      <c r="I33" s="162"/>
      <c r="J33" s="162"/>
      <c r="K33" s="162"/>
      <c r="L33" s="163"/>
    </row>
    <row r="34" spans="2:12" ht="19.2" customHeight="1" x14ac:dyDescent="0.3">
      <c r="B34" s="161"/>
      <c r="C34" s="162"/>
      <c r="D34" s="163"/>
      <c r="E34" s="162"/>
      <c r="F34" s="162"/>
      <c r="G34" s="162"/>
      <c r="H34" s="162"/>
      <c r="I34" s="162"/>
      <c r="J34" s="162"/>
      <c r="K34" s="162"/>
      <c r="L34" s="163"/>
    </row>
    <row r="35" spans="2:12" ht="19.2" customHeight="1" x14ac:dyDescent="0.3">
      <c r="B35" s="161"/>
      <c r="C35" s="162"/>
      <c r="D35" s="163"/>
      <c r="E35" s="162"/>
      <c r="F35" s="162"/>
      <c r="G35" s="162"/>
      <c r="H35" s="162"/>
      <c r="I35" s="162"/>
      <c r="J35" s="162"/>
      <c r="K35" s="162"/>
      <c r="L35" s="163"/>
    </row>
    <row r="36" spans="2:12" ht="19.2" customHeight="1" x14ac:dyDescent="0.3">
      <c r="B36" s="161"/>
      <c r="C36" s="162"/>
      <c r="D36" s="163"/>
      <c r="E36" s="162"/>
      <c r="F36" s="162"/>
      <c r="G36" s="162"/>
      <c r="H36" s="162"/>
      <c r="I36" s="162"/>
      <c r="J36" s="162"/>
      <c r="K36" s="162"/>
      <c r="L36" s="163"/>
    </row>
    <row r="37" spans="2:12" ht="19.2" customHeight="1" x14ac:dyDescent="0.3">
      <c r="B37" s="161"/>
      <c r="C37" s="162"/>
      <c r="D37" s="163"/>
      <c r="E37" s="162"/>
      <c r="F37" s="162"/>
      <c r="G37" s="162"/>
      <c r="H37" s="162"/>
      <c r="I37" s="162"/>
      <c r="J37" s="162"/>
      <c r="K37" s="162"/>
      <c r="L37" s="163"/>
    </row>
    <row r="38" spans="2:12" ht="19.2" customHeight="1" x14ac:dyDescent="0.3">
      <c r="B38" s="161"/>
      <c r="C38" s="162"/>
      <c r="D38" s="163"/>
      <c r="E38" s="162"/>
      <c r="F38" s="162"/>
      <c r="G38" s="162"/>
      <c r="H38" s="162"/>
      <c r="I38" s="162"/>
      <c r="J38" s="162"/>
      <c r="K38" s="162"/>
      <c r="L38" s="163"/>
    </row>
    <row r="39" spans="2:12" ht="19.2" customHeight="1" x14ac:dyDescent="0.3">
      <c r="B39" s="161"/>
      <c r="C39" s="162"/>
      <c r="D39" s="163"/>
      <c r="E39" s="162"/>
      <c r="F39" s="162"/>
      <c r="G39" s="162"/>
      <c r="H39" s="162"/>
      <c r="I39" s="162"/>
      <c r="J39" s="162"/>
      <c r="K39" s="162"/>
      <c r="L39" s="163"/>
    </row>
    <row r="40" spans="2:12" ht="19.2" customHeight="1" x14ac:dyDescent="0.3">
      <c r="B40" s="161"/>
      <c r="C40" s="162"/>
      <c r="D40" s="163"/>
      <c r="E40" s="162"/>
      <c r="F40" s="162"/>
      <c r="G40" s="162"/>
      <c r="H40" s="162"/>
      <c r="I40" s="162"/>
      <c r="J40" s="162"/>
      <c r="K40" s="162"/>
      <c r="L40" s="163"/>
    </row>
    <row r="41" spans="2:12" ht="19.2" customHeight="1" x14ac:dyDescent="0.3">
      <c r="B41" s="161"/>
      <c r="C41" s="162"/>
      <c r="D41" s="163"/>
      <c r="E41" s="162"/>
      <c r="F41" s="162"/>
      <c r="G41" s="162"/>
      <c r="H41" s="162"/>
      <c r="I41" s="162"/>
      <c r="J41" s="162"/>
      <c r="K41" s="162"/>
      <c r="L41" s="163"/>
    </row>
    <row r="42" spans="2:12" ht="19.2" customHeight="1" x14ac:dyDescent="0.3">
      <c r="B42" s="161"/>
      <c r="C42" s="162"/>
      <c r="D42" s="163"/>
      <c r="E42" s="162"/>
      <c r="F42" s="162"/>
      <c r="G42" s="162"/>
      <c r="H42" s="162"/>
      <c r="I42" s="162"/>
      <c r="J42" s="162"/>
      <c r="K42" s="162"/>
      <c r="L42" s="163"/>
    </row>
    <row r="43" spans="2:12" ht="19.2" customHeight="1" x14ac:dyDescent="0.3">
      <c r="B43" s="161"/>
      <c r="C43" s="162"/>
      <c r="D43" s="163"/>
      <c r="E43" s="162"/>
      <c r="F43" s="162"/>
      <c r="G43" s="162"/>
      <c r="H43" s="162"/>
      <c r="I43" s="162"/>
      <c r="J43" s="162"/>
      <c r="K43" s="162"/>
      <c r="L43" s="163"/>
    </row>
    <row r="44" spans="2:12" ht="19.2" customHeight="1" x14ac:dyDescent="0.3">
      <c r="B44" s="161"/>
      <c r="C44" s="162"/>
      <c r="D44" s="163"/>
      <c r="E44" s="162"/>
      <c r="F44" s="162"/>
      <c r="G44" s="162"/>
      <c r="H44" s="162"/>
      <c r="I44" s="162"/>
      <c r="J44" s="162"/>
      <c r="K44" s="162"/>
      <c r="L44" s="163"/>
    </row>
    <row r="45" spans="2:12" ht="19.2" customHeight="1" x14ac:dyDescent="0.3">
      <c r="B45" s="161"/>
      <c r="C45" s="162"/>
      <c r="D45" s="163"/>
      <c r="E45" s="162"/>
      <c r="F45" s="162"/>
      <c r="G45" s="162"/>
      <c r="H45" s="162"/>
      <c r="I45" s="162"/>
      <c r="J45" s="162"/>
      <c r="K45" s="162"/>
      <c r="L45" s="163"/>
    </row>
    <row r="46" spans="2:12" ht="19.2" customHeight="1" x14ac:dyDescent="0.3">
      <c r="B46" s="161"/>
      <c r="C46" s="162"/>
      <c r="D46" s="163"/>
      <c r="E46" s="162"/>
      <c r="F46" s="162"/>
      <c r="G46" s="162"/>
      <c r="H46" s="162"/>
      <c r="I46" s="162"/>
      <c r="J46" s="162"/>
      <c r="K46" s="162"/>
      <c r="L46" s="163"/>
    </row>
    <row r="47" spans="2:12" ht="19.2" customHeight="1" x14ac:dyDescent="0.3">
      <c r="B47" s="161"/>
      <c r="C47" s="162"/>
      <c r="D47" s="163"/>
      <c r="E47" s="162"/>
      <c r="F47" s="162"/>
      <c r="G47" s="162"/>
      <c r="H47" s="162"/>
      <c r="I47" s="162"/>
      <c r="J47" s="162"/>
      <c r="K47" s="162"/>
      <c r="L47" s="163"/>
    </row>
    <row r="48" spans="2:12" ht="19.2" customHeight="1" x14ac:dyDescent="0.3">
      <c r="B48" s="161"/>
      <c r="C48" s="162"/>
      <c r="D48" s="163"/>
      <c r="E48" s="162"/>
      <c r="F48" s="162"/>
      <c r="G48" s="162"/>
      <c r="H48" s="162"/>
      <c r="I48" s="162"/>
      <c r="J48" s="162"/>
      <c r="K48" s="162"/>
      <c r="L48" s="163"/>
    </row>
    <row r="49" spans="2:12" ht="19.2" customHeight="1" x14ac:dyDescent="0.3">
      <c r="B49" s="161"/>
      <c r="C49" s="162"/>
      <c r="D49" s="163"/>
      <c r="E49" s="162"/>
      <c r="F49" s="162"/>
      <c r="G49" s="162"/>
      <c r="H49" s="162"/>
      <c r="I49" s="162"/>
      <c r="J49" s="162"/>
      <c r="K49" s="162"/>
      <c r="L49" s="163"/>
    </row>
    <row r="50" spans="2:12" ht="19.2" customHeight="1" x14ac:dyDescent="0.3">
      <c r="B50" s="161"/>
      <c r="C50" s="162"/>
      <c r="D50" s="163"/>
      <c r="E50" s="162"/>
      <c r="F50" s="162"/>
      <c r="G50" s="162"/>
      <c r="H50" s="162"/>
      <c r="I50" s="162"/>
      <c r="J50" s="162"/>
      <c r="K50" s="162"/>
      <c r="L50" s="163"/>
    </row>
    <row r="51" spans="2:12" ht="19.2" customHeight="1" x14ac:dyDescent="0.3">
      <c r="B51" s="161"/>
      <c r="C51" s="162"/>
      <c r="D51" s="163"/>
      <c r="E51" s="162"/>
      <c r="F51" s="162"/>
      <c r="G51" s="162"/>
      <c r="H51" s="162"/>
      <c r="I51" s="162"/>
      <c r="J51" s="162"/>
      <c r="K51" s="162"/>
      <c r="L51" s="163"/>
    </row>
    <row r="52" spans="2:12" ht="19.2" customHeight="1" x14ac:dyDescent="0.3">
      <c r="B52" s="161"/>
      <c r="C52" s="162"/>
      <c r="D52" s="163"/>
      <c r="E52" s="162"/>
      <c r="F52" s="162"/>
      <c r="G52" s="162"/>
      <c r="H52" s="162"/>
      <c r="I52" s="162"/>
      <c r="J52" s="162"/>
      <c r="K52" s="162"/>
      <c r="L52" s="163"/>
    </row>
    <row r="53" spans="2:12" ht="19.2" customHeight="1" x14ac:dyDescent="0.3">
      <c r="B53" s="161"/>
      <c r="C53" s="162"/>
      <c r="D53" s="163"/>
      <c r="E53" s="162"/>
      <c r="F53" s="162"/>
      <c r="G53" s="162"/>
      <c r="H53" s="162"/>
      <c r="I53" s="162"/>
      <c r="J53" s="162"/>
      <c r="K53" s="162"/>
      <c r="L53" s="163"/>
    </row>
    <row r="54" spans="2:12" ht="19.2" customHeight="1" x14ac:dyDescent="0.3">
      <c r="B54" s="161"/>
      <c r="C54" s="162"/>
      <c r="D54" s="163"/>
      <c r="E54" s="162"/>
      <c r="F54" s="162"/>
      <c r="G54" s="162"/>
      <c r="H54" s="162"/>
      <c r="I54" s="162"/>
      <c r="J54" s="162"/>
      <c r="K54" s="162"/>
      <c r="L54" s="163"/>
    </row>
    <row r="55" spans="2:12" ht="19.2" customHeight="1" x14ac:dyDescent="0.3">
      <c r="B55" s="161"/>
      <c r="C55" s="162"/>
      <c r="D55" s="163"/>
      <c r="E55" s="162"/>
      <c r="F55" s="162"/>
      <c r="G55" s="162"/>
      <c r="H55" s="162"/>
      <c r="I55" s="162"/>
      <c r="J55" s="162"/>
      <c r="K55" s="162"/>
      <c r="L55" s="163"/>
    </row>
    <row r="56" spans="2:12" ht="19.2" customHeight="1" x14ac:dyDescent="0.3">
      <c r="B56" s="161"/>
      <c r="C56" s="162"/>
      <c r="D56" s="163"/>
      <c r="E56" s="162"/>
      <c r="F56" s="162"/>
      <c r="G56" s="162"/>
      <c r="H56" s="162"/>
      <c r="I56" s="162"/>
      <c r="J56" s="162"/>
      <c r="K56" s="162"/>
      <c r="L56" s="163"/>
    </row>
    <row r="57" spans="2:12" ht="19.2" customHeight="1" x14ac:dyDescent="0.3">
      <c r="B57" s="161"/>
      <c r="C57" s="162"/>
      <c r="D57" s="163"/>
      <c r="E57" s="162"/>
      <c r="F57" s="162"/>
      <c r="G57" s="162"/>
      <c r="H57" s="162"/>
      <c r="I57" s="162"/>
      <c r="J57" s="162"/>
      <c r="K57" s="162"/>
      <c r="L57" s="163"/>
    </row>
    <row r="58" spans="2:12" ht="19.2" customHeight="1" x14ac:dyDescent="0.3">
      <c r="B58" s="161"/>
      <c r="C58" s="162"/>
      <c r="D58" s="163"/>
      <c r="E58" s="162"/>
      <c r="F58" s="162"/>
      <c r="G58" s="162"/>
      <c r="H58" s="162"/>
      <c r="I58" s="162"/>
      <c r="J58" s="162"/>
      <c r="K58" s="162"/>
      <c r="L58" s="163"/>
    </row>
    <row r="59" spans="2:12" ht="19.2" customHeight="1" x14ac:dyDescent="0.3">
      <c r="B59" s="161"/>
      <c r="C59" s="162"/>
      <c r="D59" s="163"/>
      <c r="E59" s="162"/>
      <c r="F59" s="162"/>
      <c r="G59" s="162"/>
      <c r="H59" s="162"/>
      <c r="I59" s="162"/>
      <c r="J59" s="162"/>
      <c r="K59" s="162"/>
      <c r="L59" s="163"/>
    </row>
    <row r="60" spans="2:12" ht="19.2" customHeight="1" x14ac:dyDescent="0.3">
      <c r="B60" s="161"/>
      <c r="C60" s="162"/>
      <c r="D60" s="163"/>
      <c r="E60" s="162"/>
      <c r="F60" s="162"/>
      <c r="G60" s="162"/>
      <c r="H60" s="162"/>
      <c r="I60" s="162"/>
      <c r="J60" s="162"/>
      <c r="K60" s="162"/>
      <c r="L60" s="163"/>
    </row>
    <row r="61" spans="2:12" ht="19.2" customHeight="1" x14ac:dyDescent="0.3">
      <c r="B61" s="161"/>
      <c r="C61" s="162"/>
      <c r="D61" s="163"/>
      <c r="E61" s="162"/>
      <c r="F61" s="162"/>
      <c r="G61" s="162"/>
      <c r="H61" s="162"/>
      <c r="I61" s="162"/>
      <c r="J61" s="162"/>
      <c r="K61" s="162"/>
      <c r="L61" s="163"/>
    </row>
    <row r="62" spans="2:12" ht="19.2" customHeight="1" x14ac:dyDescent="0.3">
      <c r="B62" s="161"/>
      <c r="C62" s="162"/>
      <c r="D62" s="163"/>
      <c r="E62" s="162"/>
      <c r="F62" s="162"/>
      <c r="G62" s="162"/>
      <c r="H62" s="162"/>
      <c r="I62" s="162"/>
      <c r="J62" s="162"/>
      <c r="K62" s="162"/>
      <c r="L62" s="163"/>
    </row>
    <row r="63" spans="2:12" ht="19.2" customHeight="1" x14ac:dyDescent="0.3">
      <c r="B63" s="161"/>
      <c r="C63" s="162"/>
      <c r="D63" s="163"/>
      <c r="E63" s="162"/>
      <c r="F63" s="162"/>
      <c r="G63" s="162"/>
      <c r="H63" s="162"/>
      <c r="I63" s="162"/>
      <c r="J63" s="162"/>
      <c r="K63" s="162"/>
      <c r="L63" s="163"/>
    </row>
    <row r="64" spans="2:12" ht="19.2" customHeight="1" x14ac:dyDescent="0.3">
      <c r="B64" s="161"/>
      <c r="C64" s="162"/>
      <c r="D64" s="163"/>
      <c r="E64" s="162"/>
      <c r="F64" s="162"/>
      <c r="G64" s="162"/>
      <c r="H64" s="162"/>
      <c r="I64" s="162"/>
      <c r="J64" s="162"/>
      <c r="K64" s="162"/>
      <c r="L64" s="163"/>
    </row>
    <row r="65" spans="2:12" ht="19.2" customHeight="1" x14ac:dyDescent="0.3">
      <c r="B65" s="161"/>
      <c r="C65" s="162"/>
      <c r="D65" s="163"/>
      <c r="E65" s="162"/>
      <c r="F65" s="162"/>
      <c r="G65" s="162"/>
      <c r="H65" s="162"/>
      <c r="I65" s="162"/>
      <c r="J65" s="162"/>
      <c r="K65" s="162"/>
      <c r="L65" s="163"/>
    </row>
    <row r="66" spans="2:12" ht="19.2" customHeight="1" x14ac:dyDescent="0.3">
      <c r="B66" s="161"/>
      <c r="C66" s="162"/>
      <c r="D66" s="163"/>
      <c r="E66" s="162"/>
      <c r="F66" s="162"/>
      <c r="G66" s="162"/>
      <c r="H66" s="162"/>
      <c r="I66" s="162"/>
      <c r="J66" s="162"/>
      <c r="K66" s="162"/>
      <c r="L66" s="163"/>
    </row>
    <row r="67" spans="2:12" ht="19.2" customHeight="1" x14ac:dyDescent="0.3">
      <c r="B67" s="161"/>
      <c r="C67" s="162"/>
      <c r="D67" s="163"/>
      <c r="E67" s="162"/>
      <c r="F67" s="162"/>
      <c r="G67" s="162"/>
      <c r="H67" s="162"/>
      <c r="I67" s="162"/>
      <c r="J67" s="162"/>
      <c r="K67" s="162"/>
      <c r="L67" s="163"/>
    </row>
    <row r="68" spans="2:12" ht="19.2" customHeight="1" x14ac:dyDescent="0.3">
      <c r="B68" s="161"/>
      <c r="C68" s="162"/>
      <c r="D68" s="163"/>
      <c r="E68" s="162"/>
      <c r="F68" s="162"/>
      <c r="G68" s="162"/>
      <c r="H68" s="162"/>
      <c r="I68" s="162"/>
      <c r="J68" s="162"/>
      <c r="K68" s="162"/>
      <c r="L68" s="163"/>
    </row>
    <row r="69" spans="2:12" ht="19.2" customHeight="1" x14ac:dyDescent="0.3">
      <c r="B69" s="161"/>
      <c r="C69" s="162"/>
      <c r="D69" s="163"/>
      <c r="E69" s="162"/>
      <c r="F69" s="162"/>
      <c r="G69" s="162"/>
      <c r="H69" s="162"/>
      <c r="I69" s="162"/>
      <c r="J69" s="162"/>
      <c r="K69" s="162"/>
      <c r="L69" s="163"/>
    </row>
    <row r="70" spans="2:12" ht="19.2" customHeight="1" x14ac:dyDescent="0.3">
      <c r="B70" s="161"/>
      <c r="C70" s="162"/>
      <c r="D70" s="163"/>
      <c r="E70" s="162"/>
      <c r="F70" s="162"/>
      <c r="G70" s="162"/>
      <c r="H70" s="162"/>
      <c r="I70" s="162"/>
      <c r="J70" s="162"/>
      <c r="K70" s="162"/>
      <c r="L70" s="163"/>
    </row>
    <row r="71" spans="2:12" ht="19.2" customHeight="1" x14ac:dyDescent="0.3">
      <c r="B71" s="161"/>
      <c r="C71" s="162"/>
      <c r="D71" s="163"/>
      <c r="E71" s="162"/>
      <c r="F71" s="162"/>
      <c r="G71" s="162"/>
      <c r="H71" s="162"/>
      <c r="I71" s="162"/>
      <c r="J71" s="162"/>
      <c r="K71" s="162"/>
      <c r="L71" s="163"/>
    </row>
    <row r="72" spans="2:12" ht="19.2" customHeight="1" x14ac:dyDescent="0.3">
      <c r="B72" s="161"/>
      <c r="C72" s="162"/>
      <c r="D72" s="163"/>
      <c r="E72" s="162"/>
      <c r="F72" s="162"/>
      <c r="G72" s="162"/>
      <c r="H72" s="162"/>
      <c r="I72" s="162"/>
      <c r="J72" s="162"/>
      <c r="K72" s="162"/>
      <c r="L72" s="163"/>
    </row>
    <row r="73" spans="2:12" ht="19.2" customHeight="1" x14ac:dyDescent="0.3">
      <c r="B73" s="161"/>
      <c r="C73" s="162"/>
      <c r="D73" s="163"/>
      <c r="E73" s="162"/>
      <c r="F73" s="162"/>
      <c r="G73" s="162"/>
      <c r="H73" s="162"/>
      <c r="I73" s="162"/>
      <c r="J73" s="162"/>
      <c r="K73" s="162"/>
      <c r="L73" s="163"/>
    </row>
    <row r="74" spans="2:12" ht="19.2" customHeight="1" x14ac:dyDescent="0.3">
      <c r="B74" s="161"/>
      <c r="C74" s="162"/>
      <c r="D74" s="163"/>
      <c r="E74" s="162"/>
      <c r="F74" s="162"/>
      <c r="G74" s="162"/>
      <c r="H74" s="162"/>
      <c r="I74" s="162"/>
      <c r="J74" s="162"/>
      <c r="K74" s="162"/>
      <c r="L74" s="163"/>
    </row>
    <row r="75" spans="2:12" ht="19.2" customHeight="1" x14ac:dyDescent="0.3">
      <c r="B75" s="161"/>
      <c r="C75" s="162"/>
      <c r="D75" s="163"/>
      <c r="E75" s="162"/>
      <c r="F75" s="162"/>
      <c r="G75" s="162"/>
      <c r="H75" s="162"/>
      <c r="I75" s="162"/>
      <c r="J75" s="162"/>
      <c r="K75" s="162"/>
      <c r="L75" s="163"/>
    </row>
    <row r="76" spans="2:12" ht="19.2" customHeight="1" x14ac:dyDescent="0.3">
      <c r="B76" s="161"/>
      <c r="C76" s="162"/>
      <c r="D76" s="163"/>
      <c r="E76" s="162"/>
      <c r="F76" s="162"/>
      <c r="G76" s="162"/>
      <c r="H76" s="162"/>
      <c r="I76" s="162"/>
      <c r="J76" s="162"/>
      <c r="K76" s="162"/>
      <c r="L76" s="163"/>
    </row>
    <row r="77" spans="2:12" ht="19.2" customHeight="1" x14ac:dyDescent="0.3">
      <c r="B77" s="161"/>
      <c r="C77" s="162"/>
      <c r="D77" s="163"/>
      <c r="E77" s="162"/>
      <c r="F77" s="162"/>
      <c r="G77" s="162"/>
      <c r="H77" s="162"/>
      <c r="I77" s="162"/>
      <c r="J77" s="162"/>
      <c r="K77" s="162"/>
      <c r="L77" s="163"/>
    </row>
    <row r="78" spans="2:12" ht="19.2" customHeight="1" x14ac:dyDescent="0.3">
      <c r="B78" s="161"/>
      <c r="C78" s="162"/>
      <c r="D78" s="163"/>
      <c r="E78" s="162"/>
      <c r="F78" s="162"/>
      <c r="G78" s="162"/>
      <c r="H78" s="162"/>
      <c r="I78" s="162"/>
      <c r="J78" s="162"/>
      <c r="K78" s="162"/>
      <c r="L78" s="163"/>
    </row>
    <row r="79" spans="2:12" ht="19.2" customHeight="1" x14ac:dyDescent="0.3">
      <c r="B79" s="161"/>
      <c r="C79" s="162"/>
      <c r="D79" s="163"/>
      <c r="E79" s="162"/>
      <c r="F79" s="162"/>
      <c r="G79" s="162"/>
      <c r="H79" s="162"/>
      <c r="I79" s="162"/>
      <c r="J79" s="162"/>
      <c r="K79" s="162"/>
      <c r="L79" s="163"/>
    </row>
    <row r="80" spans="2:12" ht="19.2" customHeight="1" x14ac:dyDescent="0.3">
      <c r="B80" s="161"/>
      <c r="C80" s="162"/>
      <c r="D80" s="163"/>
      <c r="E80" s="162"/>
      <c r="F80" s="162"/>
      <c r="G80" s="162"/>
      <c r="H80" s="162"/>
      <c r="I80" s="162"/>
      <c r="J80" s="162"/>
      <c r="K80" s="162"/>
      <c r="L80" s="163"/>
    </row>
    <row r="81" spans="2:12" ht="19.2" customHeight="1" x14ac:dyDescent="0.3">
      <c r="B81" s="161"/>
      <c r="C81" s="162"/>
      <c r="D81" s="163"/>
      <c r="E81" s="162"/>
      <c r="F81" s="162"/>
      <c r="G81" s="162"/>
      <c r="H81" s="162"/>
      <c r="I81" s="162"/>
      <c r="J81" s="162"/>
      <c r="K81" s="162"/>
      <c r="L81" s="163"/>
    </row>
    <row r="82" spans="2:12" ht="19.2" customHeight="1" x14ac:dyDescent="0.3">
      <c r="B82" s="161"/>
      <c r="C82" s="162"/>
      <c r="D82" s="163"/>
      <c r="E82" s="162"/>
      <c r="F82" s="162"/>
      <c r="G82" s="162"/>
      <c r="H82" s="162"/>
      <c r="I82" s="162"/>
      <c r="J82" s="162"/>
      <c r="K82" s="162"/>
      <c r="L82" s="163"/>
    </row>
    <row r="83" spans="2:12" ht="19.2" customHeight="1" x14ac:dyDescent="0.3">
      <c r="B83" s="161"/>
      <c r="C83" s="162"/>
      <c r="D83" s="163"/>
      <c r="E83" s="162"/>
      <c r="F83" s="162"/>
      <c r="G83" s="162"/>
      <c r="H83" s="162"/>
      <c r="I83" s="162"/>
      <c r="J83" s="162"/>
      <c r="K83" s="162"/>
      <c r="L83" s="163"/>
    </row>
    <row r="84" spans="2:12" ht="19.2" customHeight="1" x14ac:dyDescent="0.3">
      <c r="B84" s="161"/>
      <c r="C84" s="162"/>
      <c r="D84" s="163"/>
      <c r="E84" s="162"/>
      <c r="F84" s="162"/>
      <c r="G84" s="162"/>
      <c r="H84" s="162"/>
      <c r="I84" s="162"/>
      <c r="J84" s="162"/>
      <c r="K84" s="162"/>
      <c r="L84" s="163"/>
    </row>
    <row r="85" spans="2:12" ht="19.2" customHeight="1" x14ac:dyDescent="0.3">
      <c r="B85" s="161"/>
      <c r="C85" s="162"/>
      <c r="D85" s="163"/>
      <c r="E85" s="162"/>
      <c r="F85" s="162"/>
      <c r="G85" s="162"/>
      <c r="H85" s="162"/>
      <c r="I85" s="162"/>
      <c r="J85" s="162"/>
      <c r="K85" s="162"/>
      <c r="L85" s="163"/>
    </row>
    <row r="86" spans="2:12" ht="19.2" customHeight="1" x14ac:dyDescent="0.3">
      <c r="B86" s="161"/>
      <c r="C86" s="162"/>
      <c r="D86" s="163"/>
      <c r="E86" s="162"/>
      <c r="F86" s="162"/>
      <c r="G86" s="162"/>
      <c r="H86" s="162"/>
      <c r="I86" s="162"/>
      <c r="J86" s="162"/>
      <c r="K86" s="162"/>
      <c r="L86" s="163"/>
    </row>
    <row r="87" spans="2:12" ht="19.2" customHeight="1" x14ac:dyDescent="0.3">
      <c r="B87" s="161"/>
      <c r="C87" s="162"/>
      <c r="D87" s="163"/>
      <c r="E87" s="162"/>
      <c r="F87" s="162"/>
      <c r="G87" s="162"/>
      <c r="H87" s="162"/>
      <c r="I87" s="162"/>
      <c r="J87" s="162"/>
      <c r="K87" s="162"/>
      <c r="L87" s="163"/>
    </row>
    <row r="88" spans="2:12" ht="19.2" customHeight="1" x14ac:dyDescent="0.3">
      <c r="B88" s="161"/>
      <c r="C88" s="162"/>
      <c r="D88" s="163"/>
      <c r="E88" s="162"/>
      <c r="F88" s="162"/>
      <c r="G88" s="162"/>
      <c r="H88" s="162"/>
      <c r="I88" s="162"/>
      <c r="J88" s="162"/>
      <c r="K88" s="162"/>
      <c r="L88" s="163"/>
    </row>
    <row r="89" spans="2:12" ht="19.2" customHeight="1" x14ac:dyDescent="0.3">
      <c r="B89" s="161"/>
      <c r="C89" s="162"/>
      <c r="D89" s="163"/>
      <c r="E89" s="162"/>
      <c r="F89" s="162"/>
      <c r="G89" s="162"/>
      <c r="H89" s="162"/>
      <c r="I89" s="162"/>
      <c r="J89" s="162"/>
      <c r="K89" s="162"/>
      <c r="L89" s="163"/>
    </row>
    <row r="90" spans="2:12" ht="19.2" customHeight="1" x14ac:dyDescent="0.3">
      <c r="B90" s="161"/>
      <c r="C90" s="162"/>
      <c r="D90" s="163"/>
      <c r="E90" s="162"/>
      <c r="F90" s="162"/>
      <c r="G90" s="162"/>
      <c r="H90" s="162"/>
      <c r="I90" s="162"/>
      <c r="J90" s="162"/>
      <c r="K90" s="162"/>
      <c r="L90" s="163"/>
    </row>
    <row r="91" spans="2:12" ht="19.2" customHeight="1" x14ac:dyDescent="0.3">
      <c r="B91" s="161"/>
      <c r="C91" s="162"/>
      <c r="D91" s="163"/>
      <c r="E91" s="162"/>
      <c r="F91" s="162"/>
      <c r="G91" s="162"/>
      <c r="H91" s="162"/>
      <c r="I91" s="162"/>
      <c r="J91" s="162"/>
      <c r="K91" s="162"/>
      <c r="L91" s="163"/>
    </row>
    <row r="92" spans="2:12" ht="19.2" customHeight="1" x14ac:dyDescent="0.3">
      <c r="B92" s="161"/>
      <c r="C92" s="162"/>
      <c r="D92" s="163"/>
      <c r="E92" s="162"/>
      <c r="F92" s="162"/>
      <c r="G92" s="162"/>
      <c r="H92" s="162"/>
      <c r="I92" s="162"/>
      <c r="J92" s="162"/>
      <c r="K92" s="162"/>
      <c r="L92" s="163"/>
    </row>
    <row r="93" spans="2:12" ht="19.2" customHeight="1" x14ac:dyDescent="0.3">
      <c r="B93" s="161"/>
      <c r="C93" s="162"/>
      <c r="D93" s="163"/>
      <c r="E93" s="162"/>
      <c r="F93" s="162"/>
      <c r="G93" s="162"/>
      <c r="H93" s="162"/>
      <c r="I93" s="162"/>
      <c r="J93" s="162"/>
      <c r="K93" s="162"/>
      <c r="L93" s="163"/>
    </row>
    <row r="94" spans="2:12" ht="19.2" customHeight="1" x14ac:dyDescent="0.3">
      <c r="B94" s="161"/>
      <c r="C94" s="162"/>
      <c r="D94" s="163"/>
      <c r="E94" s="162"/>
      <c r="F94" s="162"/>
      <c r="G94" s="162"/>
      <c r="H94" s="162"/>
      <c r="I94" s="162"/>
      <c r="J94" s="162"/>
      <c r="K94" s="162"/>
      <c r="L94" s="163"/>
    </row>
    <row r="95" spans="2:12" ht="19.2" customHeight="1" x14ac:dyDescent="0.3">
      <c r="B95" s="161"/>
      <c r="C95" s="162"/>
      <c r="D95" s="163"/>
      <c r="E95" s="162"/>
      <c r="F95" s="162"/>
      <c r="G95" s="162"/>
      <c r="H95" s="162"/>
      <c r="I95" s="162"/>
      <c r="J95" s="162"/>
      <c r="K95" s="162"/>
      <c r="L95" s="163"/>
    </row>
    <row r="96" spans="2:12" ht="19.2" customHeight="1" x14ac:dyDescent="0.3">
      <c r="B96" s="161"/>
      <c r="C96" s="162"/>
      <c r="D96" s="163"/>
      <c r="E96" s="162"/>
      <c r="F96" s="162"/>
      <c r="G96" s="162"/>
      <c r="H96" s="162"/>
      <c r="I96" s="162"/>
      <c r="J96" s="162"/>
      <c r="K96" s="162"/>
      <c r="L96" s="163"/>
    </row>
    <row r="97" spans="2:12" ht="19.2" customHeight="1" x14ac:dyDescent="0.3">
      <c r="B97" s="161"/>
      <c r="C97" s="162"/>
      <c r="D97" s="163"/>
      <c r="E97" s="162"/>
      <c r="F97" s="162"/>
      <c r="G97" s="162"/>
      <c r="H97" s="162"/>
      <c r="I97" s="162"/>
      <c r="J97" s="162"/>
      <c r="K97" s="162"/>
      <c r="L97" s="163"/>
    </row>
    <row r="98" spans="2:12" ht="19.2" customHeight="1" x14ac:dyDescent="0.3">
      <c r="B98" s="161"/>
      <c r="C98" s="162"/>
      <c r="D98" s="163"/>
      <c r="E98" s="162"/>
      <c r="F98" s="162"/>
      <c r="G98" s="162"/>
      <c r="H98" s="162"/>
      <c r="I98" s="162"/>
      <c r="J98" s="162"/>
      <c r="K98" s="162"/>
      <c r="L98" s="163"/>
    </row>
    <row r="99" spans="2:12" ht="19.2" customHeight="1" x14ac:dyDescent="0.3">
      <c r="B99" s="161"/>
      <c r="C99" s="162"/>
      <c r="D99" s="163"/>
      <c r="E99" s="162"/>
      <c r="F99" s="162"/>
      <c r="G99" s="162"/>
      <c r="H99" s="162"/>
      <c r="I99" s="162"/>
      <c r="J99" s="162"/>
      <c r="K99" s="162"/>
      <c r="L99" s="163"/>
    </row>
    <row r="100" spans="2:12" ht="19.2" customHeight="1" x14ac:dyDescent="0.3">
      <c r="B100" s="161"/>
      <c r="C100" s="162"/>
      <c r="D100" s="163"/>
      <c r="E100" s="162"/>
      <c r="F100" s="162"/>
      <c r="G100" s="162"/>
      <c r="H100" s="162"/>
      <c r="I100" s="162"/>
      <c r="J100" s="162"/>
      <c r="K100" s="162"/>
      <c r="L100" s="163"/>
    </row>
    <row r="101" spans="2:12" ht="19.2" customHeight="1" x14ac:dyDescent="0.3">
      <c r="B101" s="161"/>
      <c r="C101" s="162"/>
      <c r="D101" s="163"/>
      <c r="E101" s="162"/>
      <c r="F101" s="162"/>
      <c r="G101" s="162"/>
      <c r="H101" s="162"/>
      <c r="I101" s="162"/>
      <c r="J101" s="162"/>
      <c r="K101" s="162"/>
      <c r="L101" s="163"/>
    </row>
    <row r="102" spans="2:12" ht="19.2" customHeight="1" x14ac:dyDescent="0.3">
      <c r="B102" s="161"/>
      <c r="C102" s="162"/>
      <c r="D102" s="163"/>
      <c r="E102" s="162"/>
      <c r="F102" s="162"/>
      <c r="G102" s="162"/>
      <c r="H102" s="162"/>
      <c r="I102" s="162"/>
      <c r="J102" s="162"/>
      <c r="K102" s="162"/>
      <c r="L102" s="163"/>
    </row>
    <row r="103" spans="2:12" ht="19.2" customHeight="1" x14ac:dyDescent="0.3">
      <c r="B103" s="161"/>
      <c r="C103" s="162"/>
      <c r="D103" s="163"/>
      <c r="E103" s="162"/>
      <c r="F103" s="162"/>
      <c r="G103" s="162"/>
      <c r="H103" s="162"/>
      <c r="I103" s="162"/>
      <c r="J103" s="162"/>
      <c r="K103" s="162"/>
      <c r="L103" s="163"/>
    </row>
    <row r="104" spans="2:12" ht="19.2" customHeight="1" x14ac:dyDescent="0.3">
      <c r="B104" s="161"/>
      <c r="C104" s="162"/>
      <c r="D104" s="163"/>
      <c r="E104" s="162"/>
      <c r="F104" s="162"/>
      <c r="G104" s="162"/>
      <c r="H104" s="162"/>
      <c r="I104" s="162"/>
      <c r="J104" s="162"/>
      <c r="K104" s="162"/>
      <c r="L104" s="163"/>
    </row>
    <row r="105" spans="2:12" ht="19.2" customHeight="1" x14ac:dyDescent="0.3">
      <c r="B105" s="161"/>
      <c r="C105" s="162"/>
      <c r="D105" s="163"/>
      <c r="E105" s="162"/>
      <c r="F105" s="162"/>
      <c r="G105" s="162"/>
      <c r="H105" s="162"/>
      <c r="I105" s="162"/>
      <c r="J105" s="162"/>
      <c r="K105" s="162"/>
      <c r="L105" s="163"/>
    </row>
    <row r="106" spans="2:12" ht="19.2" customHeight="1" x14ac:dyDescent="0.3">
      <c r="B106" s="161"/>
      <c r="C106" s="162"/>
      <c r="D106" s="163"/>
      <c r="E106" s="162"/>
      <c r="F106" s="162"/>
      <c r="G106" s="162"/>
      <c r="H106" s="162"/>
      <c r="I106" s="162"/>
      <c r="J106" s="162"/>
      <c r="K106" s="162"/>
      <c r="L106" s="163"/>
    </row>
    <row r="107" spans="2:12" ht="19.2" customHeight="1" x14ac:dyDescent="0.3">
      <c r="B107" s="161"/>
      <c r="C107" s="162"/>
      <c r="D107" s="163"/>
      <c r="E107" s="162"/>
      <c r="F107" s="162"/>
      <c r="G107" s="162"/>
      <c r="H107" s="162"/>
      <c r="I107" s="162"/>
      <c r="J107" s="162"/>
      <c r="K107" s="162"/>
      <c r="L107" s="163"/>
    </row>
    <row r="108" spans="2:12" ht="19.2" customHeight="1" x14ac:dyDescent="0.3">
      <c r="B108" s="161"/>
      <c r="C108" s="162"/>
      <c r="D108" s="163"/>
      <c r="E108" s="162"/>
      <c r="F108" s="162"/>
      <c r="G108" s="162"/>
      <c r="H108" s="162"/>
      <c r="I108" s="162"/>
      <c r="J108" s="162"/>
      <c r="K108" s="162"/>
      <c r="L108" s="163"/>
    </row>
    <row r="109" spans="2:12" ht="19.2" customHeight="1" x14ac:dyDescent="0.3">
      <c r="B109" s="161"/>
      <c r="C109" s="162"/>
      <c r="D109" s="163"/>
      <c r="E109" s="162"/>
      <c r="F109" s="162"/>
      <c r="G109" s="162"/>
      <c r="H109" s="162"/>
      <c r="I109" s="162"/>
      <c r="J109" s="162"/>
      <c r="K109" s="162"/>
      <c r="L109" s="163"/>
    </row>
    <row r="110" spans="2:12" ht="19.2" customHeight="1" x14ac:dyDescent="0.3">
      <c r="B110" s="161"/>
      <c r="C110" s="162"/>
      <c r="D110" s="163"/>
      <c r="E110" s="162"/>
      <c r="F110" s="162"/>
      <c r="G110" s="162"/>
      <c r="H110" s="162"/>
      <c r="I110" s="162"/>
      <c r="J110" s="162"/>
      <c r="K110" s="162"/>
      <c r="L110" s="163"/>
    </row>
    <row r="111" spans="2:12" ht="19.2" customHeight="1" x14ac:dyDescent="0.3">
      <c r="B111" s="161"/>
      <c r="C111" s="162"/>
      <c r="D111" s="163"/>
      <c r="E111" s="162"/>
      <c r="F111" s="162"/>
      <c r="G111" s="162"/>
      <c r="H111" s="162"/>
      <c r="I111" s="162"/>
      <c r="J111" s="162"/>
      <c r="K111" s="162"/>
      <c r="L111" s="163"/>
    </row>
    <row r="112" spans="2:12" ht="19.2" customHeight="1" x14ac:dyDescent="0.3">
      <c r="B112" s="161"/>
      <c r="C112" s="162"/>
      <c r="D112" s="163"/>
      <c r="E112" s="162"/>
      <c r="F112" s="162"/>
      <c r="G112" s="162"/>
      <c r="H112" s="162"/>
      <c r="I112" s="162"/>
      <c r="J112" s="162"/>
      <c r="K112" s="162"/>
      <c r="L112" s="163"/>
    </row>
    <row r="113" spans="2:12" ht="19.2" customHeight="1" x14ac:dyDescent="0.3">
      <c r="B113" s="161"/>
      <c r="C113" s="162"/>
      <c r="D113" s="163"/>
      <c r="E113" s="162"/>
      <c r="F113" s="162"/>
      <c r="G113" s="162"/>
      <c r="H113" s="162"/>
      <c r="I113" s="162"/>
      <c r="J113" s="162"/>
      <c r="K113" s="162"/>
      <c r="L113" s="163"/>
    </row>
    <row r="114" spans="2:12" ht="19.2" customHeight="1" x14ac:dyDescent="0.3">
      <c r="B114" s="161"/>
      <c r="C114" s="162"/>
      <c r="D114" s="163"/>
      <c r="E114" s="162"/>
      <c r="F114" s="162"/>
      <c r="G114" s="162"/>
      <c r="H114" s="162"/>
      <c r="I114" s="162"/>
      <c r="J114" s="162"/>
      <c r="K114" s="162"/>
      <c r="L114" s="163"/>
    </row>
    <row r="115" spans="2:12" ht="19.2" customHeight="1" x14ac:dyDescent="0.3">
      <c r="B115" s="161"/>
      <c r="C115" s="162"/>
      <c r="D115" s="163"/>
      <c r="E115" s="162"/>
      <c r="F115" s="162"/>
      <c r="G115" s="162"/>
      <c r="H115" s="162"/>
      <c r="I115" s="162"/>
      <c r="J115" s="162"/>
      <c r="K115" s="162"/>
      <c r="L115" s="163"/>
    </row>
    <row r="116" spans="2:12" ht="19.2" customHeight="1" x14ac:dyDescent="0.3">
      <c r="B116" s="161"/>
      <c r="C116" s="162"/>
      <c r="D116" s="163"/>
      <c r="E116" s="162"/>
      <c r="F116" s="162"/>
      <c r="G116" s="162"/>
      <c r="H116" s="162"/>
      <c r="I116" s="162"/>
      <c r="J116" s="162"/>
      <c r="K116" s="162"/>
      <c r="L116" s="163"/>
    </row>
    <row r="117" spans="2:12" ht="19.2" customHeight="1" x14ac:dyDescent="0.3">
      <c r="B117" s="161"/>
      <c r="C117" s="162"/>
      <c r="D117" s="163"/>
      <c r="E117" s="162"/>
      <c r="F117" s="162"/>
      <c r="G117" s="162"/>
      <c r="H117" s="162"/>
      <c r="I117" s="162"/>
      <c r="J117" s="162"/>
      <c r="K117" s="162"/>
      <c r="L117" s="163"/>
    </row>
    <row r="118" spans="2:12" ht="19.2" customHeight="1" x14ac:dyDescent="0.3">
      <c r="B118" s="161"/>
      <c r="C118" s="162"/>
      <c r="D118" s="163"/>
      <c r="E118" s="162"/>
      <c r="F118" s="162"/>
      <c r="G118" s="162"/>
      <c r="H118" s="162"/>
      <c r="I118" s="162"/>
      <c r="J118" s="162"/>
      <c r="K118" s="162"/>
      <c r="L118" s="163"/>
    </row>
    <row r="119" spans="2:12" ht="19.2" customHeight="1" x14ac:dyDescent="0.3">
      <c r="B119" s="161"/>
      <c r="C119" s="162"/>
      <c r="D119" s="163"/>
      <c r="E119" s="162"/>
      <c r="F119" s="162"/>
      <c r="G119" s="162"/>
      <c r="H119" s="162"/>
      <c r="I119" s="162"/>
      <c r="J119" s="162"/>
      <c r="K119" s="162"/>
      <c r="L119" s="163"/>
    </row>
    <row r="120" spans="2:12" ht="19.2" customHeight="1" x14ac:dyDescent="0.3">
      <c r="B120" s="161"/>
      <c r="C120" s="162"/>
      <c r="D120" s="163"/>
      <c r="E120" s="162"/>
      <c r="F120" s="162"/>
      <c r="G120" s="162"/>
      <c r="H120" s="162"/>
      <c r="I120" s="162"/>
      <c r="J120" s="162"/>
      <c r="K120" s="162"/>
      <c r="L120" s="163"/>
    </row>
    <row r="121" spans="2:12" ht="19.2" customHeight="1" x14ac:dyDescent="0.3">
      <c r="B121" s="161"/>
      <c r="C121" s="162"/>
      <c r="D121" s="163"/>
      <c r="E121" s="162"/>
      <c r="F121" s="162"/>
      <c r="G121" s="162"/>
      <c r="H121" s="162"/>
      <c r="I121" s="162"/>
      <c r="J121" s="162"/>
      <c r="K121" s="162"/>
      <c r="L121" s="163"/>
    </row>
    <row r="122" spans="2:12" ht="19.2" customHeight="1" x14ac:dyDescent="0.3">
      <c r="B122" s="161"/>
      <c r="C122" s="162"/>
      <c r="D122" s="163"/>
      <c r="E122" s="162"/>
      <c r="F122" s="162"/>
      <c r="G122" s="162"/>
      <c r="H122" s="162"/>
      <c r="I122" s="162"/>
      <c r="J122" s="162"/>
      <c r="K122" s="162"/>
      <c r="L122" s="163"/>
    </row>
    <row r="123" spans="2:12" ht="19.2" customHeight="1" x14ac:dyDescent="0.3">
      <c r="B123" s="161"/>
      <c r="C123" s="162"/>
      <c r="D123" s="163"/>
      <c r="E123" s="162"/>
      <c r="F123" s="162"/>
      <c r="G123" s="162"/>
      <c r="H123" s="162"/>
      <c r="I123" s="162"/>
      <c r="J123" s="162"/>
      <c r="K123" s="162"/>
      <c r="L123" s="163"/>
    </row>
    <row r="124" spans="2:12" ht="19.2" customHeight="1" x14ac:dyDescent="0.3">
      <c r="B124" s="161"/>
      <c r="C124" s="162"/>
      <c r="D124" s="163"/>
      <c r="E124" s="162"/>
      <c r="F124" s="162"/>
      <c r="G124" s="162"/>
      <c r="H124" s="162"/>
      <c r="I124" s="162"/>
      <c r="J124" s="162"/>
      <c r="K124" s="162"/>
      <c r="L124" s="163"/>
    </row>
    <row r="125" spans="2:12" ht="19.2" customHeight="1" x14ac:dyDescent="0.3">
      <c r="B125" s="161"/>
      <c r="C125" s="162"/>
      <c r="D125" s="163"/>
      <c r="E125" s="162"/>
      <c r="F125" s="162"/>
      <c r="G125" s="162"/>
      <c r="H125" s="162"/>
      <c r="I125" s="162"/>
      <c r="J125" s="162"/>
      <c r="K125" s="162"/>
      <c r="L125" s="163"/>
    </row>
    <row r="126" spans="2:12" ht="19.2" customHeight="1" x14ac:dyDescent="0.3">
      <c r="B126" s="161"/>
      <c r="C126" s="162"/>
      <c r="D126" s="163"/>
      <c r="E126" s="162"/>
      <c r="F126" s="162"/>
      <c r="G126" s="162"/>
      <c r="H126" s="162"/>
      <c r="I126" s="162"/>
      <c r="J126" s="162"/>
      <c r="K126" s="162"/>
      <c r="L126" s="163"/>
    </row>
    <row r="127" spans="2:12" ht="19.2" customHeight="1" x14ac:dyDescent="0.3">
      <c r="B127" s="161"/>
      <c r="C127" s="162"/>
      <c r="D127" s="163"/>
      <c r="E127" s="162"/>
      <c r="F127" s="162"/>
      <c r="G127" s="162"/>
      <c r="H127" s="162"/>
      <c r="I127" s="162"/>
      <c r="J127" s="162"/>
      <c r="K127" s="162"/>
      <c r="L127" s="163"/>
    </row>
    <row r="128" spans="2:12" ht="19.2" customHeight="1" x14ac:dyDescent="0.3">
      <c r="B128" s="161"/>
      <c r="C128" s="162"/>
      <c r="D128" s="163"/>
      <c r="E128" s="162"/>
      <c r="F128" s="162"/>
      <c r="G128" s="162"/>
      <c r="H128" s="162"/>
      <c r="I128" s="162"/>
      <c r="J128" s="162"/>
      <c r="K128" s="162"/>
      <c r="L128" s="163"/>
    </row>
    <row r="129" spans="2:12" ht="19.2" customHeight="1" x14ac:dyDescent="0.3">
      <c r="B129" s="161"/>
      <c r="C129" s="162"/>
      <c r="D129" s="163"/>
      <c r="E129" s="162"/>
      <c r="F129" s="162"/>
      <c r="G129" s="162"/>
      <c r="H129" s="162"/>
      <c r="I129" s="162"/>
      <c r="J129" s="162"/>
      <c r="K129" s="162"/>
      <c r="L129" s="163"/>
    </row>
    <row r="130" spans="2:12" ht="19.2" customHeight="1" x14ac:dyDescent="0.3">
      <c r="B130" s="161"/>
      <c r="C130" s="162"/>
      <c r="D130" s="163"/>
      <c r="E130" s="162"/>
      <c r="F130" s="162"/>
      <c r="G130" s="162"/>
      <c r="H130" s="162"/>
      <c r="I130" s="162"/>
      <c r="J130" s="162"/>
      <c r="K130" s="162"/>
      <c r="L130" s="163"/>
    </row>
    <row r="131" spans="2:12" ht="19.2" customHeight="1" x14ac:dyDescent="0.3">
      <c r="B131" s="161"/>
      <c r="C131" s="162"/>
      <c r="D131" s="163"/>
      <c r="E131" s="162"/>
      <c r="F131" s="162"/>
      <c r="G131" s="162"/>
      <c r="H131" s="162"/>
      <c r="I131" s="162"/>
      <c r="J131" s="162"/>
      <c r="K131" s="162"/>
      <c r="L131" s="163"/>
    </row>
    <row r="132" spans="2:12" ht="19.2" customHeight="1" x14ac:dyDescent="0.3">
      <c r="B132" s="161"/>
      <c r="C132" s="162"/>
      <c r="D132" s="163"/>
      <c r="E132" s="162"/>
      <c r="F132" s="162"/>
      <c r="G132" s="162"/>
      <c r="H132" s="162"/>
      <c r="I132" s="162"/>
      <c r="J132" s="162"/>
      <c r="K132" s="162"/>
      <c r="L132" s="163"/>
    </row>
    <row r="133" spans="2:12" ht="19.2" customHeight="1" x14ac:dyDescent="0.3">
      <c r="B133" s="161"/>
      <c r="C133" s="162"/>
      <c r="D133" s="163"/>
      <c r="E133" s="162"/>
      <c r="F133" s="162"/>
      <c r="G133" s="162"/>
      <c r="H133" s="162"/>
      <c r="I133" s="162"/>
      <c r="J133" s="162"/>
      <c r="K133" s="162"/>
      <c r="L133" s="163"/>
    </row>
    <row r="134" spans="2:12" ht="19.2" customHeight="1" x14ac:dyDescent="0.3">
      <c r="B134" s="161"/>
      <c r="C134" s="162"/>
      <c r="D134" s="163"/>
      <c r="E134" s="162"/>
      <c r="F134" s="162"/>
      <c r="G134" s="162"/>
      <c r="H134" s="162"/>
      <c r="I134" s="162"/>
      <c r="J134" s="162"/>
      <c r="K134" s="162"/>
      <c r="L134" s="163"/>
    </row>
    <row r="135" spans="2:12" ht="19.2" customHeight="1" x14ac:dyDescent="0.3">
      <c r="B135" s="161"/>
      <c r="C135" s="162"/>
      <c r="D135" s="163"/>
      <c r="E135" s="162"/>
      <c r="F135" s="162"/>
      <c r="G135" s="162"/>
      <c r="H135" s="162"/>
      <c r="I135" s="162"/>
      <c r="J135" s="162"/>
      <c r="K135" s="162"/>
      <c r="L135" s="163"/>
    </row>
    <row r="136" spans="2:12" ht="19.2" customHeight="1" x14ac:dyDescent="0.3">
      <c r="B136" s="161"/>
      <c r="C136" s="162"/>
      <c r="D136" s="163"/>
      <c r="E136" s="162"/>
      <c r="F136" s="162"/>
      <c r="G136" s="162"/>
      <c r="H136" s="162"/>
      <c r="I136" s="162"/>
      <c r="J136" s="162"/>
      <c r="K136" s="162"/>
      <c r="L136" s="163"/>
    </row>
    <row r="137" spans="2:12" ht="19.2" customHeight="1" x14ac:dyDescent="0.3">
      <c r="B137" s="161"/>
      <c r="C137" s="162"/>
      <c r="D137" s="163"/>
      <c r="E137" s="162"/>
      <c r="F137" s="162"/>
      <c r="G137" s="162"/>
      <c r="H137" s="162"/>
      <c r="I137" s="162"/>
      <c r="J137" s="162"/>
      <c r="K137" s="162"/>
      <c r="L137" s="163"/>
    </row>
    <row r="138" spans="2:12" ht="19.2" customHeight="1" x14ac:dyDescent="0.3">
      <c r="B138" s="161"/>
      <c r="C138" s="162"/>
      <c r="D138" s="163"/>
      <c r="E138" s="162"/>
      <c r="F138" s="162"/>
      <c r="G138" s="162"/>
      <c r="H138" s="162"/>
      <c r="I138" s="162"/>
      <c r="J138" s="162"/>
      <c r="K138" s="162"/>
      <c r="L138" s="163"/>
    </row>
    <row r="139" spans="2:12" ht="19.2" customHeight="1" x14ac:dyDescent="0.3">
      <c r="B139" s="161"/>
      <c r="C139" s="162"/>
      <c r="D139" s="163"/>
      <c r="E139" s="162"/>
      <c r="F139" s="162"/>
      <c r="G139" s="162"/>
      <c r="H139" s="162"/>
      <c r="I139" s="162"/>
      <c r="J139" s="162"/>
      <c r="K139" s="162"/>
      <c r="L139" s="163"/>
    </row>
    <row r="140" spans="2:12" ht="19.2" customHeight="1" x14ac:dyDescent="0.3">
      <c r="B140" s="161"/>
      <c r="C140" s="162"/>
      <c r="D140" s="163"/>
      <c r="E140" s="162"/>
      <c r="F140" s="162"/>
      <c r="G140" s="162"/>
      <c r="H140" s="162"/>
      <c r="I140" s="162"/>
      <c r="J140" s="162"/>
      <c r="K140" s="162"/>
      <c r="L140" s="163"/>
    </row>
    <row r="141" spans="2:12" ht="19.2" customHeight="1" x14ac:dyDescent="0.3">
      <c r="B141" s="161"/>
      <c r="C141" s="162"/>
      <c r="D141" s="163"/>
      <c r="E141" s="162"/>
      <c r="F141" s="162"/>
      <c r="G141" s="162"/>
      <c r="H141" s="162"/>
      <c r="I141" s="162"/>
      <c r="J141" s="162"/>
      <c r="K141" s="162"/>
      <c r="L141" s="163"/>
    </row>
    <row r="142" spans="2:12" ht="19.2" customHeight="1" x14ac:dyDescent="0.3">
      <c r="B142" s="161"/>
      <c r="C142" s="162"/>
      <c r="D142" s="163"/>
      <c r="E142" s="162"/>
      <c r="F142" s="162"/>
      <c r="G142" s="162"/>
      <c r="H142" s="162"/>
      <c r="I142" s="162"/>
      <c r="J142" s="162"/>
      <c r="K142" s="162"/>
      <c r="L142" s="163"/>
    </row>
    <row r="143" spans="2:12" ht="19.2" customHeight="1" x14ac:dyDescent="0.3">
      <c r="B143" s="161"/>
      <c r="C143" s="162"/>
      <c r="D143" s="163"/>
      <c r="E143" s="162"/>
      <c r="F143" s="162"/>
      <c r="G143" s="162"/>
      <c r="H143" s="162"/>
      <c r="I143" s="162"/>
      <c r="J143" s="162"/>
      <c r="K143" s="162"/>
      <c r="L143" s="163"/>
    </row>
    <row r="144" spans="2:12" ht="19.2" customHeight="1" x14ac:dyDescent="0.3">
      <c r="B144" s="161"/>
      <c r="C144" s="162"/>
      <c r="D144" s="163"/>
      <c r="E144" s="162"/>
      <c r="F144" s="162"/>
      <c r="G144" s="162"/>
      <c r="H144" s="162"/>
      <c r="I144" s="162"/>
      <c r="J144" s="162"/>
      <c r="K144" s="162"/>
      <c r="L144" s="163"/>
    </row>
    <row r="145" spans="2:12" ht="19.2" customHeight="1" x14ac:dyDescent="0.3">
      <c r="B145" s="161"/>
      <c r="C145" s="162"/>
      <c r="D145" s="163"/>
      <c r="E145" s="162"/>
      <c r="F145" s="162"/>
      <c r="G145" s="162"/>
      <c r="H145" s="162"/>
      <c r="I145" s="162"/>
      <c r="J145" s="162"/>
      <c r="K145" s="162"/>
      <c r="L145" s="163"/>
    </row>
    <row r="146" spans="2:12" ht="19.2" customHeight="1" x14ac:dyDescent="0.3">
      <c r="B146" s="161"/>
      <c r="C146" s="162"/>
      <c r="D146" s="163"/>
      <c r="E146" s="162"/>
      <c r="F146" s="162"/>
      <c r="G146" s="162"/>
      <c r="H146" s="162"/>
      <c r="I146" s="162"/>
      <c r="J146" s="162"/>
      <c r="K146" s="162"/>
      <c r="L146" s="163"/>
    </row>
    <row r="147" spans="2:12" ht="19.2" customHeight="1" x14ac:dyDescent="0.3">
      <c r="B147" s="161"/>
      <c r="C147" s="162"/>
      <c r="D147" s="163"/>
      <c r="E147" s="162"/>
      <c r="F147" s="162"/>
      <c r="G147" s="162"/>
      <c r="H147" s="162"/>
      <c r="I147" s="162"/>
      <c r="J147" s="162"/>
      <c r="K147" s="162"/>
      <c r="L147" s="163"/>
    </row>
    <row r="148" spans="2:12" ht="19.2" customHeight="1" x14ac:dyDescent="0.3">
      <c r="B148" s="161"/>
      <c r="C148" s="162"/>
      <c r="D148" s="163"/>
      <c r="E148" s="162"/>
      <c r="F148" s="162"/>
      <c r="G148" s="162"/>
      <c r="H148" s="162"/>
      <c r="I148" s="162"/>
      <c r="J148" s="162"/>
      <c r="K148" s="162"/>
      <c r="L148" s="163"/>
    </row>
    <row r="149" spans="2:12" ht="19.2" customHeight="1" x14ac:dyDescent="0.3">
      <c r="B149" s="161"/>
      <c r="C149" s="162"/>
      <c r="D149" s="163"/>
      <c r="E149" s="162"/>
      <c r="F149" s="162"/>
      <c r="G149" s="162"/>
      <c r="H149" s="162"/>
      <c r="I149" s="162"/>
      <c r="J149" s="162"/>
      <c r="K149" s="162"/>
      <c r="L149" s="163"/>
    </row>
    <row r="150" spans="2:12" ht="19.2" customHeight="1" x14ac:dyDescent="0.3">
      <c r="B150" s="161"/>
      <c r="C150" s="162"/>
      <c r="D150" s="163"/>
      <c r="E150" s="162"/>
      <c r="F150" s="162"/>
      <c r="G150" s="162"/>
      <c r="H150" s="162"/>
      <c r="I150" s="162"/>
      <c r="J150" s="162"/>
      <c r="K150" s="162"/>
      <c r="L150" s="163"/>
    </row>
    <row r="151" spans="2:12" ht="19.2" customHeight="1" x14ac:dyDescent="0.3">
      <c r="B151" s="161"/>
      <c r="C151" s="162"/>
      <c r="D151" s="163"/>
      <c r="E151" s="162"/>
      <c r="F151" s="162"/>
      <c r="G151" s="162"/>
      <c r="H151" s="162"/>
      <c r="I151" s="162"/>
      <c r="J151" s="162"/>
      <c r="K151" s="162"/>
      <c r="L151" s="163"/>
    </row>
    <row r="152" spans="2:12" ht="19.2" customHeight="1" x14ac:dyDescent="0.3">
      <c r="B152" s="161"/>
      <c r="C152" s="162"/>
      <c r="D152" s="163"/>
      <c r="E152" s="162"/>
      <c r="F152" s="162"/>
      <c r="G152" s="162"/>
      <c r="H152" s="162"/>
      <c r="I152" s="162"/>
      <c r="J152" s="162"/>
      <c r="K152" s="162"/>
      <c r="L152" s="163"/>
    </row>
    <row r="153" spans="2:12" ht="19.2" customHeight="1" x14ac:dyDescent="0.3">
      <c r="B153" s="161"/>
      <c r="C153" s="162"/>
      <c r="D153" s="163"/>
      <c r="E153" s="162"/>
      <c r="F153" s="162"/>
      <c r="G153" s="162"/>
      <c r="H153" s="162"/>
      <c r="I153" s="162"/>
      <c r="J153" s="162"/>
      <c r="K153" s="162"/>
      <c r="L153" s="163"/>
    </row>
    <row r="154" spans="2:12" ht="19.2" customHeight="1" x14ac:dyDescent="0.3">
      <c r="B154" s="161"/>
      <c r="C154" s="162"/>
      <c r="D154" s="163"/>
      <c r="E154" s="162"/>
      <c r="F154" s="162"/>
      <c r="G154" s="162"/>
      <c r="H154" s="162"/>
      <c r="I154" s="162"/>
      <c r="J154" s="162"/>
      <c r="K154" s="162"/>
      <c r="L154" s="163"/>
    </row>
    <row r="155" spans="2:12" ht="19.2" customHeight="1" x14ac:dyDescent="0.3">
      <c r="B155" s="161"/>
      <c r="C155" s="162"/>
      <c r="D155" s="163"/>
      <c r="E155" s="162"/>
      <c r="F155" s="162"/>
      <c r="G155" s="162"/>
      <c r="H155" s="162"/>
      <c r="I155" s="162"/>
      <c r="J155" s="162"/>
      <c r="K155" s="162"/>
      <c r="L155" s="163"/>
    </row>
    <row r="156" spans="2:12" ht="19.2" customHeight="1" x14ac:dyDescent="0.3">
      <c r="B156" s="161"/>
      <c r="C156" s="162"/>
      <c r="D156" s="163"/>
      <c r="E156" s="162"/>
      <c r="F156" s="162"/>
      <c r="G156" s="162"/>
      <c r="H156" s="162"/>
      <c r="I156" s="162"/>
      <c r="J156" s="162"/>
      <c r="K156" s="162"/>
      <c r="L156" s="163"/>
    </row>
    <row r="157" spans="2:12" ht="19.2" customHeight="1" x14ac:dyDescent="0.3">
      <c r="B157" s="161"/>
      <c r="C157" s="162"/>
      <c r="D157" s="163"/>
      <c r="E157" s="162"/>
      <c r="F157" s="162"/>
      <c r="G157" s="162"/>
      <c r="H157" s="162"/>
      <c r="I157" s="162"/>
      <c r="J157" s="162"/>
      <c r="K157" s="162"/>
      <c r="L157" s="163"/>
    </row>
    <row r="158" spans="2:12" ht="19.2" customHeight="1" x14ac:dyDescent="0.3">
      <c r="B158" s="161"/>
      <c r="C158" s="162"/>
      <c r="D158" s="163"/>
      <c r="E158" s="162"/>
      <c r="F158" s="162"/>
      <c r="G158" s="162"/>
      <c r="H158" s="162"/>
      <c r="I158" s="162"/>
      <c r="J158" s="162"/>
      <c r="K158" s="162"/>
      <c r="L158" s="163"/>
    </row>
    <row r="159" spans="2:12" ht="19.2" customHeight="1" x14ac:dyDescent="0.3">
      <c r="B159" s="161"/>
      <c r="C159" s="162"/>
      <c r="D159" s="163"/>
      <c r="E159" s="162"/>
      <c r="F159" s="162"/>
      <c r="G159" s="162"/>
      <c r="H159" s="162"/>
      <c r="I159" s="162"/>
      <c r="J159" s="162"/>
      <c r="K159" s="162"/>
      <c r="L159" s="163"/>
    </row>
    <row r="160" spans="2:12" ht="19.2" customHeight="1" x14ac:dyDescent="0.3">
      <c r="B160" s="161"/>
      <c r="C160" s="162"/>
      <c r="D160" s="163"/>
      <c r="E160" s="162"/>
      <c r="F160" s="162"/>
      <c r="G160" s="162"/>
      <c r="H160" s="162"/>
      <c r="I160" s="162"/>
      <c r="J160" s="162"/>
      <c r="K160" s="162"/>
      <c r="L160" s="163"/>
    </row>
    <row r="161" spans="2:12" ht="19.2" customHeight="1" x14ac:dyDescent="0.3">
      <c r="B161" s="161"/>
      <c r="C161" s="162"/>
      <c r="D161" s="163"/>
      <c r="E161" s="162"/>
      <c r="F161" s="162"/>
      <c r="G161" s="162"/>
      <c r="H161" s="162"/>
      <c r="I161" s="162"/>
      <c r="J161" s="162"/>
      <c r="K161" s="162"/>
      <c r="L161" s="163"/>
    </row>
    <row r="162" spans="2:12" ht="19.2" customHeight="1" x14ac:dyDescent="0.3">
      <c r="B162" s="161"/>
      <c r="C162" s="162"/>
      <c r="D162" s="163"/>
      <c r="E162" s="162"/>
      <c r="F162" s="162"/>
      <c r="G162" s="162"/>
      <c r="H162" s="162"/>
      <c r="I162" s="162"/>
      <c r="J162" s="162"/>
      <c r="K162" s="162"/>
      <c r="L162" s="163"/>
    </row>
    <row r="163" spans="2:12" ht="19.2" customHeight="1" x14ac:dyDescent="0.3">
      <c r="B163" s="161"/>
      <c r="C163" s="162"/>
      <c r="D163" s="163"/>
      <c r="E163" s="162"/>
      <c r="F163" s="162"/>
      <c r="G163" s="162"/>
      <c r="H163" s="162"/>
      <c r="I163" s="162"/>
      <c r="J163" s="162"/>
      <c r="K163" s="162"/>
      <c r="L163" s="163"/>
    </row>
    <row r="164" spans="2:12" ht="19.2" customHeight="1" x14ac:dyDescent="0.3">
      <c r="B164" s="161"/>
      <c r="C164" s="162"/>
      <c r="D164" s="163"/>
      <c r="E164" s="162"/>
      <c r="F164" s="162"/>
      <c r="G164" s="162"/>
      <c r="H164" s="162"/>
      <c r="I164" s="162"/>
      <c r="J164" s="162"/>
      <c r="K164" s="162"/>
      <c r="L164" s="163"/>
    </row>
    <row r="165" spans="2:12" ht="19.2" customHeight="1" x14ac:dyDescent="0.3">
      <c r="B165" s="161"/>
      <c r="C165" s="162"/>
      <c r="D165" s="163"/>
      <c r="E165" s="162"/>
      <c r="F165" s="162"/>
      <c r="G165" s="162"/>
      <c r="H165" s="162"/>
      <c r="I165" s="162"/>
      <c r="J165" s="162"/>
      <c r="K165" s="162"/>
      <c r="L165" s="163"/>
    </row>
    <row r="166" spans="2:12" ht="19.2" customHeight="1" x14ac:dyDescent="0.3">
      <c r="B166" s="161"/>
      <c r="C166" s="162"/>
      <c r="D166" s="163"/>
      <c r="E166" s="162"/>
      <c r="F166" s="162"/>
      <c r="G166" s="162"/>
      <c r="H166" s="162"/>
      <c r="I166" s="162"/>
      <c r="J166" s="162"/>
      <c r="K166" s="162"/>
      <c r="L166" s="163"/>
    </row>
    <row r="167" spans="2:12" ht="19.2" customHeight="1" x14ac:dyDescent="0.3">
      <c r="B167" s="161"/>
      <c r="C167" s="162"/>
      <c r="D167" s="163"/>
      <c r="E167" s="162"/>
      <c r="F167" s="162"/>
      <c r="G167" s="162"/>
      <c r="H167" s="162"/>
      <c r="I167" s="162"/>
      <c r="J167" s="162"/>
      <c r="K167" s="162"/>
      <c r="L167" s="163"/>
    </row>
    <row r="168" spans="2:12" ht="19.2" customHeight="1" x14ac:dyDescent="0.3">
      <c r="B168" s="161"/>
      <c r="C168" s="162"/>
      <c r="D168" s="163"/>
      <c r="E168" s="162"/>
      <c r="F168" s="162"/>
      <c r="G168" s="162"/>
      <c r="H168" s="162"/>
      <c r="I168" s="162"/>
      <c r="J168" s="162"/>
      <c r="K168" s="162"/>
      <c r="L168" s="163"/>
    </row>
    <row r="169" spans="2:12" ht="19.2" customHeight="1" x14ac:dyDescent="0.3">
      <c r="B169" s="161"/>
      <c r="C169" s="162"/>
      <c r="D169" s="163"/>
      <c r="E169" s="162"/>
      <c r="F169" s="162"/>
      <c r="G169" s="162"/>
      <c r="H169" s="162"/>
      <c r="I169" s="162"/>
      <c r="J169" s="162"/>
      <c r="K169" s="162"/>
      <c r="L169" s="163"/>
    </row>
    <row r="170" spans="2:12" ht="19.2" customHeight="1" x14ac:dyDescent="0.3">
      <c r="B170" s="161"/>
      <c r="C170" s="162"/>
      <c r="D170" s="163"/>
      <c r="E170" s="162"/>
      <c r="F170" s="162"/>
      <c r="G170" s="162"/>
      <c r="H170" s="162"/>
      <c r="I170" s="162"/>
      <c r="J170" s="162"/>
      <c r="K170" s="162"/>
      <c r="L170" s="163"/>
    </row>
    <row r="171" spans="2:12" ht="19.2" customHeight="1" x14ac:dyDescent="0.3">
      <c r="B171" s="161"/>
      <c r="C171" s="162"/>
      <c r="D171" s="163"/>
      <c r="E171" s="162"/>
      <c r="F171" s="162"/>
      <c r="G171" s="162"/>
      <c r="H171" s="162"/>
      <c r="I171" s="162"/>
      <c r="J171" s="162"/>
      <c r="K171" s="162"/>
      <c r="L171" s="163"/>
    </row>
    <row r="172" spans="2:12" ht="19.2" customHeight="1" x14ac:dyDescent="0.3">
      <c r="B172" s="161"/>
      <c r="C172" s="162"/>
      <c r="D172" s="163"/>
      <c r="E172" s="162"/>
      <c r="F172" s="162"/>
      <c r="G172" s="162"/>
      <c r="H172" s="162"/>
      <c r="I172" s="162"/>
      <c r="J172" s="162"/>
      <c r="K172" s="162"/>
      <c r="L172" s="163"/>
    </row>
    <row r="173" spans="2:12" ht="19.2" customHeight="1" x14ac:dyDescent="0.3">
      <c r="B173" s="161"/>
      <c r="C173" s="162"/>
      <c r="D173" s="163"/>
      <c r="E173" s="162"/>
      <c r="F173" s="162"/>
      <c r="G173" s="162"/>
      <c r="H173" s="162"/>
      <c r="I173" s="162"/>
      <c r="J173" s="162"/>
      <c r="K173" s="162"/>
      <c r="L173" s="163"/>
    </row>
    <row r="174" spans="2:12" ht="19.2" customHeight="1" x14ac:dyDescent="0.3">
      <c r="B174" s="161"/>
      <c r="C174" s="162"/>
      <c r="D174" s="163"/>
      <c r="E174" s="162"/>
      <c r="F174" s="162"/>
      <c r="G174" s="162"/>
      <c r="H174" s="162"/>
      <c r="I174" s="162"/>
      <c r="J174" s="162"/>
      <c r="K174" s="162"/>
      <c r="L174" s="163"/>
    </row>
    <row r="175" spans="2:12" ht="19.2" customHeight="1" x14ac:dyDescent="0.3">
      <c r="B175" s="161"/>
      <c r="C175" s="162"/>
      <c r="D175" s="163"/>
      <c r="E175" s="162"/>
      <c r="F175" s="162"/>
      <c r="G175" s="162"/>
      <c r="H175" s="162"/>
      <c r="I175" s="162"/>
      <c r="J175" s="162"/>
      <c r="K175" s="162"/>
      <c r="L175" s="163"/>
    </row>
    <row r="176" spans="2:12" ht="19.2" customHeight="1" x14ac:dyDescent="0.3">
      <c r="B176" s="161"/>
      <c r="C176" s="162"/>
      <c r="D176" s="163"/>
      <c r="E176" s="162"/>
      <c r="F176" s="162"/>
      <c r="G176" s="162"/>
      <c r="H176" s="162"/>
      <c r="I176" s="162"/>
      <c r="J176" s="162"/>
      <c r="K176" s="162"/>
      <c r="L176" s="163"/>
    </row>
    <row r="177" spans="2:12" ht="19.2" customHeight="1" x14ac:dyDescent="0.3">
      <c r="B177" s="161"/>
      <c r="C177" s="162"/>
      <c r="D177" s="163"/>
      <c r="E177" s="162"/>
      <c r="F177" s="162"/>
      <c r="G177" s="162"/>
      <c r="H177" s="162"/>
      <c r="I177" s="162"/>
      <c r="J177" s="162"/>
      <c r="K177" s="162"/>
      <c r="L177" s="163"/>
    </row>
    <row r="178" spans="2:12" ht="19.2" customHeight="1" x14ac:dyDescent="0.3">
      <c r="B178" s="161"/>
      <c r="C178" s="162"/>
      <c r="D178" s="163"/>
      <c r="E178" s="162"/>
      <c r="F178" s="162"/>
      <c r="G178" s="162"/>
      <c r="H178" s="162"/>
      <c r="I178" s="162"/>
      <c r="J178" s="162"/>
      <c r="K178" s="162"/>
      <c r="L178" s="163"/>
    </row>
    <row r="179" spans="2:12" ht="19.2" customHeight="1" x14ac:dyDescent="0.3">
      <c r="B179" s="161"/>
      <c r="C179" s="162"/>
      <c r="D179" s="163"/>
      <c r="E179" s="162"/>
      <c r="F179" s="162"/>
      <c r="G179" s="162"/>
      <c r="H179" s="162"/>
      <c r="I179" s="162"/>
      <c r="J179" s="162"/>
      <c r="K179" s="162"/>
      <c r="L179" s="163"/>
    </row>
    <row r="180" spans="2:12" ht="19.2" customHeight="1" x14ac:dyDescent="0.3">
      <c r="B180" s="161"/>
      <c r="C180" s="162"/>
      <c r="D180" s="163"/>
      <c r="E180" s="162"/>
      <c r="F180" s="162"/>
      <c r="G180" s="162"/>
      <c r="H180" s="162"/>
      <c r="I180" s="162"/>
      <c r="J180" s="162"/>
      <c r="K180" s="162"/>
      <c r="L180" s="163"/>
    </row>
    <row r="181" spans="2:12" ht="19.2" customHeight="1" x14ac:dyDescent="0.3">
      <c r="B181" s="161"/>
      <c r="C181" s="162"/>
      <c r="D181" s="163"/>
      <c r="E181" s="162"/>
      <c r="F181" s="162"/>
      <c r="G181" s="162"/>
      <c r="H181" s="162"/>
      <c r="I181" s="162"/>
      <c r="J181" s="162"/>
      <c r="K181" s="162"/>
      <c r="L181" s="163"/>
    </row>
    <row r="182" spans="2:12" ht="19.2" customHeight="1" x14ac:dyDescent="0.3">
      <c r="B182" s="161"/>
      <c r="C182" s="162"/>
      <c r="D182" s="163"/>
      <c r="E182" s="162"/>
      <c r="F182" s="162"/>
      <c r="G182" s="162"/>
      <c r="H182" s="162"/>
      <c r="I182" s="162"/>
      <c r="J182" s="162"/>
      <c r="K182" s="162"/>
      <c r="L182" s="163"/>
    </row>
    <row r="183" spans="2:12" ht="19.2" customHeight="1" x14ac:dyDescent="0.3">
      <c r="B183" s="161"/>
      <c r="C183" s="162"/>
      <c r="D183" s="163"/>
      <c r="E183" s="162"/>
      <c r="F183" s="162"/>
      <c r="G183" s="162"/>
      <c r="H183" s="162"/>
      <c r="I183" s="162"/>
      <c r="J183" s="162"/>
      <c r="K183" s="162"/>
      <c r="L183" s="163"/>
    </row>
    <row r="184" spans="2:12" ht="19.2" customHeight="1" x14ac:dyDescent="0.3">
      <c r="B184" s="161"/>
      <c r="C184" s="162"/>
      <c r="D184" s="163"/>
      <c r="E184" s="162"/>
      <c r="F184" s="162"/>
      <c r="G184" s="162"/>
      <c r="H184" s="162"/>
      <c r="I184" s="162"/>
      <c r="J184" s="162"/>
      <c r="K184" s="162"/>
      <c r="L184" s="163"/>
    </row>
    <row r="185" spans="2:12" ht="19.2" customHeight="1" x14ac:dyDescent="0.3">
      <c r="B185" s="161"/>
      <c r="C185" s="162"/>
      <c r="D185" s="163"/>
      <c r="E185" s="162"/>
      <c r="F185" s="162"/>
      <c r="G185" s="162"/>
      <c r="H185" s="162"/>
      <c r="I185" s="162"/>
      <c r="J185" s="162"/>
      <c r="K185" s="162"/>
      <c r="L185" s="163"/>
    </row>
    <row r="186" spans="2:12" ht="19.2" customHeight="1" x14ac:dyDescent="0.3">
      <c r="B186" s="161"/>
      <c r="C186" s="162"/>
      <c r="D186" s="163"/>
      <c r="E186" s="162"/>
      <c r="F186" s="162"/>
      <c r="G186" s="162"/>
      <c r="H186" s="162"/>
      <c r="I186" s="162"/>
      <c r="J186" s="162"/>
      <c r="K186" s="162"/>
      <c r="L186" s="163"/>
    </row>
    <row r="187" spans="2:12" ht="19.2" customHeight="1" x14ac:dyDescent="0.3">
      <c r="B187" s="161"/>
      <c r="C187" s="162"/>
      <c r="D187" s="163"/>
      <c r="E187" s="162"/>
      <c r="F187" s="162"/>
      <c r="G187" s="162"/>
      <c r="H187" s="162"/>
      <c r="I187" s="162"/>
      <c r="J187" s="162"/>
      <c r="K187" s="162"/>
      <c r="L187" s="163"/>
    </row>
    <row r="188" spans="2:12" ht="19.2" customHeight="1" x14ac:dyDescent="0.3">
      <c r="B188" s="161"/>
      <c r="C188" s="162"/>
      <c r="D188" s="163"/>
      <c r="E188" s="162"/>
      <c r="F188" s="162"/>
      <c r="G188" s="162"/>
      <c r="H188" s="162"/>
      <c r="I188" s="162"/>
      <c r="J188" s="162"/>
      <c r="K188" s="162"/>
      <c r="L188" s="163"/>
    </row>
    <row r="189" spans="2:12" ht="19.2" customHeight="1" x14ac:dyDescent="0.3">
      <c r="B189" s="161"/>
      <c r="C189" s="162"/>
      <c r="D189" s="163"/>
      <c r="E189" s="162"/>
      <c r="F189" s="162"/>
      <c r="G189" s="162"/>
      <c r="H189" s="162"/>
      <c r="I189" s="162"/>
      <c r="J189" s="162"/>
      <c r="K189" s="162"/>
      <c r="L189" s="163"/>
    </row>
    <row r="190" spans="2:12" ht="19.2" customHeight="1" x14ac:dyDescent="0.3">
      <c r="B190" s="161"/>
      <c r="C190" s="162"/>
      <c r="D190" s="163"/>
      <c r="E190" s="162"/>
      <c r="F190" s="162"/>
      <c r="G190" s="162"/>
      <c r="H190" s="162"/>
      <c r="I190" s="162"/>
      <c r="J190" s="162"/>
      <c r="K190" s="162"/>
      <c r="L190" s="163"/>
    </row>
    <row r="191" spans="2:12" ht="19.2" customHeight="1" x14ac:dyDescent="0.3">
      <c r="B191" s="161"/>
      <c r="C191" s="162"/>
      <c r="D191" s="163"/>
      <c r="E191" s="162"/>
      <c r="F191" s="162"/>
      <c r="G191" s="162"/>
      <c r="H191" s="162"/>
      <c r="I191" s="162"/>
      <c r="J191" s="162"/>
      <c r="K191" s="162"/>
      <c r="L191" s="163"/>
    </row>
    <row r="192" spans="2:12" ht="19.2" customHeight="1" x14ac:dyDescent="0.3">
      <c r="B192" s="161"/>
      <c r="C192" s="162"/>
      <c r="D192" s="163"/>
      <c r="E192" s="162"/>
      <c r="F192" s="162"/>
      <c r="G192" s="162"/>
      <c r="H192" s="162"/>
      <c r="I192" s="162"/>
      <c r="J192" s="162"/>
      <c r="K192" s="162"/>
      <c r="L192" s="163"/>
    </row>
    <row r="193" spans="2:12" ht="19.2" customHeight="1" x14ac:dyDescent="0.3">
      <c r="B193" s="161"/>
      <c r="C193" s="162"/>
      <c r="D193" s="163"/>
      <c r="E193" s="162"/>
      <c r="F193" s="162"/>
      <c r="G193" s="162"/>
      <c r="H193" s="162"/>
      <c r="I193" s="162"/>
      <c r="J193" s="162"/>
      <c r="K193" s="162"/>
      <c r="L193" s="163"/>
    </row>
    <row r="194" spans="2:12" ht="19.2" customHeight="1" x14ac:dyDescent="0.3">
      <c r="B194" s="161"/>
      <c r="C194" s="162"/>
      <c r="D194" s="163"/>
      <c r="E194" s="162"/>
      <c r="F194" s="162"/>
      <c r="G194" s="162"/>
      <c r="H194" s="162"/>
      <c r="I194" s="162"/>
      <c r="J194" s="162"/>
      <c r="K194" s="162"/>
      <c r="L194" s="163"/>
    </row>
    <row r="195" spans="2:12" ht="19.2" customHeight="1" x14ac:dyDescent="0.3">
      <c r="B195" s="161"/>
      <c r="C195" s="162"/>
      <c r="D195" s="163"/>
      <c r="E195" s="162"/>
      <c r="F195" s="162"/>
      <c r="G195" s="162"/>
      <c r="H195" s="162"/>
      <c r="I195" s="162"/>
      <c r="J195" s="162"/>
      <c r="K195" s="162"/>
      <c r="L195" s="163"/>
    </row>
    <row r="196" spans="2:12" ht="19.2" customHeight="1" x14ac:dyDescent="0.3">
      <c r="B196" s="161"/>
      <c r="C196" s="162"/>
      <c r="D196" s="163"/>
      <c r="E196" s="162"/>
      <c r="F196" s="162"/>
      <c r="G196" s="162"/>
      <c r="H196" s="162"/>
      <c r="I196" s="162"/>
      <c r="J196" s="162"/>
      <c r="K196" s="162"/>
      <c r="L196" s="163"/>
    </row>
    <row r="197" spans="2:12" ht="19.2" customHeight="1" x14ac:dyDescent="0.3">
      <c r="B197" s="161"/>
      <c r="C197" s="162"/>
      <c r="D197" s="163"/>
      <c r="E197" s="162"/>
      <c r="F197" s="162"/>
      <c r="G197" s="162"/>
      <c r="H197" s="162"/>
      <c r="I197" s="162"/>
      <c r="J197" s="162"/>
      <c r="K197" s="162"/>
      <c r="L197" s="163"/>
    </row>
    <row r="198" spans="2:12" ht="19.2" customHeight="1" x14ac:dyDescent="0.3">
      <c r="B198" s="161"/>
      <c r="C198" s="162"/>
      <c r="D198" s="163"/>
      <c r="E198" s="162"/>
      <c r="F198" s="162"/>
      <c r="G198" s="162"/>
      <c r="H198" s="162"/>
      <c r="I198" s="162"/>
      <c r="J198" s="162"/>
      <c r="K198" s="162"/>
      <c r="L198" s="163"/>
    </row>
    <row r="199" spans="2:12" ht="19.2" customHeight="1" x14ac:dyDescent="0.3">
      <c r="B199" s="161"/>
      <c r="C199" s="162"/>
      <c r="D199" s="163"/>
      <c r="E199" s="162"/>
      <c r="F199" s="162"/>
      <c r="G199" s="162"/>
      <c r="H199" s="162"/>
      <c r="I199" s="162"/>
      <c r="J199" s="162"/>
      <c r="K199" s="162"/>
      <c r="L199" s="163"/>
    </row>
    <row r="200" spans="2:12" ht="19.2" customHeight="1" x14ac:dyDescent="0.3">
      <c r="B200" s="161"/>
      <c r="C200" s="162"/>
      <c r="D200" s="163"/>
      <c r="E200" s="162"/>
      <c r="F200" s="162"/>
      <c r="G200" s="162"/>
      <c r="H200" s="162"/>
      <c r="I200" s="162"/>
      <c r="J200" s="162"/>
      <c r="K200" s="162"/>
      <c r="L200" s="163"/>
    </row>
    <row r="201" spans="2:12" ht="19.2" customHeight="1" x14ac:dyDescent="0.3">
      <c r="B201" s="161"/>
      <c r="C201" s="162"/>
      <c r="D201" s="163"/>
      <c r="E201" s="162"/>
      <c r="F201" s="162"/>
      <c r="G201" s="162"/>
      <c r="H201" s="162"/>
      <c r="I201" s="162"/>
      <c r="J201" s="162"/>
      <c r="K201" s="162"/>
      <c r="L201" s="163"/>
    </row>
    <row r="202" spans="2:12" ht="19.2" customHeight="1" x14ac:dyDescent="0.3">
      <c r="B202" s="161"/>
      <c r="C202" s="162"/>
      <c r="D202" s="163"/>
      <c r="E202" s="162"/>
      <c r="F202" s="162"/>
      <c r="G202" s="162"/>
      <c r="H202" s="162"/>
      <c r="I202" s="162"/>
      <c r="J202" s="162"/>
      <c r="K202" s="162"/>
      <c r="L202" s="163"/>
    </row>
    <row r="203" spans="2:12" ht="19.2" customHeight="1" x14ac:dyDescent="0.3">
      <c r="B203" s="161"/>
      <c r="C203" s="162"/>
      <c r="D203" s="163"/>
      <c r="E203" s="162"/>
      <c r="F203" s="162"/>
      <c r="G203" s="162"/>
      <c r="H203" s="162"/>
      <c r="I203" s="162"/>
      <c r="J203" s="162"/>
      <c r="K203" s="162"/>
      <c r="L203" s="163"/>
    </row>
    <row r="204" spans="2:12" ht="19.2" customHeight="1" x14ac:dyDescent="0.3">
      <c r="B204" s="161"/>
      <c r="C204" s="162"/>
      <c r="D204" s="163"/>
      <c r="E204" s="162"/>
      <c r="F204" s="162"/>
      <c r="G204" s="162"/>
      <c r="H204" s="162"/>
      <c r="I204" s="162"/>
      <c r="J204" s="162"/>
      <c r="K204" s="162"/>
      <c r="L204" s="163"/>
    </row>
    <row r="205" spans="2:12" ht="19.2" customHeight="1" x14ac:dyDescent="0.3">
      <c r="B205" s="161"/>
      <c r="C205" s="162"/>
      <c r="D205" s="163"/>
      <c r="E205" s="162"/>
      <c r="F205" s="162"/>
      <c r="G205" s="162"/>
      <c r="H205" s="162"/>
      <c r="I205" s="162"/>
      <c r="J205" s="162"/>
      <c r="K205" s="162"/>
      <c r="L205" s="163"/>
    </row>
    <row r="206" spans="2:12" ht="19.2" customHeight="1" x14ac:dyDescent="0.3">
      <c r="B206" s="161"/>
      <c r="C206" s="162"/>
      <c r="D206" s="163"/>
      <c r="E206" s="162"/>
      <c r="F206" s="162"/>
      <c r="G206" s="162"/>
      <c r="H206" s="162"/>
      <c r="I206" s="162"/>
      <c r="J206" s="162"/>
      <c r="K206" s="162"/>
      <c r="L206" s="163"/>
    </row>
    <row r="207" spans="2:12" ht="19.2" customHeight="1" x14ac:dyDescent="0.3">
      <c r="B207" s="161"/>
      <c r="C207" s="162"/>
      <c r="D207" s="163"/>
      <c r="E207" s="162"/>
      <c r="F207" s="162"/>
      <c r="G207" s="162"/>
      <c r="H207" s="162"/>
      <c r="I207" s="162"/>
      <c r="J207" s="162"/>
      <c r="K207" s="162"/>
      <c r="L207" s="163"/>
    </row>
    <row r="208" spans="2:12" ht="19.2" customHeight="1" x14ac:dyDescent="0.3">
      <c r="B208" s="161"/>
      <c r="C208" s="162"/>
      <c r="D208" s="163"/>
      <c r="E208" s="162"/>
      <c r="F208" s="162"/>
      <c r="G208" s="162"/>
      <c r="H208" s="162"/>
      <c r="I208" s="162"/>
      <c r="J208" s="162"/>
      <c r="K208" s="162"/>
      <c r="L208" s="163"/>
    </row>
    <row r="209" spans="2:12" ht="19.2" customHeight="1" x14ac:dyDescent="0.3">
      <c r="B209" s="161"/>
      <c r="C209" s="162"/>
      <c r="D209" s="163"/>
      <c r="E209" s="162"/>
      <c r="F209" s="162"/>
      <c r="G209" s="162"/>
      <c r="H209" s="162"/>
      <c r="I209" s="162"/>
      <c r="J209" s="162"/>
      <c r="K209" s="162"/>
      <c r="L209" s="163"/>
    </row>
    <row r="210" spans="2:12" ht="19.2" customHeight="1" x14ac:dyDescent="0.3">
      <c r="B210" s="161"/>
      <c r="C210" s="162"/>
      <c r="D210" s="163"/>
      <c r="E210" s="162"/>
      <c r="F210" s="162"/>
      <c r="G210" s="162"/>
      <c r="H210" s="162"/>
      <c r="I210" s="162"/>
      <c r="J210" s="162"/>
      <c r="K210" s="162"/>
      <c r="L210" s="163"/>
    </row>
    <row r="211" spans="2:12" ht="19.2" customHeight="1" x14ac:dyDescent="0.3">
      <c r="B211" s="161"/>
      <c r="C211" s="162"/>
      <c r="D211" s="163"/>
      <c r="E211" s="162"/>
      <c r="F211" s="162"/>
      <c r="G211" s="162"/>
      <c r="H211" s="162"/>
      <c r="I211" s="162"/>
      <c r="J211" s="162"/>
      <c r="K211" s="162"/>
      <c r="L211" s="163"/>
    </row>
    <row r="212" spans="2:12" ht="19.2" customHeight="1" x14ac:dyDescent="0.3">
      <c r="B212" s="161"/>
      <c r="C212" s="162"/>
      <c r="D212" s="163"/>
      <c r="E212" s="162"/>
      <c r="F212" s="162"/>
      <c r="G212" s="162"/>
      <c r="H212" s="162"/>
      <c r="I212" s="162"/>
      <c r="J212" s="162"/>
      <c r="K212" s="162"/>
      <c r="L212" s="163"/>
    </row>
    <row r="213" spans="2:12" ht="19.2" customHeight="1" x14ac:dyDescent="0.3">
      <c r="B213" s="161"/>
      <c r="C213" s="162"/>
      <c r="D213" s="163"/>
      <c r="E213" s="162"/>
      <c r="F213" s="162"/>
      <c r="G213" s="162"/>
      <c r="H213" s="162"/>
      <c r="I213" s="162"/>
      <c r="J213" s="162"/>
      <c r="K213" s="162"/>
      <c r="L213" s="163"/>
    </row>
    <row r="214" spans="2:12" ht="19.2" customHeight="1" x14ac:dyDescent="0.3">
      <c r="B214" s="161"/>
      <c r="C214" s="162"/>
      <c r="D214" s="163"/>
      <c r="E214" s="162"/>
      <c r="F214" s="162"/>
      <c r="G214" s="162"/>
      <c r="H214" s="162"/>
      <c r="I214" s="162"/>
      <c r="J214" s="162"/>
      <c r="K214" s="162"/>
      <c r="L214" s="163"/>
    </row>
    <row r="215" spans="2:12" ht="19.2" customHeight="1" x14ac:dyDescent="0.3">
      <c r="B215" s="161"/>
      <c r="C215" s="162"/>
      <c r="D215" s="163"/>
      <c r="E215" s="162"/>
      <c r="F215" s="162"/>
      <c r="G215" s="162"/>
      <c r="H215" s="162"/>
      <c r="I215" s="162"/>
      <c r="J215" s="162"/>
      <c r="K215" s="162"/>
      <c r="L215" s="163"/>
    </row>
    <row r="216" spans="2:12" ht="19.2" customHeight="1" x14ac:dyDescent="0.3">
      <c r="B216" s="161"/>
      <c r="C216" s="162"/>
      <c r="D216" s="163"/>
      <c r="E216" s="162"/>
      <c r="F216" s="162"/>
      <c r="G216" s="162"/>
      <c r="H216" s="162"/>
      <c r="I216" s="162"/>
      <c r="J216" s="162"/>
      <c r="K216" s="162"/>
      <c r="L216" s="163"/>
    </row>
    <row r="217" spans="2:12" ht="19.2" customHeight="1" x14ac:dyDescent="0.3">
      <c r="B217" s="161"/>
      <c r="C217" s="162"/>
      <c r="D217" s="163"/>
      <c r="E217" s="162"/>
      <c r="F217" s="162"/>
      <c r="G217" s="162"/>
      <c r="H217" s="162"/>
      <c r="I217" s="162"/>
      <c r="J217" s="162"/>
      <c r="K217" s="162"/>
      <c r="L217" s="163"/>
    </row>
    <row r="218" spans="2:12" ht="19.2" customHeight="1" x14ac:dyDescent="0.3">
      <c r="B218" s="161"/>
      <c r="C218" s="162"/>
      <c r="D218" s="163"/>
      <c r="E218" s="162"/>
      <c r="F218" s="162"/>
      <c r="G218" s="162"/>
      <c r="H218" s="162"/>
      <c r="I218" s="162"/>
      <c r="J218" s="162"/>
      <c r="K218" s="162"/>
      <c r="L218" s="163"/>
    </row>
    <row r="219" spans="2:12" ht="19.2" customHeight="1" x14ac:dyDescent="0.3">
      <c r="B219" s="161"/>
      <c r="C219" s="162"/>
      <c r="D219" s="163"/>
      <c r="E219" s="162"/>
      <c r="F219" s="162"/>
      <c r="G219" s="162"/>
      <c r="H219" s="162"/>
      <c r="I219" s="162"/>
      <c r="J219" s="162"/>
      <c r="K219" s="162"/>
      <c r="L219" s="163"/>
    </row>
    <row r="220" spans="2:12" ht="19.2" customHeight="1" x14ac:dyDescent="0.3">
      <c r="B220" s="161"/>
      <c r="C220" s="162"/>
      <c r="D220" s="163"/>
      <c r="E220" s="162"/>
      <c r="F220" s="162"/>
      <c r="G220" s="162"/>
      <c r="H220" s="162"/>
      <c r="I220" s="162"/>
      <c r="J220" s="162"/>
      <c r="K220" s="162"/>
      <c r="L220" s="163"/>
    </row>
    <row r="221" spans="2:12" ht="19.2" customHeight="1" x14ac:dyDescent="0.3">
      <c r="B221" s="161"/>
      <c r="C221" s="162"/>
      <c r="D221" s="163"/>
      <c r="E221" s="162"/>
      <c r="F221" s="162"/>
      <c r="G221" s="162"/>
      <c r="H221" s="162"/>
      <c r="I221" s="162"/>
      <c r="J221" s="162"/>
      <c r="K221" s="162"/>
      <c r="L221" s="163"/>
    </row>
    <row r="222" spans="2:12" ht="19.2" customHeight="1" x14ac:dyDescent="0.3">
      <c r="B222" s="161"/>
      <c r="C222" s="162"/>
      <c r="D222" s="163"/>
      <c r="E222" s="162"/>
      <c r="F222" s="162"/>
      <c r="G222" s="162"/>
      <c r="H222" s="162"/>
      <c r="I222" s="162"/>
      <c r="J222" s="162"/>
      <c r="K222" s="162"/>
      <c r="L222" s="163"/>
    </row>
    <row r="223" spans="2:12" ht="19.2" customHeight="1" x14ac:dyDescent="0.3">
      <c r="B223" s="161"/>
      <c r="C223" s="162"/>
      <c r="D223" s="163"/>
      <c r="E223" s="162"/>
      <c r="F223" s="162"/>
      <c r="G223" s="162"/>
      <c r="H223" s="162"/>
      <c r="I223" s="162"/>
      <c r="J223" s="162"/>
      <c r="K223" s="162"/>
      <c r="L223" s="163"/>
    </row>
    <row r="224" spans="2:12" ht="19.2" customHeight="1" x14ac:dyDescent="0.3">
      <c r="B224" s="161"/>
      <c r="C224" s="162"/>
      <c r="D224" s="163"/>
      <c r="E224" s="162"/>
      <c r="F224" s="162"/>
      <c r="G224" s="162"/>
      <c r="H224" s="162"/>
      <c r="I224" s="162"/>
      <c r="J224" s="162"/>
      <c r="K224" s="162"/>
      <c r="L224" s="163"/>
    </row>
    <row r="225" spans="2:12" ht="19.2" customHeight="1" x14ac:dyDescent="0.3">
      <c r="B225" s="161"/>
      <c r="C225" s="162"/>
      <c r="D225" s="163"/>
      <c r="E225" s="162"/>
      <c r="F225" s="162"/>
      <c r="G225" s="162"/>
      <c r="H225" s="162"/>
      <c r="I225" s="162"/>
      <c r="J225" s="162"/>
      <c r="K225" s="162"/>
      <c r="L225" s="163"/>
    </row>
    <row r="226" spans="2:12" ht="19.2" customHeight="1" x14ac:dyDescent="0.3">
      <c r="B226" s="161"/>
      <c r="C226" s="162"/>
      <c r="D226" s="163"/>
      <c r="E226" s="162"/>
      <c r="F226" s="162"/>
      <c r="G226" s="162"/>
      <c r="H226" s="162"/>
      <c r="I226" s="162"/>
      <c r="J226" s="162"/>
      <c r="K226" s="162"/>
      <c r="L226" s="163"/>
    </row>
    <row r="227" spans="2:12" ht="19.2" customHeight="1" x14ac:dyDescent="0.3">
      <c r="B227" s="161"/>
      <c r="C227" s="162"/>
      <c r="D227" s="163"/>
      <c r="E227" s="162"/>
      <c r="F227" s="162"/>
      <c r="G227" s="162"/>
      <c r="H227" s="162"/>
      <c r="I227" s="162"/>
      <c r="J227" s="162"/>
      <c r="K227" s="162"/>
      <c r="L227" s="163"/>
    </row>
    <row r="228" spans="2:12" ht="19.2" customHeight="1" x14ac:dyDescent="0.3">
      <c r="B228" s="161"/>
      <c r="C228" s="162"/>
      <c r="D228" s="163"/>
      <c r="E228" s="162"/>
      <c r="F228" s="162"/>
      <c r="G228" s="162"/>
      <c r="H228" s="162"/>
      <c r="I228" s="162"/>
      <c r="J228" s="162"/>
      <c r="K228" s="162"/>
      <c r="L228" s="163"/>
    </row>
    <row r="229" spans="2:12" ht="19.2" customHeight="1" x14ac:dyDescent="0.3">
      <c r="B229" s="161"/>
      <c r="C229" s="162"/>
      <c r="D229" s="163"/>
      <c r="E229" s="162"/>
      <c r="F229" s="162"/>
      <c r="G229" s="162"/>
      <c r="H229" s="162"/>
      <c r="I229" s="162"/>
      <c r="J229" s="162"/>
      <c r="K229" s="162"/>
      <c r="L229" s="163"/>
    </row>
    <row r="230" spans="2:12" ht="19.2" customHeight="1" x14ac:dyDescent="0.3">
      <c r="B230" s="161"/>
      <c r="C230" s="162"/>
      <c r="D230" s="163"/>
      <c r="E230" s="162"/>
      <c r="F230" s="162"/>
      <c r="G230" s="162"/>
      <c r="H230" s="162"/>
      <c r="I230" s="162"/>
      <c r="J230" s="162"/>
      <c r="K230" s="162"/>
      <c r="L230" s="163"/>
    </row>
    <row r="231" spans="2:12" ht="19.2" customHeight="1" x14ac:dyDescent="0.3">
      <c r="B231" s="161"/>
      <c r="C231" s="162"/>
      <c r="D231" s="163"/>
      <c r="E231" s="162"/>
      <c r="F231" s="162"/>
      <c r="G231" s="162"/>
      <c r="H231" s="162"/>
      <c r="I231" s="162"/>
      <c r="J231" s="162"/>
      <c r="K231" s="162"/>
      <c r="L231" s="163"/>
    </row>
    <row r="232" spans="2:12" ht="19.2" customHeight="1" x14ac:dyDescent="0.3">
      <c r="B232" s="161"/>
      <c r="C232" s="162"/>
      <c r="D232" s="163"/>
      <c r="E232" s="162"/>
      <c r="F232" s="162"/>
      <c r="G232" s="162"/>
      <c r="H232" s="162"/>
      <c r="I232" s="162"/>
      <c r="J232" s="162"/>
      <c r="K232" s="162"/>
      <c r="L232" s="163"/>
    </row>
    <row r="233" spans="2:12" ht="19.2" customHeight="1" x14ac:dyDescent="0.3">
      <c r="B233" s="161"/>
      <c r="C233" s="162"/>
      <c r="D233" s="163"/>
      <c r="E233" s="162"/>
      <c r="F233" s="162"/>
      <c r="G233" s="162"/>
      <c r="H233" s="162"/>
      <c r="I233" s="162"/>
      <c r="J233" s="162"/>
      <c r="K233" s="162"/>
      <c r="L233" s="163"/>
    </row>
    <row r="234" spans="2:12" ht="19.2" customHeight="1" x14ac:dyDescent="0.3">
      <c r="B234" s="161"/>
      <c r="C234" s="162"/>
      <c r="D234" s="163"/>
      <c r="E234" s="162"/>
      <c r="F234" s="162"/>
      <c r="G234" s="162"/>
      <c r="H234" s="162"/>
      <c r="I234" s="162"/>
      <c r="J234" s="162"/>
      <c r="K234" s="162"/>
      <c r="L234" s="163"/>
    </row>
    <row r="235" spans="2:12" ht="19.2" customHeight="1" x14ac:dyDescent="0.3">
      <c r="B235" s="161"/>
      <c r="C235" s="162"/>
      <c r="D235" s="163"/>
      <c r="E235" s="162"/>
      <c r="F235" s="162"/>
      <c r="G235" s="162"/>
      <c r="H235" s="162"/>
      <c r="I235" s="162"/>
      <c r="J235" s="162"/>
      <c r="K235" s="162"/>
      <c r="L235" s="163"/>
    </row>
    <row r="236" spans="2:12" ht="19.2" customHeight="1" x14ac:dyDescent="0.3">
      <c r="B236" s="161"/>
      <c r="C236" s="162"/>
      <c r="D236" s="163"/>
      <c r="E236" s="162"/>
      <c r="F236" s="162"/>
      <c r="G236" s="162"/>
      <c r="H236" s="162"/>
      <c r="I236" s="162"/>
      <c r="J236" s="162"/>
      <c r="K236" s="162"/>
      <c r="L236" s="163"/>
    </row>
    <row r="237" spans="2:12" ht="19.2" customHeight="1" x14ac:dyDescent="0.3">
      <c r="B237" s="161"/>
      <c r="C237" s="162"/>
      <c r="D237" s="163"/>
      <c r="E237" s="162"/>
      <c r="F237" s="162"/>
      <c r="G237" s="162"/>
      <c r="H237" s="162"/>
      <c r="I237" s="162"/>
      <c r="J237" s="162"/>
      <c r="K237" s="162"/>
      <c r="L237" s="163"/>
    </row>
    <row r="238" spans="2:12" ht="19.2" customHeight="1" x14ac:dyDescent="0.3">
      <c r="B238" s="161"/>
      <c r="C238" s="162"/>
      <c r="D238" s="163"/>
      <c r="E238" s="162"/>
      <c r="F238" s="162"/>
      <c r="G238" s="162"/>
      <c r="H238" s="162"/>
      <c r="I238" s="162"/>
      <c r="J238" s="162"/>
      <c r="K238" s="162"/>
      <c r="L238" s="163"/>
    </row>
    <row r="239" spans="2:12" ht="19.2" customHeight="1" x14ac:dyDescent="0.3">
      <c r="B239" s="161"/>
      <c r="C239" s="162"/>
      <c r="D239" s="163"/>
      <c r="E239" s="162"/>
      <c r="F239" s="162"/>
      <c r="G239" s="162"/>
      <c r="H239" s="162"/>
      <c r="I239" s="162"/>
      <c r="J239" s="162"/>
      <c r="K239" s="162"/>
      <c r="L239" s="163"/>
    </row>
    <row r="240" spans="2:12" ht="19.2" customHeight="1" x14ac:dyDescent="0.3">
      <c r="B240" s="161"/>
      <c r="C240" s="162"/>
      <c r="D240" s="163"/>
      <c r="E240" s="162"/>
      <c r="F240" s="162"/>
      <c r="G240" s="162"/>
      <c r="H240" s="162"/>
      <c r="I240" s="162"/>
      <c r="J240" s="162"/>
      <c r="K240" s="162"/>
      <c r="L240" s="163"/>
    </row>
    <row r="241" spans="2:12" ht="19.2" customHeight="1" x14ac:dyDescent="0.3">
      <c r="B241" s="161"/>
      <c r="C241" s="162"/>
      <c r="D241" s="163"/>
      <c r="E241" s="162"/>
      <c r="F241" s="162"/>
      <c r="G241" s="162"/>
      <c r="H241" s="162"/>
      <c r="I241" s="162"/>
      <c r="J241" s="162"/>
      <c r="K241" s="162"/>
      <c r="L241" s="163"/>
    </row>
    <row r="242" spans="2:12" ht="19.2" customHeight="1" x14ac:dyDescent="0.3">
      <c r="B242" s="161"/>
      <c r="C242" s="162"/>
      <c r="D242" s="163"/>
      <c r="E242" s="162"/>
      <c r="F242" s="162"/>
      <c r="G242" s="162"/>
      <c r="H242" s="162"/>
      <c r="I242" s="162"/>
      <c r="J242" s="162"/>
      <c r="K242" s="162"/>
      <c r="L242" s="163"/>
    </row>
    <row r="243" spans="2:12" ht="19.2" customHeight="1" x14ac:dyDescent="0.3">
      <c r="B243" s="161"/>
      <c r="C243" s="162"/>
      <c r="D243" s="163"/>
      <c r="E243" s="162"/>
      <c r="F243" s="162"/>
      <c r="G243" s="162"/>
      <c r="H243" s="162"/>
      <c r="I243" s="162"/>
      <c r="J243" s="162"/>
      <c r="K243" s="162"/>
      <c r="L243" s="163"/>
    </row>
    <row r="244" spans="2:12" ht="19.2" customHeight="1" x14ac:dyDescent="0.3">
      <c r="B244" s="161"/>
      <c r="C244" s="162"/>
      <c r="D244" s="163"/>
      <c r="E244" s="162"/>
      <c r="F244" s="162"/>
      <c r="G244" s="162"/>
      <c r="H244" s="162"/>
      <c r="I244" s="162"/>
      <c r="J244" s="162"/>
      <c r="K244" s="162"/>
      <c r="L244" s="163"/>
    </row>
    <row r="245" spans="2:12" ht="19.2" customHeight="1" x14ac:dyDescent="0.3">
      <c r="B245" s="161"/>
      <c r="C245" s="162"/>
      <c r="D245" s="163"/>
      <c r="E245" s="162"/>
      <c r="F245" s="162"/>
      <c r="G245" s="162"/>
      <c r="H245" s="162"/>
      <c r="I245" s="162"/>
      <c r="J245" s="162"/>
      <c r="K245" s="162"/>
      <c r="L245" s="163"/>
    </row>
    <row r="246" spans="2:12" ht="19.2" customHeight="1" x14ac:dyDescent="0.3">
      <c r="B246" s="161"/>
      <c r="C246" s="162"/>
      <c r="D246" s="163"/>
      <c r="E246" s="162"/>
      <c r="F246" s="162"/>
      <c r="G246" s="162"/>
      <c r="H246" s="162"/>
      <c r="I246" s="162"/>
      <c r="J246" s="162"/>
      <c r="K246" s="162"/>
      <c r="L246" s="163"/>
    </row>
    <row r="247" spans="2:12" ht="19.2" customHeight="1" x14ac:dyDescent="0.3">
      <c r="B247" s="161"/>
      <c r="C247" s="162"/>
      <c r="D247" s="163"/>
      <c r="E247" s="162"/>
      <c r="F247" s="162"/>
      <c r="G247" s="162"/>
      <c r="H247" s="162"/>
      <c r="I247" s="162"/>
      <c r="J247" s="162"/>
      <c r="K247" s="162"/>
      <c r="L247" s="163"/>
    </row>
    <row r="248" spans="2:12" ht="19.2" customHeight="1" x14ac:dyDescent="0.3">
      <c r="B248" s="161"/>
      <c r="C248" s="162"/>
      <c r="D248" s="163"/>
      <c r="E248" s="162"/>
      <c r="F248" s="162"/>
      <c r="G248" s="162"/>
      <c r="H248" s="162"/>
      <c r="I248" s="162"/>
      <c r="J248" s="162"/>
      <c r="K248" s="162"/>
      <c r="L248" s="163"/>
    </row>
    <row r="249" spans="2:12" ht="19.2" customHeight="1" x14ac:dyDescent="0.3">
      <c r="B249" s="161"/>
      <c r="C249" s="162"/>
      <c r="D249" s="163"/>
      <c r="E249" s="162"/>
      <c r="F249" s="162"/>
      <c r="G249" s="162"/>
      <c r="H249" s="162"/>
      <c r="I249" s="162"/>
      <c r="J249" s="162"/>
      <c r="K249" s="162"/>
      <c r="L249" s="163"/>
    </row>
    <row r="250" spans="2:12" ht="19.2" customHeight="1" x14ac:dyDescent="0.3">
      <c r="B250" s="161"/>
      <c r="C250" s="162"/>
      <c r="D250" s="163"/>
      <c r="E250" s="162"/>
      <c r="F250" s="162"/>
      <c r="G250" s="162"/>
      <c r="H250" s="162"/>
      <c r="I250" s="162"/>
      <c r="J250" s="162"/>
      <c r="K250" s="162"/>
      <c r="L250" s="163"/>
    </row>
    <row r="251" spans="2:12" ht="19.2" customHeight="1" x14ac:dyDescent="0.3">
      <c r="B251" s="161"/>
      <c r="C251" s="162"/>
      <c r="D251" s="163"/>
      <c r="E251" s="162"/>
      <c r="F251" s="162"/>
      <c r="G251" s="162"/>
      <c r="H251" s="162"/>
      <c r="I251" s="162"/>
      <c r="J251" s="162"/>
      <c r="K251" s="162"/>
      <c r="L251" s="163"/>
    </row>
    <row r="252" spans="2:12" ht="19.2" customHeight="1" x14ac:dyDescent="0.3">
      <c r="B252" s="161"/>
      <c r="C252" s="162"/>
      <c r="D252" s="163"/>
      <c r="E252" s="162"/>
      <c r="F252" s="162"/>
      <c r="G252" s="162"/>
      <c r="H252" s="162"/>
      <c r="I252" s="162"/>
      <c r="J252" s="162"/>
      <c r="K252" s="162"/>
      <c r="L252" s="163"/>
    </row>
    <row r="253" spans="2:12" ht="19.2" customHeight="1" x14ac:dyDescent="0.3">
      <c r="B253" s="161"/>
      <c r="C253" s="162"/>
      <c r="D253" s="163"/>
      <c r="E253" s="162"/>
      <c r="F253" s="162"/>
      <c r="G253" s="162"/>
      <c r="H253" s="162"/>
      <c r="I253" s="162"/>
      <c r="J253" s="162"/>
      <c r="K253" s="162"/>
      <c r="L253" s="163"/>
    </row>
    <row r="254" spans="2:12" ht="19.2" customHeight="1" x14ac:dyDescent="0.3">
      <c r="B254" s="161"/>
      <c r="C254" s="162"/>
      <c r="D254" s="163"/>
      <c r="E254" s="162"/>
      <c r="F254" s="162"/>
      <c r="G254" s="162"/>
      <c r="H254" s="162"/>
      <c r="I254" s="162"/>
      <c r="J254" s="162"/>
      <c r="K254" s="162"/>
      <c r="L254" s="163"/>
    </row>
    <row r="255" spans="2:12" ht="19.2" customHeight="1" x14ac:dyDescent="0.3">
      <c r="B255" s="161"/>
      <c r="C255" s="162"/>
      <c r="D255" s="163"/>
      <c r="E255" s="162"/>
      <c r="F255" s="162"/>
      <c r="G255" s="162"/>
      <c r="H255" s="162"/>
      <c r="I255" s="162"/>
      <c r="J255" s="162"/>
      <c r="K255" s="162"/>
      <c r="L255" s="163"/>
    </row>
    <row r="256" spans="2:12" ht="19.2" customHeight="1" x14ac:dyDescent="0.3">
      <c r="B256" s="161"/>
      <c r="C256" s="162"/>
      <c r="D256" s="163"/>
      <c r="E256" s="162"/>
      <c r="F256" s="162"/>
      <c r="G256" s="162"/>
      <c r="H256" s="162"/>
      <c r="I256" s="162"/>
      <c r="J256" s="162"/>
      <c r="K256" s="162"/>
      <c r="L256" s="163"/>
    </row>
    <row r="257" spans="2:12" ht="19.2" customHeight="1" x14ac:dyDescent="0.3">
      <c r="B257" s="161"/>
      <c r="C257" s="162"/>
      <c r="D257" s="163"/>
      <c r="E257" s="162"/>
      <c r="F257" s="162"/>
      <c r="G257" s="162"/>
      <c r="H257" s="162"/>
      <c r="I257" s="162"/>
      <c r="J257" s="162"/>
      <c r="K257" s="162"/>
      <c r="L257" s="163"/>
    </row>
    <row r="258" spans="2:12" ht="19.2" customHeight="1" x14ac:dyDescent="0.3">
      <c r="B258" s="161"/>
      <c r="C258" s="162"/>
      <c r="D258" s="163"/>
      <c r="E258" s="162"/>
      <c r="F258" s="162"/>
      <c r="G258" s="162"/>
      <c r="H258" s="162"/>
      <c r="I258" s="162"/>
      <c r="J258" s="162"/>
      <c r="K258" s="162"/>
      <c r="L258" s="163"/>
    </row>
    <row r="259" spans="2:12" ht="19.2" customHeight="1" x14ac:dyDescent="0.3">
      <c r="B259" s="161"/>
      <c r="C259" s="162"/>
      <c r="D259" s="163"/>
      <c r="E259" s="162"/>
      <c r="F259" s="162"/>
      <c r="G259" s="162"/>
      <c r="H259" s="162"/>
      <c r="I259" s="162"/>
      <c r="J259" s="162"/>
      <c r="K259" s="162"/>
      <c r="L259" s="163"/>
    </row>
    <row r="260" spans="2:12" ht="19.2" customHeight="1" x14ac:dyDescent="0.3">
      <c r="B260" s="161"/>
      <c r="C260" s="162"/>
      <c r="D260" s="163"/>
      <c r="E260" s="162"/>
      <c r="F260" s="162"/>
      <c r="G260" s="162"/>
      <c r="H260" s="162"/>
      <c r="I260" s="162"/>
      <c r="J260" s="162"/>
      <c r="K260" s="162"/>
      <c r="L260" s="163"/>
    </row>
    <row r="261" spans="2:12" ht="19.2" customHeight="1" x14ac:dyDescent="0.3">
      <c r="B261" s="161"/>
      <c r="C261" s="162"/>
      <c r="D261" s="163"/>
      <c r="E261" s="162"/>
      <c r="F261" s="162"/>
      <c r="G261" s="162"/>
      <c r="H261" s="162"/>
      <c r="I261" s="162"/>
      <c r="J261" s="162"/>
      <c r="K261" s="162"/>
      <c r="L261" s="163"/>
    </row>
    <row r="262" spans="2:12" ht="19.2" customHeight="1" x14ac:dyDescent="0.3">
      <c r="B262" s="161"/>
      <c r="C262" s="162"/>
      <c r="D262" s="163"/>
      <c r="E262" s="162"/>
      <c r="F262" s="162"/>
      <c r="G262" s="162"/>
      <c r="H262" s="162"/>
      <c r="I262" s="162"/>
      <c r="J262" s="162"/>
      <c r="K262" s="162"/>
      <c r="L262" s="163"/>
    </row>
    <row r="263" spans="2:12" ht="19.2" customHeight="1" x14ac:dyDescent="0.3">
      <c r="B263" s="161"/>
      <c r="C263" s="162"/>
      <c r="D263" s="163"/>
      <c r="E263" s="162"/>
      <c r="F263" s="162"/>
      <c r="G263" s="162"/>
      <c r="H263" s="162"/>
      <c r="I263" s="162"/>
      <c r="J263" s="162"/>
      <c r="K263" s="162"/>
      <c r="L263" s="163"/>
    </row>
    <row r="264" spans="2:12" ht="19.2" customHeight="1" x14ac:dyDescent="0.3">
      <c r="B264" s="161"/>
      <c r="C264" s="162"/>
      <c r="D264" s="163"/>
      <c r="E264" s="162"/>
      <c r="F264" s="162"/>
      <c r="G264" s="162"/>
      <c r="H264" s="162"/>
      <c r="I264" s="162"/>
      <c r="J264" s="162"/>
      <c r="K264" s="162"/>
      <c r="L264" s="163"/>
    </row>
    <row r="265" spans="2:12" ht="19.2" customHeight="1" x14ac:dyDescent="0.3">
      <c r="B265" s="161"/>
      <c r="C265" s="162"/>
      <c r="D265" s="163"/>
      <c r="E265" s="162"/>
      <c r="F265" s="162"/>
      <c r="G265" s="162"/>
      <c r="H265" s="162"/>
      <c r="I265" s="162"/>
      <c r="J265" s="162"/>
      <c r="K265" s="162"/>
      <c r="L265" s="163"/>
    </row>
    <row r="266" spans="2:12" ht="19.2" customHeight="1" x14ac:dyDescent="0.3">
      <c r="B266" s="161"/>
      <c r="C266" s="162"/>
      <c r="D266" s="163"/>
      <c r="E266" s="162"/>
      <c r="F266" s="162"/>
      <c r="G266" s="162"/>
      <c r="H266" s="162"/>
      <c r="I266" s="162"/>
      <c r="J266" s="162"/>
      <c r="K266" s="162"/>
      <c r="L266" s="163"/>
    </row>
    <row r="267" spans="2:12" ht="19.2" customHeight="1" x14ac:dyDescent="0.3">
      <c r="B267" s="161"/>
      <c r="C267" s="162"/>
      <c r="D267" s="163"/>
      <c r="E267" s="162"/>
      <c r="F267" s="162"/>
      <c r="G267" s="162"/>
      <c r="H267" s="162"/>
      <c r="I267" s="162"/>
      <c r="J267" s="162"/>
      <c r="K267" s="162"/>
      <c r="L267" s="163"/>
    </row>
    <row r="268" spans="2:12" ht="19.2" customHeight="1" x14ac:dyDescent="0.3">
      <c r="B268" s="161"/>
      <c r="C268" s="162"/>
      <c r="D268" s="163"/>
      <c r="E268" s="162"/>
      <c r="F268" s="162"/>
      <c r="G268" s="162"/>
      <c r="H268" s="162"/>
      <c r="I268" s="162"/>
      <c r="J268" s="162"/>
      <c r="K268" s="162"/>
      <c r="L268" s="163"/>
    </row>
    <row r="269" spans="2:12" ht="19.2" customHeight="1" x14ac:dyDescent="0.3">
      <c r="B269" s="161"/>
      <c r="C269" s="162"/>
      <c r="D269" s="163"/>
      <c r="E269" s="162"/>
      <c r="F269" s="162"/>
      <c r="G269" s="162"/>
      <c r="H269" s="162"/>
      <c r="I269" s="162"/>
      <c r="J269" s="162"/>
      <c r="K269" s="162"/>
      <c r="L269" s="163"/>
    </row>
    <row r="270" spans="2:12" ht="19.2" customHeight="1" x14ac:dyDescent="0.3">
      <c r="B270" s="161"/>
      <c r="C270" s="162"/>
      <c r="D270" s="163"/>
      <c r="E270" s="162"/>
      <c r="F270" s="162"/>
      <c r="G270" s="162"/>
      <c r="H270" s="162"/>
      <c r="I270" s="162"/>
      <c r="J270" s="162"/>
      <c r="K270" s="162"/>
      <c r="L270" s="163"/>
    </row>
    <row r="271" spans="2:12" ht="19.2" customHeight="1" x14ac:dyDescent="0.3">
      <c r="B271" s="161"/>
      <c r="C271" s="162"/>
      <c r="D271" s="163"/>
      <c r="E271" s="162"/>
      <c r="F271" s="162"/>
      <c r="G271" s="162"/>
      <c r="H271" s="162"/>
      <c r="I271" s="162"/>
      <c r="J271" s="162"/>
      <c r="K271" s="162"/>
      <c r="L271" s="163"/>
    </row>
    <row r="272" spans="2:12" ht="19.2" customHeight="1" x14ac:dyDescent="0.3">
      <c r="B272" s="161"/>
      <c r="C272" s="162"/>
      <c r="D272" s="163"/>
      <c r="E272" s="162"/>
      <c r="F272" s="162"/>
      <c r="G272" s="162"/>
      <c r="H272" s="162"/>
      <c r="I272" s="162"/>
      <c r="J272" s="162"/>
      <c r="K272" s="162"/>
      <c r="L272" s="163"/>
    </row>
    <row r="273" spans="2:12" ht="19.2" customHeight="1" x14ac:dyDescent="0.3">
      <c r="B273" s="161"/>
      <c r="C273" s="162"/>
      <c r="D273" s="163"/>
      <c r="E273" s="162"/>
      <c r="F273" s="162"/>
      <c r="G273" s="162"/>
      <c r="H273" s="162"/>
      <c r="I273" s="162"/>
      <c r="J273" s="162"/>
      <c r="K273" s="162"/>
      <c r="L273" s="163"/>
    </row>
    <row r="274" spans="2:12" ht="19.2" customHeight="1" x14ac:dyDescent="0.3">
      <c r="B274" s="161"/>
      <c r="C274" s="162"/>
      <c r="D274" s="163"/>
      <c r="E274" s="162"/>
      <c r="F274" s="162"/>
      <c r="G274" s="162"/>
      <c r="H274" s="162"/>
      <c r="I274" s="162"/>
      <c r="J274" s="162"/>
      <c r="K274" s="162"/>
      <c r="L274" s="163"/>
    </row>
    <row r="275" spans="2:12" ht="19.2" customHeight="1" x14ac:dyDescent="0.3">
      <c r="B275" s="161"/>
      <c r="C275" s="162"/>
      <c r="D275" s="163"/>
      <c r="E275" s="162"/>
      <c r="F275" s="162"/>
      <c r="G275" s="162"/>
      <c r="H275" s="162"/>
      <c r="I275" s="162"/>
      <c r="J275" s="162"/>
      <c r="K275" s="162"/>
      <c r="L275" s="163"/>
    </row>
    <row r="276" spans="2:12" ht="19.2" customHeight="1" x14ac:dyDescent="0.3">
      <c r="B276" s="161"/>
      <c r="C276" s="162"/>
      <c r="D276" s="163"/>
      <c r="E276" s="162"/>
      <c r="F276" s="162"/>
      <c r="G276" s="162"/>
      <c r="H276" s="162"/>
      <c r="I276" s="162"/>
      <c r="J276" s="162"/>
      <c r="K276" s="162"/>
      <c r="L276" s="163"/>
    </row>
    <row r="277" spans="2:12" ht="19.2" customHeight="1" x14ac:dyDescent="0.3">
      <c r="B277" s="161"/>
      <c r="C277" s="162"/>
      <c r="D277" s="163"/>
      <c r="E277" s="162"/>
      <c r="F277" s="162"/>
      <c r="G277" s="162"/>
      <c r="H277" s="162"/>
      <c r="I277" s="162"/>
      <c r="J277" s="162"/>
      <c r="K277" s="162"/>
      <c r="L277" s="163"/>
    </row>
    <row r="278" spans="2:12" ht="19.2" customHeight="1" x14ac:dyDescent="0.3">
      <c r="B278" s="161"/>
      <c r="C278" s="162"/>
      <c r="D278" s="163"/>
      <c r="E278" s="162"/>
      <c r="F278" s="162"/>
      <c r="G278" s="162"/>
      <c r="H278" s="162"/>
      <c r="I278" s="162"/>
      <c r="J278" s="162"/>
      <c r="K278" s="162"/>
      <c r="L278" s="163"/>
    </row>
    <row r="279" spans="2:12" ht="19.2" customHeight="1" x14ac:dyDescent="0.3">
      <c r="B279" s="161"/>
      <c r="C279" s="162"/>
      <c r="D279" s="163"/>
      <c r="E279" s="162"/>
      <c r="F279" s="162"/>
      <c r="G279" s="162"/>
      <c r="H279" s="162"/>
      <c r="I279" s="162"/>
      <c r="J279" s="162"/>
      <c r="K279" s="162"/>
      <c r="L279" s="163"/>
    </row>
    <row r="280" spans="2:12" ht="19.2" customHeight="1" x14ac:dyDescent="0.3">
      <c r="B280" s="161"/>
      <c r="C280" s="162"/>
      <c r="D280" s="163"/>
      <c r="E280" s="162"/>
      <c r="F280" s="162"/>
      <c r="G280" s="162"/>
      <c r="H280" s="162"/>
      <c r="I280" s="162"/>
      <c r="J280" s="162"/>
      <c r="K280" s="162"/>
      <c r="L280" s="163"/>
    </row>
    <row r="281" spans="2:12" ht="19.2" customHeight="1" x14ac:dyDescent="0.3">
      <c r="B281" s="161"/>
      <c r="C281" s="162"/>
      <c r="D281" s="163"/>
      <c r="E281" s="162"/>
      <c r="F281" s="162"/>
      <c r="G281" s="162"/>
      <c r="H281" s="162"/>
      <c r="I281" s="162"/>
      <c r="J281" s="162"/>
      <c r="K281" s="162"/>
      <c r="L281" s="163"/>
    </row>
    <row r="282" spans="2:12" ht="19.2" customHeight="1" x14ac:dyDescent="0.3">
      <c r="B282" s="161"/>
      <c r="C282" s="162"/>
      <c r="D282" s="163"/>
      <c r="E282" s="162"/>
      <c r="F282" s="162"/>
      <c r="G282" s="162"/>
      <c r="H282" s="162"/>
      <c r="I282" s="162"/>
      <c r="J282" s="162"/>
      <c r="K282" s="162"/>
      <c r="L282" s="163"/>
    </row>
    <row r="283" spans="2:12" ht="19.2" customHeight="1" x14ac:dyDescent="0.3">
      <c r="B283" s="161"/>
      <c r="C283" s="162"/>
      <c r="D283" s="163"/>
      <c r="E283" s="162"/>
      <c r="F283" s="162"/>
      <c r="G283" s="162"/>
      <c r="H283" s="162"/>
      <c r="I283" s="162"/>
      <c r="J283" s="162"/>
      <c r="K283" s="162"/>
      <c r="L283" s="163"/>
    </row>
    <row r="284" spans="2:12" ht="19.2" customHeight="1" x14ac:dyDescent="0.3">
      <c r="B284" s="161"/>
      <c r="C284" s="162"/>
      <c r="D284" s="163"/>
      <c r="E284" s="162"/>
      <c r="F284" s="162"/>
      <c r="G284" s="162"/>
      <c r="H284" s="162"/>
      <c r="I284" s="162"/>
      <c r="J284" s="162"/>
      <c r="K284" s="162"/>
      <c r="L284" s="163"/>
    </row>
    <row r="285" spans="2:12" ht="19.2" customHeight="1" x14ac:dyDescent="0.3">
      <c r="B285" s="161"/>
      <c r="C285" s="162"/>
      <c r="D285" s="163"/>
      <c r="E285" s="162"/>
      <c r="F285" s="162"/>
      <c r="G285" s="162"/>
      <c r="H285" s="162"/>
      <c r="I285" s="162"/>
      <c r="J285" s="162"/>
      <c r="K285" s="162"/>
      <c r="L285" s="163"/>
    </row>
    <row r="286" spans="2:12" ht="19.2" customHeight="1" x14ac:dyDescent="0.3">
      <c r="B286" s="161"/>
      <c r="C286" s="162"/>
      <c r="D286" s="163"/>
      <c r="E286" s="162"/>
      <c r="F286" s="162"/>
      <c r="G286" s="162"/>
      <c r="H286" s="162"/>
      <c r="I286" s="162"/>
      <c r="J286" s="162"/>
      <c r="K286" s="162"/>
      <c r="L286" s="163"/>
    </row>
    <row r="287" spans="2:12" ht="19.2" customHeight="1" x14ac:dyDescent="0.3">
      <c r="B287" s="161"/>
      <c r="C287" s="162"/>
      <c r="D287" s="163"/>
      <c r="E287" s="162"/>
      <c r="F287" s="162"/>
      <c r="G287" s="162"/>
      <c r="H287" s="162"/>
      <c r="I287" s="162"/>
      <c r="J287" s="162"/>
      <c r="K287" s="162"/>
      <c r="L287" s="163"/>
    </row>
    <row r="288" spans="2:12" ht="19.2" customHeight="1" x14ac:dyDescent="0.3">
      <c r="B288" s="161"/>
      <c r="C288" s="162"/>
      <c r="D288" s="163"/>
      <c r="E288" s="162"/>
      <c r="F288" s="162"/>
      <c r="G288" s="162"/>
      <c r="H288" s="162"/>
      <c r="I288" s="162"/>
      <c r="J288" s="162"/>
      <c r="K288" s="162"/>
      <c r="L288" s="163"/>
    </row>
    <row r="289" spans="2:12" ht="19.2" customHeight="1" x14ac:dyDescent="0.3">
      <c r="B289" s="161"/>
      <c r="C289" s="162"/>
      <c r="D289" s="163"/>
      <c r="E289" s="162"/>
      <c r="F289" s="162"/>
      <c r="G289" s="162"/>
      <c r="H289" s="162"/>
      <c r="I289" s="162"/>
      <c r="J289" s="162"/>
      <c r="K289" s="162"/>
      <c r="L289" s="163"/>
    </row>
    <row r="290" spans="2:12" ht="19.2" customHeight="1" x14ac:dyDescent="0.3">
      <c r="B290" s="161"/>
      <c r="C290" s="162"/>
      <c r="D290" s="163"/>
      <c r="E290" s="162"/>
      <c r="F290" s="162"/>
      <c r="G290" s="162"/>
      <c r="H290" s="162"/>
      <c r="I290" s="162"/>
      <c r="J290" s="162"/>
      <c r="K290" s="162"/>
      <c r="L290" s="163"/>
    </row>
    <row r="291" spans="2:12" ht="19.2" customHeight="1" x14ac:dyDescent="0.3">
      <c r="B291" s="161"/>
      <c r="C291" s="162"/>
      <c r="D291" s="163"/>
      <c r="E291" s="162"/>
      <c r="F291" s="162"/>
      <c r="G291" s="162"/>
      <c r="H291" s="162"/>
      <c r="I291" s="162"/>
      <c r="J291" s="162"/>
      <c r="K291" s="162"/>
      <c r="L291" s="163"/>
    </row>
    <row r="292" spans="2:12" ht="19.2" customHeight="1" x14ac:dyDescent="0.3">
      <c r="B292" s="161"/>
      <c r="C292" s="162"/>
      <c r="D292" s="163"/>
      <c r="E292" s="162"/>
      <c r="F292" s="162"/>
      <c r="G292" s="162"/>
      <c r="H292" s="162"/>
      <c r="I292" s="162"/>
      <c r="J292" s="162"/>
      <c r="K292" s="162"/>
      <c r="L292" s="163"/>
    </row>
    <row r="293" spans="2:12" ht="19.2" customHeight="1" x14ac:dyDescent="0.3">
      <c r="B293" s="161"/>
      <c r="C293" s="162"/>
      <c r="D293" s="163"/>
      <c r="E293" s="162"/>
      <c r="F293" s="162"/>
      <c r="G293" s="162"/>
      <c r="H293" s="162"/>
      <c r="I293" s="162"/>
      <c r="J293" s="162"/>
      <c r="K293" s="162"/>
      <c r="L293" s="163"/>
    </row>
    <row r="294" spans="2:12" ht="19.2" customHeight="1" x14ac:dyDescent="0.3">
      <c r="B294" s="161"/>
      <c r="C294" s="162"/>
      <c r="D294" s="163"/>
      <c r="E294" s="162"/>
      <c r="F294" s="162"/>
      <c r="G294" s="162"/>
      <c r="H294" s="162"/>
      <c r="I294" s="162"/>
      <c r="J294" s="162"/>
      <c r="K294" s="162"/>
      <c r="L294" s="163"/>
    </row>
    <row r="295" spans="2:12" ht="19.2" customHeight="1" x14ac:dyDescent="0.3">
      <c r="B295" s="161"/>
      <c r="C295" s="162"/>
      <c r="D295" s="163"/>
      <c r="E295" s="162"/>
      <c r="F295" s="162"/>
      <c r="G295" s="162"/>
      <c r="H295" s="162"/>
      <c r="I295" s="162"/>
      <c r="J295" s="162"/>
      <c r="K295" s="162"/>
      <c r="L295" s="163"/>
    </row>
    <row r="296" spans="2:12" ht="19.2" customHeight="1" x14ac:dyDescent="0.3">
      <c r="B296" s="161"/>
      <c r="C296" s="162"/>
      <c r="D296" s="163"/>
      <c r="E296" s="162"/>
      <c r="F296" s="162"/>
      <c r="G296" s="162"/>
      <c r="H296" s="162"/>
      <c r="I296" s="162"/>
      <c r="J296" s="162"/>
      <c r="K296" s="162"/>
      <c r="L296" s="163"/>
    </row>
    <row r="297" spans="2:12" ht="19.2" customHeight="1" x14ac:dyDescent="0.3">
      <c r="B297" s="161"/>
      <c r="C297" s="162"/>
      <c r="D297" s="163"/>
      <c r="E297" s="162"/>
      <c r="F297" s="162"/>
      <c r="G297" s="162"/>
      <c r="H297" s="162"/>
      <c r="I297" s="162"/>
      <c r="J297" s="162"/>
      <c r="K297" s="162"/>
      <c r="L297" s="163"/>
    </row>
    <row r="298" spans="2:12" ht="19.2" customHeight="1" x14ac:dyDescent="0.3">
      <c r="B298" s="161"/>
      <c r="C298" s="162"/>
      <c r="D298" s="163"/>
      <c r="E298" s="162"/>
      <c r="F298" s="162"/>
      <c r="G298" s="162"/>
      <c r="H298" s="162"/>
      <c r="I298" s="162"/>
      <c r="J298" s="162"/>
      <c r="K298" s="162"/>
      <c r="L298" s="163"/>
    </row>
    <row r="299" spans="2:12" ht="19.2" customHeight="1" x14ac:dyDescent="0.3">
      <c r="B299" s="161"/>
      <c r="C299" s="162"/>
      <c r="D299" s="163"/>
      <c r="E299" s="162"/>
      <c r="F299" s="162"/>
      <c r="G299" s="162"/>
      <c r="H299" s="162"/>
      <c r="I299" s="162"/>
      <c r="J299" s="162"/>
      <c r="K299" s="162"/>
      <c r="L299" s="163"/>
    </row>
    <row r="300" spans="2:12" ht="19.2" customHeight="1" x14ac:dyDescent="0.3">
      <c r="B300" s="161"/>
      <c r="C300" s="162"/>
      <c r="D300" s="163"/>
      <c r="E300" s="162"/>
      <c r="F300" s="162"/>
      <c r="G300" s="162"/>
      <c r="H300" s="162"/>
      <c r="I300" s="162"/>
      <c r="J300" s="162"/>
      <c r="K300" s="162"/>
      <c r="L300" s="163"/>
    </row>
    <row r="301" spans="2:12" ht="19.2" customHeight="1" x14ac:dyDescent="0.3">
      <c r="B301" s="161"/>
      <c r="C301" s="162"/>
      <c r="D301" s="163"/>
      <c r="E301" s="162"/>
      <c r="F301" s="162"/>
      <c r="G301" s="162"/>
      <c r="H301" s="162"/>
      <c r="I301" s="162"/>
      <c r="J301" s="162"/>
      <c r="K301" s="162"/>
      <c r="L301" s="163"/>
    </row>
    <row r="302" spans="2:12" ht="19.2" customHeight="1" x14ac:dyDescent="0.3">
      <c r="B302" s="161"/>
      <c r="C302" s="162"/>
      <c r="D302" s="163"/>
      <c r="E302" s="162"/>
      <c r="F302" s="162"/>
      <c r="G302" s="162"/>
      <c r="H302" s="162"/>
      <c r="I302" s="162"/>
      <c r="J302" s="162"/>
      <c r="K302" s="162"/>
      <c r="L302" s="163"/>
    </row>
    <row r="303" spans="2:12" ht="19.2" customHeight="1" x14ac:dyDescent="0.3">
      <c r="B303" s="161"/>
      <c r="C303" s="162"/>
      <c r="D303" s="163"/>
      <c r="E303" s="162"/>
      <c r="F303" s="162"/>
      <c r="G303" s="162"/>
      <c r="H303" s="162"/>
      <c r="I303" s="162"/>
      <c r="J303" s="162"/>
      <c r="K303" s="162"/>
      <c r="L303" s="163"/>
    </row>
    <row r="304" spans="2:12" ht="19.2" customHeight="1" x14ac:dyDescent="0.3">
      <c r="B304" s="161"/>
      <c r="C304" s="162"/>
      <c r="D304" s="163"/>
      <c r="E304" s="162"/>
      <c r="F304" s="162"/>
      <c r="G304" s="162"/>
      <c r="H304" s="162"/>
      <c r="I304" s="162"/>
      <c r="J304" s="162"/>
      <c r="K304" s="162"/>
      <c r="L304" s="163"/>
    </row>
    <row r="305" spans="2:12" ht="19.2" customHeight="1" x14ac:dyDescent="0.3">
      <c r="B305" s="161"/>
      <c r="C305" s="162"/>
      <c r="D305" s="163"/>
      <c r="E305" s="162"/>
      <c r="F305" s="162"/>
      <c r="G305" s="162"/>
      <c r="H305" s="162"/>
      <c r="I305" s="162"/>
      <c r="J305" s="162"/>
      <c r="K305" s="162"/>
      <c r="L305" s="163"/>
    </row>
    <row r="306" spans="2:12" ht="19.2" customHeight="1" x14ac:dyDescent="0.3">
      <c r="B306" s="161"/>
      <c r="C306" s="162"/>
      <c r="D306" s="163"/>
      <c r="E306" s="162"/>
      <c r="F306" s="162"/>
      <c r="G306" s="162"/>
      <c r="H306" s="162"/>
      <c r="I306" s="162"/>
      <c r="J306" s="162"/>
      <c r="K306" s="162"/>
      <c r="L306" s="163"/>
    </row>
    <row r="307" spans="2:12" ht="19.2" customHeight="1" x14ac:dyDescent="0.3">
      <c r="B307" s="161"/>
      <c r="C307" s="162"/>
      <c r="D307" s="163"/>
      <c r="E307" s="162"/>
      <c r="F307" s="162"/>
      <c r="G307" s="162"/>
      <c r="H307" s="162"/>
      <c r="I307" s="162"/>
      <c r="J307" s="162"/>
      <c r="K307" s="162"/>
      <c r="L307" s="163"/>
    </row>
    <row r="308" spans="2:12" ht="19.2" customHeight="1" x14ac:dyDescent="0.3">
      <c r="B308" s="161"/>
      <c r="C308" s="162"/>
      <c r="D308" s="163"/>
      <c r="E308" s="162"/>
      <c r="F308" s="162"/>
      <c r="G308" s="162"/>
      <c r="H308" s="162"/>
      <c r="I308" s="162"/>
      <c r="J308" s="162"/>
      <c r="K308" s="162"/>
      <c r="L308" s="163"/>
    </row>
    <row r="309" spans="2:12" ht="19.2" customHeight="1" x14ac:dyDescent="0.3">
      <c r="B309" s="161"/>
      <c r="C309" s="162"/>
      <c r="D309" s="163"/>
      <c r="E309" s="162"/>
      <c r="F309" s="162"/>
      <c r="G309" s="162"/>
      <c r="H309" s="162"/>
      <c r="I309" s="162"/>
      <c r="J309" s="162"/>
      <c r="K309" s="162"/>
      <c r="L309" s="163"/>
    </row>
    <row r="310" spans="2:12" ht="19.2" customHeight="1" x14ac:dyDescent="0.3">
      <c r="B310" s="161"/>
      <c r="C310" s="162"/>
      <c r="D310" s="163"/>
      <c r="E310" s="162"/>
      <c r="F310" s="162"/>
      <c r="G310" s="162"/>
      <c r="H310" s="162"/>
      <c r="I310" s="162"/>
      <c r="J310" s="162"/>
      <c r="K310" s="162"/>
      <c r="L310" s="163"/>
    </row>
    <row r="311" spans="2:12" ht="19.2" customHeight="1" x14ac:dyDescent="0.3">
      <c r="B311" s="161"/>
      <c r="C311" s="162"/>
      <c r="D311" s="163"/>
      <c r="E311" s="162"/>
      <c r="F311" s="162"/>
      <c r="G311" s="162"/>
      <c r="H311" s="162"/>
      <c r="I311" s="162"/>
      <c r="J311" s="162"/>
      <c r="K311" s="162"/>
      <c r="L311" s="163"/>
    </row>
    <row r="312" spans="2:12" ht="19.2" customHeight="1" x14ac:dyDescent="0.3">
      <c r="B312" s="161"/>
      <c r="C312" s="162"/>
      <c r="D312" s="163"/>
      <c r="E312" s="162"/>
      <c r="F312" s="162"/>
      <c r="G312" s="162"/>
      <c r="H312" s="162"/>
      <c r="I312" s="162"/>
      <c r="J312" s="162"/>
      <c r="K312" s="162"/>
      <c r="L312" s="163"/>
    </row>
    <row r="313" spans="2:12" ht="19.2" customHeight="1" x14ac:dyDescent="0.3">
      <c r="B313" s="161"/>
      <c r="C313" s="162"/>
      <c r="D313" s="163"/>
      <c r="E313" s="162"/>
      <c r="F313" s="162"/>
      <c r="G313" s="162"/>
      <c r="H313" s="162"/>
      <c r="I313" s="162"/>
      <c r="J313" s="162"/>
      <c r="K313" s="162"/>
      <c r="L313" s="163"/>
    </row>
    <row r="314" spans="2:12" ht="19.2" customHeight="1" x14ac:dyDescent="0.3">
      <c r="B314" s="161"/>
      <c r="C314" s="162"/>
      <c r="D314" s="163"/>
      <c r="E314" s="162"/>
      <c r="F314" s="162"/>
      <c r="G314" s="162"/>
      <c r="H314" s="162"/>
      <c r="I314" s="162"/>
      <c r="J314" s="162"/>
      <c r="K314" s="162"/>
      <c r="L314" s="163"/>
    </row>
    <row r="315" spans="2:12" ht="19.2" customHeight="1" x14ac:dyDescent="0.3">
      <c r="B315" s="161"/>
      <c r="C315" s="162"/>
      <c r="D315" s="163"/>
      <c r="E315" s="162"/>
      <c r="F315" s="162"/>
      <c r="G315" s="162"/>
      <c r="H315" s="162"/>
      <c r="I315" s="162"/>
      <c r="J315" s="162"/>
      <c r="K315" s="162"/>
      <c r="L315" s="163"/>
    </row>
    <row r="316" spans="2:12" ht="19.2" customHeight="1" x14ac:dyDescent="0.3">
      <c r="B316" s="161"/>
      <c r="C316" s="162"/>
      <c r="D316" s="163"/>
      <c r="E316" s="162"/>
      <c r="F316" s="162"/>
      <c r="G316" s="162"/>
      <c r="H316" s="162"/>
      <c r="I316" s="162"/>
      <c r="J316" s="162"/>
      <c r="K316" s="162"/>
      <c r="L316" s="163"/>
    </row>
    <row r="317" spans="2:12" ht="19.2" customHeight="1" x14ac:dyDescent="0.3">
      <c r="B317" s="161"/>
      <c r="C317" s="162"/>
      <c r="D317" s="163"/>
      <c r="E317" s="162"/>
      <c r="F317" s="162"/>
      <c r="G317" s="162"/>
      <c r="H317" s="162"/>
      <c r="I317" s="162"/>
      <c r="J317" s="162"/>
      <c r="K317" s="162"/>
      <c r="L317" s="163"/>
    </row>
    <row r="318" spans="2:12" ht="19.2" customHeight="1" x14ac:dyDescent="0.3">
      <c r="B318" s="161"/>
      <c r="C318" s="162"/>
      <c r="D318" s="163"/>
      <c r="E318" s="162"/>
      <c r="F318" s="162"/>
      <c r="G318" s="162"/>
      <c r="H318" s="162"/>
      <c r="I318" s="162"/>
      <c r="J318" s="162"/>
      <c r="K318" s="162"/>
      <c r="L318" s="163"/>
    </row>
    <row r="319" spans="2:12" ht="19.2" customHeight="1" x14ac:dyDescent="0.3">
      <c r="B319" s="161"/>
      <c r="C319" s="162"/>
      <c r="D319" s="163"/>
      <c r="E319" s="162"/>
      <c r="F319" s="162"/>
      <c r="G319" s="162"/>
      <c r="H319" s="162"/>
      <c r="I319" s="162"/>
      <c r="J319" s="162"/>
      <c r="K319" s="162"/>
      <c r="L319" s="163"/>
    </row>
    <row r="320" spans="2:12" ht="19.2" customHeight="1" x14ac:dyDescent="0.3">
      <c r="B320" s="161"/>
      <c r="C320" s="162"/>
      <c r="D320" s="163"/>
      <c r="E320" s="162"/>
      <c r="F320" s="162"/>
      <c r="G320" s="162"/>
      <c r="H320" s="162"/>
      <c r="I320" s="162"/>
      <c r="J320" s="162"/>
      <c r="K320" s="162"/>
      <c r="L320" s="163"/>
    </row>
    <row r="321" spans="2:12" ht="19.2" customHeight="1" x14ac:dyDescent="0.3">
      <c r="B321" s="161"/>
      <c r="C321" s="162"/>
      <c r="D321" s="163"/>
      <c r="E321" s="162"/>
      <c r="F321" s="162"/>
      <c r="G321" s="162"/>
      <c r="H321" s="162"/>
      <c r="I321" s="162"/>
      <c r="J321" s="162"/>
      <c r="K321" s="162"/>
      <c r="L321" s="163"/>
    </row>
    <row r="322" spans="2:12" ht="19.2" customHeight="1" x14ac:dyDescent="0.3">
      <c r="B322" s="161"/>
      <c r="C322" s="162"/>
      <c r="D322" s="163"/>
      <c r="E322" s="162"/>
      <c r="F322" s="162"/>
      <c r="G322" s="162"/>
      <c r="H322" s="162"/>
      <c r="I322" s="162"/>
      <c r="J322" s="162"/>
      <c r="K322" s="162"/>
      <c r="L322" s="163"/>
    </row>
    <row r="323" spans="2:12" ht="19.2" customHeight="1" x14ac:dyDescent="0.3">
      <c r="B323" s="161"/>
      <c r="C323" s="162"/>
      <c r="D323" s="163"/>
      <c r="E323" s="162"/>
      <c r="F323" s="162"/>
      <c r="G323" s="162"/>
      <c r="H323" s="162"/>
      <c r="I323" s="162"/>
      <c r="J323" s="162"/>
      <c r="K323" s="162"/>
      <c r="L323" s="163"/>
    </row>
    <row r="324" spans="2:12" ht="19.2" customHeight="1" x14ac:dyDescent="0.3">
      <c r="B324" s="161"/>
      <c r="C324" s="162"/>
      <c r="D324" s="163"/>
      <c r="E324" s="162"/>
      <c r="F324" s="162"/>
      <c r="G324" s="162"/>
      <c r="H324" s="162"/>
      <c r="I324" s="162"/>
      <c r="J324" s="162"/>
      <c r="K324" s="162"/>
      <c r="L324" s="163"/>
    </row>
    <row r="325" spans="2:12" ht="19.2" customHeight="1" x14ac:dyDescent="0.3">
      <c r="B325" s="161"/>
      <c r="C325" s="162"/>
      <c r="D325" s="163"/>
      <c r="E325" s="162"/>
      <c r="F325" s="162"/>
      <c r="G325" s="162"/>
      <c r="H325" s="162"/>
      <c r="I325" s="162"/>
      <c r="J325" s="162"/>
      <c r="K325" s="162"/>
      <c r="L325" s="163"/>
    </row>
    <row r="326" spans="2:12" ht="19.2" customHeight="1" x14ac:dyDescent="0.3">
      <c r="B326" s="161"/>
      <c r="C326" s="162"/>
      <c r="D326" s="163"/>
      <c r="E326" s="162"/>
      <c r="F326" s="162"/>
      <c r="G326" s="162"/>
      <c r="H326" s="162"/>
      <c r="I326" s="162"/>
      <c r="J326" s="162"/>
      <c r="K326" s="162"/>
      <c r="L326" s="163"/>
    </row>
    <row r="327" spans="2:12" ht="19.2" customHeight="1" x14ac:dyDescent="0.3">
      <c r="B327" s="161"/>
      <c r="C327" s="162"/>
      <c r="D327" s="163"/>
      <c r="E327" s="162"/>
      <c r="F327" s="162"/>
      <c r="G327" s="162"/>
      <c r="H327" s="162"/>
      <c r="I327" s="162"/>
      <c r="J327" s="162"/>
      <c r="K327" s="162"/>
      <c r="L327" s="163"/>
    </row>
    <row r="328" spans="2:12" ht="19.2" customHeight="1" x14ac:dyDescent="0.3">
      <c r="B328" s="161"/>
      <c r="C328" s="162"/>
      <c r="D328" s="163"/>
      <c r="E328" s="162"/>
      <c r="F328" s="162"/>
      <c r="G328" s="162"/>
      <c r="H328" s="162"/>
      <c r="I328" s="162"/>
      <c r="J328" s="162"/>
      <c r="K328" s="162"/>
      <c r="L328" s="163"/>
    </row>
    <row r="329" spans="2:12" ht="19.2" customHeight="1" x14ac:dyDescent="0.3">
      <c r="B329" s="161"/>
      <c r="C329" s="162"/>
      <c r="D329" s="163"/>
      <c r="E329" s="162"/>
      <c r="F329" s="162"/>
      <c r="G329" s="162"/>
      <c r="H329" s="162"/>
      <c r="I329" s="162"/>
      <c r="J329" s="162"/>
      <c r="K329" s="162"/>
      <c r="L329" s="163"/>
    </row>
    <row r="330" spans="2:12" ht="19.2" customHeight="1" x14ac:dyDescent="0.3">
      <c r="B330" s="161"/>
      <c r="C330" s="162"/>
      <c r="D330" s="163"/>
      <c r="E330" s="162"/>
      <c r="F330" s="162"/>
      <c r="G330" s="162"/>
      <c r="H330" s="162"/>
      <c r="I330" s="162"/>
      <c r="J330" s="162"/>
      <c r="K330" s="162"/>
      <c r="L330" s="163"/>
    </row>
    <row r="331" spans="2:12" ht="19.2" customHeight="1" x14ac:dyDescent="0.3">
      <c r="B331" s="161"/>
      <c r="C331" s="162"/>
      <c r="D331" s="163"/>
      <c r="E331" s="162"/>
      <c r="F331" s="162"/>
      <c r="G331" s="162"/>
      <c r="H331" s="162"/>
      <c r="I331" s="162"/>
      <c r="J331" s="162"/>
      <c r="K331" s="162"/>
      <c r="L331" s="163"/>
    </row>
    <row r="332" spans="2:12" ht="19.2" customHeight="1" x14ac:dyDescent="0.3">
      <c r="B332" s="161"/>
      <c r="C332" s="162"/>
      <c r="D332" s="163"/>
      <c r="E332" s="162"/>
      <c r="F332" s="162"/>
      <c r="G332" s="162"/>
      <c r="H332" s="162"/>
      <c r="I332" s="162"/>
      <c r="J332" s="162"/>
      <c r="K332" s="162"/>
      <c r="L332" s="163"/>
    </row>
    <row r="333" spans="2:12" ht="19.2" customHeight="1" x14ac:dyDescent="0.3">
      <c r="B333" s="161"/>
      <c r="C333" s="162"/>
      <c r="D333" s="163"/>
      <c r="E333" s="162"/>
      <c r="F333" s="162"/>
      <c r="G333" s="162"/>
      <c r="H333" s="162"/>
      <c r="I333" s="162"/>
      <c r="J333" s="162"/>
      <c r="K333" s="162"/>
      <c r="L333" s="163"/>
    </row>
    <row r="334" spans="2:12" ht="19.2" customHeight="1" x14ac:dyDescent="0.3">
      <c r="B334" s="161"/>
      <c r="C334" s="162"/>
      <c r="D334" s="163"/>
      <c r="E334" s="162"/>
      <c r="F334" s="162"/>
      <c r="G334" s="162"/>
      <c r="H334" s="162"/>
      <c r="I334" s="162"/>
      <c r="J334" s="162"/>
      <c r="K334" s="162"/>
      <c r="L334" s="163"/>
    </row>
    <row r="335" spans="2:12" ht="19.2" customHeight="1" x14ac:dyDescent="0.3">
      <c r="B335" s="161"/>
      <c r="C335" s="162"/>
      <c r="D335" s="163"/>
      <c r="E335" s="162"/>
      <c r="F335" s="162"/>
      <c r="G335" s="162"/>
      <c r="H335" s="162"/>
      <c r="I335" s="162"/>
      <c r="J335" s="162"/>
      <c r="K335" s="162"/>
      <c r="L335" s="163"/>
    </row>
    <row r="336" spans="2:12" ht="19.2" customHeight="1" x14ac:dyDescent="0.3">
      <c r="B336" s="161"/>
      <c r="C336" s="162"/>
      <c r="D336" s="163"/>
      <c r="E336" s="162"/>
      <c r="F336" s="162"/>
      <c r="G336" s="162"/>
      <c r="H336" s="162"/>
      <c r="I336" s="162"/>
      <c r="J336" s="162"/>
      <c r="K336" s="162"/>
      <c r="L336" s="163"/>
    </row>
    <row r="337" spans="2:12" ht="19.2" customHeight="1" x14ac:dyDescent="0.3">
      <c r="B337" s="161"/>
      <c r="C337" s="162"/>
      <c r="D337" s="163"/>
      <c r="E337" s="162"/>
      <c r="F337" s="162"/>
      <c r="G337" s="162"/>
      <c r="H337" s="162"/>
      <c r="I337" s="162"/>
      <c r="J337" s="162"/>
      <c r="K337" s="162"/>
      <c r="L337" s="163"/>
    </row>
    <row r="338" spans="2:12" ht="19.2" customHeight="1" x14ac:dyDescent="0.3">
      <c r="B338" s="161"/>
      <c r="C338" s="162"/>
      <c r="D338" s="163"/>
      <c r="E338" s="162"/>
      <c r="F338" s="162"/>
      <c r="G338" s="162"/>
      <c r="H338" s="162"/>
      <c r="I338" s="162"/>
      <c r="J338" s="162"/>
      <c r="K338" s="162"/>
      <c r="L338" s="163"/>
    </row>
    <row r="339" spans="2:12" ht="19.2" customHeight="1" x14ac:dyDescent="0.3">
      <c r="B339" s="161"/>
      <c r="C339" s="162"/>
      <c r="D339" s="163"/>
      <c r="E339" s="162"/>
      <c r="F339" s="162"/>
      <c r="G339" s="162"/>
      <c r="H339" s="162"/>
      <c r="I339" s="162"/>
      <c r="J339" s="162"/>
      <c r="K339" s="162"/>
      <c r="L339" s="163"/>
    </row>
    <row r="340" spans="2:12" ht="19.2" customHeight="1" x14ac:dyDescent="0.3">
      <c r="B340" s="161"/>
      <c r="C340" s="162"/>
      <c r="D340" s="163"/>
      <c r="E340" s="162"/>
      <c r="F340" s="162"/>
      <c r="G340" s="162"/>
      <c r="H340" s="162"/>
      <c r="I340" s="162"/>
      <c r="J340" s="162"/>
      <c r="K340" s="162"/>
      <c r="L340" s="163"/>
    </row>
    <row r="341" spans="2:12" ht="19.2" customHeight="1" x14ac:dyDescent="0.3">
      <c r="B341" s="161"/>
      <c r="C341" s="162"/>
      <c r="D341" s="163"/>
      <c r="E341" s="162"/>
      <c r="F341" s="162"/>
      <c r="G341" s="162"/>
      <c r="H341" s="162"/>
      <c r="I341" s="162"/>
      <c r="J341" s="162"/>
      <c r="K341" s="162"/>
      <c r="L341" s="163"/>
    </row>
    <row r="342" spans="2:12" ht="19.2" customHeight="1" x14ac:dyDescent="0.3">
      <c r="B342" s="161"/>
      <c r="C342" s="162"/>
      <c r="D342" s="163"/>
      <c r="E342" s="162"/>
      <c r="F342" s="162"/>
      <c r="G342" s="162"/>
      <c r="H342" s="162"/>
      <c r="I342" s="162"/>
      <c r="J342" s="162"/>
      <c r="K342" s="162"/>
      <c r="L342" s="163"/>
    </row>
    <row r="343" spans="2:12" ht="19.2" customHeight="1" x14ac:dyDescent="0.3">
      <c r="B343" s="161"/>
      <c r="C343" s="162"/>
      <c r="D343" s="163"/>
      <c r="E343" s="162"/>
      <c r="F343" s="162"/>
      <c r="G343" s="162"/>
      <c r="H343" s="162"/>
      <c r="I343" s="162"/>
      <c r="J343" s="162"/>
      <c r="K343" s="162"/>
      <c r="L343" s="163"/>
    </row>
    <row r="344" spans="2:12" ht="19.2" customHeight="1" x14ac:dyDescent="0.3">
      <c r="B344" s="161"/>
      <c r="C344" s="162"/>
      <c r="D344" s="163"/>
      <c r="E344" s="162"/>
      <c r="F344" s="162"/>
      <c r="G344" s="162"/>
      <c r="H344" s="162"/>
      <c r="I344" s="162"/>
      <c r="J344" s="162"/>
      <c r="K344" s="162"/>
      <c r="L344" s="163"/>
    </row>
    <row r="345" spans="2:12" ht="19.2" customHeight="1" x14ac:dyDescent="0.3">
      <c r="B345" s="161"/>
      <c r="C345" s="162"/>
      <c r="D345" s="163"/>
      <c r="E345" s="162"/>
      <c r="F345" s="162"/>
      <c r="G345" s="162"/>
      <c r="H345" s="162"/>
      <c r="I345" s="162"/>
      <c r="J345" s="162"/>
      <c r="K345" s="162"/>
      <c r="L345" s="163"/>
    </row>
    <row r="346" spans="2:12" ht="19.2" customHeight="1" x14ac:dyDescent="0.3">
      <c r="B346" s="161"/>
      <c r="C346" s="162"/>
      <c r="D346" s="163"/>
      <c r="E346" s="162"/>
      <c r="F346" s="162"/>
      <c r="G346" s="162"/>
      <c r="H346" s="162"/>
      <c r="I346" s="162"/>
      <c r="J346" s="162"/>
      <c r="K346" s="162"/>
      <c r="L346" s="163"/>
    </row>
    <row r="347" spans="2:12" ht="19.2" customHeight="1" x14ac:dyDescent="0.3">
      <c r="B347" s="161"/>
      <c r="C347" s="162"/>
      <c r="D347" s="163"/>
      <c r="E347" s="162"/>
      <c r="F347" s="162"/>
      <c r="G347" s="162"/>
      <c r="H347" s="162"/>
      <c r="I347" s="162"/>
      <c r="J347" s="162"/>
      <c r="K347" s="162"/>
      <c r="L347" s="163"/>
    </row>
    <row r="348" spans="2:12" ht="19.2" customHeight="1" x14ac:dyDescent="0.3">
      <c r="B348" s="161"/>
      <c r="C348" s="162"/>
      <c r="D348" s="163"/>
      <c r="E348" s="162"/>
      <c r="F348" s="162"/>
      <c r="G348" s="162"/>
      <c r="H348" s="162"/>
      <c r="I348" s="162"/>
      <c r="J348" s="162"/>
      <c r="K348" s="162"/>
      <c r="L348" s="163"/>
    </row>
    <row r="349" spans="2:12" ht="19.2" customHeight="1" x14ac:dyDescent="0.3">
      <c r="B349" s="161"/>
      <c r="C349" s="162"/>
      <c r="D349" s="163"/>
      <c r="E349" s="162"/>
      <c r="F349" s="162"/>
      <c r="G349" s="162"/>
      <c r="H349" s="162"/>
      <c r="I349" s="162"/>
      <c r="J349" s="162"/>
      <c r="K349" s="162"/>
      <c r="L349" s="163"/>
    </row>
    <row r="350" spans="2:12" ht="19.2" customHeight="1" x14ac:dyDescent="0.3">
      <c r="B350" s="161"/>
      <c r="C350" s="162"/>
      <c r="D350" s="163"/>
      <c r="E350" s="162"/>
      <c r="F350" s="162"/>
      <c r="G350" s="162"/>
      <c r="H350" s="162"/>
      <c r="I350" s="162"/>
      <c r="J350" s="162"/>
      <c r="K350" s="162"/>
      <c r="L350" s="163"/>
    </row>
    <row r="351" spans="2:12" ht="19.2" customHeight="1" x14ac:dyDescent="0.3">
      <c r="B351" s="161"/>
      <c r="C351" s="162"/>
      <c r="D351" s="163"/>
      <c r="E351" s="162"/>
      <c r="F351" s="162"/>
      <c r="G351" s="162"/>
      <c r="H351" s="162"/>
      <c r="I351" s="162"/>
      <c r="J351" s="162"/>
      <c r="K351" s="162"/>
      <c r="L351" s="163"/>
    </row>
    <row r="352" spans="2:12" ht="19.2" customHeight="1" x14ac:dyDescent="0.3">
      <c r="B352" s="161"/>
      <c r="C352" s="162"/>
      <c r="D352" s="163"/>
      <c r="E352" s="162"/>
      <c r="F352" s="162"/>
      <c r="G352" s="162"/>
      <c r="H352" s="162"/>
      <c r="I352" s="162"/>
      <c r="J352" s="162"/>
      <c r="K352" s="162"/>
      <c r="L352" s="163"/>
    </row>
    <row r="353" spans="2:12" ht="19.2" customHeight="1" x14ac:dyDescent="0.3">
      <c r="B353" s="161"/>
      <c r="C353" s="162"/>
      <c r="D353" s="163"/>
      <c r="E353" s="162"/>
      <c r="F353" s="162"/>
      <c r="G353" s="162"/>
      <c r="H353" s="162"/>
      <c r="I353" s="162"/>
      <c r="J353" s="162"/>
      <c r="K353" s="162"/>
      <c r="L353" s="163"/>
    </row>
    <row r="354" spans="2:12" ht="19.2" customHeight="1" x14ac:dyDescent="0.3">
      <c r="B354" s="161"/>
      <c r="C354" s="162"/>
      <c r="D354" s="163"/>
      <c r="E354" s="162"/>
      <c r="F354" s="162"/>
      <c r="G354" s="162"/>
      <c r="H354" s="162"/>
      <c r="I354" s="162"/>
      <c r="J354" s="162"/>
      <c r="K354" s="162"/>
      <c r="L354" s="163"/>
    </row>
    <row r="355" spans="2:12" ht="19.2" customHeight="1" x14ac:dyDescent="0.3">
      <c r="B355" s="161"/>
      <c r="C355" s="162"/>
      <c r="D355" s="163"/>
      <c r="E355" s="162"/>
      <c r="F355" s="162"/>
      <c r="G355" s="162"/>
      <c r="H355" s="162"/>
      <c r="I355" s="162"/>
      <c r="J355" s="162"/>
      <c r="K355" s="162"/>
      <c r="L355" s="163"/>
    </row>
    <row r="356" spans="2:12" ht="19.2" customHeight="1" x14ac:dyDescent="0.3">
      <c r="B356" s="161"/>
      <c r="C356" s="162"/>
      <c r="D356" s="163"/>
      <c r="E356" s="162"/>
      <c r="F356" s="162"/>
      <c r="G356" s="162"/>
      <c r="H356" s="162"/>
      <c r="I356" s="162"/>
      <c r="J356" s="162"/>
      <c r="K356" s="162"/>
      <c r="L356" s="163"/>
    </row>
    <row r="357" spans="2:12" ht="19.2" customHeight="1" x14ac:dyDescent="0.3">
      <c r="B357" s="161"/>
      <c r="C357" s="162"/>
      <c r="D357" s="163"/>
      <c r="E357" s="162"/>
      <c r="F357" s="162"/>
      <c r="G357" s="162"/>
      <c r="H357" s="162"/>
      <c r="I357" s="162"/>
      <c r="J357" s="162"/>
      <c r="K357" s="162"/>
      <c r="L357" s="163"/>
    </row>
    <row r="358" spans="2:12" ht="19.2" customHeight="1" x14ac:dyDescent="0.3">
      <c r="B358" s="161"/>
      <c r="C358" s="162"/>
      <c r="D358" s="163"/>
      <c r="E358" s="162"/>
      <c r="F358" s="162"/>
      <c r="G358" s="162"/>
      <c r="H358" s="162"/>
      <c r="I358" s="162"/>
      <c r="J358" s="162"/>
      <c r="K358" s="162"/>
      <c r="L358" s="163"/>
    </row>
    <row r="359" spans="2:12" ht="19.2" customHeight="1" x14ac:dyDescent="0.3">
      <c r="B359" s="161"/>
      <c r="C359" s="162"/>
      <c r="D359" s="163"/>
      <c r="E359" s="162"/>
      <c r="F359" s="162"/>
      <c r="G359" s="162"/>
      <c r="H359" s="162"/>
      <c r="I359" s="162"/>
      <c r="J359" s="162"/>
      <c r="K359" s="162"/>
      <c r="L359" s="163"/>
    </row>
    <row r="360" spans="2:12" ht="19.2" customHeight="1" x14ac:dyDescent="0.3">
      <c r="B360" s="161"/>
      <c r="C360" s="162"/>
      <c r="D360" s="163"/>
      <c r="E360" s="162"/>
      <c r="F360" s="162"/>
      <c r="G360" s="162"/>
      <c r="H360" s="162"/>
      <c r="I360" s="162"/>
      <c r="J360" s="162"/>
      <c r="K360" s="162"/>
      <c r="L360" s="163"/>
    </row>
    <row r="361" spans="2:12" ht="19.2" customHeight="1" x14ac:dyDescent="0.3">
      <c r="B361" s="161"/>
      <c r="C361" s="162"/>
      <c r="D361" s="163"/>
      <c r="E361" s="162"/>
      <c r="F361" s="162"/>
      <c r="G361" s="162"/>
      <c r="H361" s="162"/>
      <c r="I361" s="162"/>
      <c r="J361" s="162"/>
      <c r="K361" s="162"/>
      <c r="L361" s="163"/>
    </row>
    <row r="362" spans="2:12" ht="19.2" customHeight="1" x14ac:dyDescent="0.3">
      <c r="B362" s="161"/>
      <c r="C362" s="162"/>
      <c r="D362" s="163"/>
      <c r="E362" s="162"/>
      <c r="F362" s="162"/>
      <c r="G362" s="162"/>
      <c r="H362" s="162"/>
      <c r="I362" s="162"/>
      <c r="J362" s="162"/>
      <c r="K362" s="162"/>
      <c r="L362" s="163"/>
    </row>
    <row r="363" spans="2:12" ht="19.2" customHeight="1" x14ac:dyDescent="0.3">
      <c r="B363" s="161"/>
      <c r="C363" s="162"/>
      <c r="D363" s="163"/>
      <c r="E363" s="162"/>
      <c r="F363" s="162"/>
      <c r="G363" s="162"/>
      <c r="H363" s="162"/>
      <c r="I363" s="162"/>
      <c r="J363" s="162"/>
      <c r="K363" s="162"/>
      <c r="L363" s="163"/>
    </row>
    <row r="364" spans="2:12" ht="19.2" customHeight="1" x14ac:dyDescent="0.3">
      <c r="B364" s="161"/>
      <c r="C364" s="162"/>
      <c r="D364" s="163"/>
      <c r="E364" s="162"/>
      <c r="F364" s="162"/>
      <c r="G364" s="162"/>
      <c r="H364" s="162"/>
      <c r="I364" s="162"/>
      <c r="J364" s="162"/>
      <c r="K364" s="162"/>
      <c r="L364" s="163"/>
    </row>
    <row r="365" spans="2:12" ht="19.2" customHeight="1" x14ac:dyDescent="0.3">
      <c r="B365" s="161"/>
      <c r="C365" s="162"/>
      <c r="D365" s="163"/>
      <c r="E365" s="162"/>
      <c r="F365" s="162"/>
      <c r="G365" s="162"/>
      <c r="H365" s="162"/>
      <c r="I365" s="162"/>
      <c r="J365" s="162"/>
      <c r="K365" s="162"/>
      <c r="L365" s="163"/>
    </row>
    <row r="366" spans="2:12" ht="19.2" customHeight="1" x14ac:dyDescent="0.3">
      <c r="B366" s="161"/>
      <c r="C366" s="162"/>
      <c r="D366" s="163"/>
      <c r="E366" s="162"/>
      <c r="F366" s="162"/>
      <c r="G366" s="162"/>
      <c r="H366" s="162"/>
      <c r="I366" s="162"/>
      <c r="J366" s="162"/>
      <c r="K366" s="162"/>
      <c r="L366" s="163"/>
    </row>
    <row r="367" spans="2:12" ht="19.2" customHeight="1" x14ac:dyDescent="0.3">
      <c r="B367" s="161"/>
      <c r="C367" s="162"/>
      <c r="D367" s="163"/>
      <c r="E367" s="162"/>
      <c r="F367" s="162"/>
      <c r="G367" s="162"/>
      <c r="H367" s="162"/>
      <c r="I367" s="162"/>
      <c r="J367" s="162"/>
      <c r="K367" s="162"/>
      <c r="L367" s="163"/>
    </row>
    <row r="368" spans="2:12" ht="19.2" customHeight="1" x14ac:dyDescent="0.3">
      <c r="B368" s="161"/>
      <c r="C368" s="162"/>
      <c r="D368" s="163"/>
      <c r="E368" s="162"/>
      <c r="F368" s="162"/>
      <c r="G368" s="162"/>
      <c r="H368" s="162"/>
      <c r="I368" s="162"/>
      <c r="J368" s="162"/>
      <c r="K368" s="162"/>
      <c r="L368" s="163"/>
    </row>
    <row r="369" spans="2:12" ht="19.2" customHeight="1" x14ac:dyDescent="0.3">
      <c r="B369" s="161"/>
      <c r="C369" s="162"/>
      <c r="D369" s="163"/>
      <c r="E369" s="162"/>
      <c r="F369" s="162"/>
      <c r="G369" s="162"/>
      <c r="H369" s="162"/>
      <c r="I369" s="162"/>
      <c r="J369" s="162"/>
      <c r="K369" s="162"/>
      <c r="L369" s="163"/>
    </row>
    <row r="370" spans="2:12" ht="19.2" customHeight="1" x14ac:dyDescent="0.3">
      <c r="B370" s="161"/>
      <c r="C370" s="162"/>
      <c r="D370" s="163"/>
      <c r="E370" s="162"/>
      <c r="F370" s="162"/>
      <c r="G370" s="162"/>
      <c r="H370" s="162"/>
      <c r="I370" s="162"/>
      <c r="J370" s="162"/>
      <c r="K370" s="162"/>
      <c r="L370" s="163"/>
    </row>
    <row r="371" spans="2:12" ht="19.2" customHeight="1" x14ac:dyDescent="0.3">
      <c r="B371" s="161"/>
      <c r="C371" s="162"/>
      <c r="D371" s="163"/>
      <c r="E371" s="162"/>
      <c r="F371" s="162"/>
      <c r="G371" s="162"/>
      <c r="H371" s="162"/>
      <c r="I371" s="162"/>
      <c r="J371" s="162"/>
      <c r="K371" s="162"/>
      <c r="L371" s="163"/>
    </row>
    <row r="372" spans="2:12" ht="19.2" customHeight="1" x14ac:dyDescent="0.3">
      <c r="B372" s="161"/>
      <c r="C372" s="162"/>
      <c r="D372" s="163"/>
      <c r="E372" s="162"/>
      <c r="F372" s="162"/>
      <c r="G372" s="162"/>
      <c r="H372" s="162"/>
      <c r="I372" s="162"/>
      <c r="J372" s="162"/>
      <c r="K372" s="162"/>
      <c r="L372" s="163"/>
    </row>
    <row r="373" spans="2:12" ht="19.2" customHeight="1" x14ac:dyDescent="0.3">
      <c r="B373" s="161"/>
      <c r="C373" s="162"/>
      <c r="D373" s="163"/>
      <c r="E373" s="162"/>
      <c r="F373" s="162"/>
      <c r="G373" s="162"/>
      <c r="H373" s="162"/>
      <c r="I373" s="162"/>
      <c r="J373" s="162"/>
      <c r="K373" s="162"/>
      <c r="L373" s="163"/>
    </row>
    <row r="374" spans="2:12" ht="19.2" customHeight="1" x14ac:dyDescent="0.3">
      <c r="B374" s="161"/>
      <c r="C374" s="162"/>
      <c r="D374" s="163"/>
      <c r="E374" s="162"/>
      <c r="F374" s="162"/>
      <c r="G374" s="162"/>
      <c r="H374" s="162"/>
      <c r="I374" s="162"/>
      <c r="J374" s="162"/>
      <c r="K374" s="162"/>
      <c r="L374" s="163"/>
    </row>
    <row r="375" spans="2:12" ht="19.2" customHeight="1" x14ac:dyDescent="0.3">
      <c r="B375" s="161"/>
      <c r="C375" s="162"/>
      <c r="D375" s="163"/>
      <c r="E375" s="162"/>
      <c r="F375" s="162"/>
      <c r="G375" s="162"/>
      <c r="H375" s="162"/>
      <c r="I375" s="162"/>
      <c r="J375" s="162"/>
      <c r="K375" s="162"/>
      <c r="L375" s="163"/>
    </row>
    <row r="376" spans="2:12" ht="19.2" customHeight="1" x14ac:dyDescent="0.3">
      <c r="B376" s="161"/>
      <c r="C376" s="162"/>
      <c r="D376" s="163"/>
      <c r="E376" s="162"/>
      <c r="F376" s="162"/>
      <c r="G376" s="162"/>
      <c r="H376" s="162"/>
      <c r="I376" s="162"/>
      <c r="J376" s="162"/>
      <c r="K376" s="162"/>
      <c r="L376" s="163"/>
    </row>
    <row r="377" spans="2:12" ht="19.2" customHeight="1" x14ac:dyDescent="0.3">
      <c r="B377" s="161"/>
      <c r="C377" s="162"/>
      <c r="D377" s="163"/>
      <c r="E377" s="162"/>
      <c r="F377" s="162"/>
      <c r="G377" s="162"/>
      <c r="H377" s="162"/>
      <c r="I377" s="162"/>
      <c r="J377" s="162"/>
      <c r="K377" s="162"/>
      <c r="L377" s="163"/>
    </row>
    <row r="378" spans="2:12" ht="19.2" customHeight="1" x14ac:dyDescent="0.3">
      <c r="B378" s="161"/>
      <c r="C378" s="162"/>
      <c r="D378" s="163"/>
      <c r="E378" s="162"/>
      <c r="F378" s="162"/>
      <c r="G378" s="162"/>
      <c r="H378" s="162"/>
      <c r="I378" s="162"/>
      <c r="J378" s="162"/>
      <c r="K378" s="162"/>
      <c r="L378" s="163"/>
    </row>
    <row r="379" spans="2:12" ht="19.2" customHeight="1" x14ac:dyDescent="0.3">
      <c r="B379" s="161"/>
      <c r="C379" s="162"/>
      <c r="D379" s="163"/>
      <c r="E379" s="162"/>
      <c r="F379" s="162"/>
      <c r="G379" s="162"/>
      <c r="H379" s="162"/>
      <c r="I379" s="162"/>
      <c r="J379" s="162"/>
      <c r="K379" s="162"/>
      <c r="L379" s="163"/>
    </row>
    <row r="380" spans="2:12" ht="19.2" customHeight="1" x14ac:dyDescent="0.3">
      <c r="B380" s="161"/>
      <c r="C380" s="162"/>
      <c r="D380" s="163"/>
      <c r="E380" s="162"/>
      <c r="F380" s="162"/>
      <c r="G380" s="162"/>
      <c r="H380" s="162"/>
      <c r="I380" s="162"/>
      <c r="J380" s="162"/>
      <c r="K380" s="162"/>
      <c r="L380" s="163"/>
    </row>
    <row r="381" spans="2:12" ht="19.2" customHeight="1" x14ac:dyDescent="0.3">
      <c r="B381" s="161"/>
      <c r="C381" s="162"/>
      <c r="D381" s="163"/>
      <c r="E381" s="162"/>
      <c r="F381" s="162"/>
      <c r="G381" s="162"/>
      <c r="H381" s="162"/>
      <c r="I381" s="162"/>
      <c r="J381" s="162"/>
      <c r="K381" s="162"/>
      <c r="L381" s="163"/>
    </row>
    <row r="382" spans="2:12" ht="19.2" customHeight="1" x14ac:dyDescent="0.3">
      <c r="B382" s="161"/>
      <c r="C382" s="162"/>
      <c r="D382" s="163"/>
      <c r="E382" s="162"/>
      <c r="F382" s="162"/>
      <c r="G382" s="162"/>
      <c r="H382" s="162"/>
      <c r="I382" s="162"/>
      <c r="J382" s="162"/>
      <c r="K382" s="162"/>
      <c r="L382" s="163"/>
    </row>
    <row r="383" spans="2:12" ht="19.2" customHeight="1" x14ac:dyDescent="0.3">
      <c r="B383" s="161"/>
      <c r="C383" s="162"/>
      <c r="D383" s="163"/>
      <c r="E383" s="162"/>
      <c r="F383" s="162"/>
      <c r="G383" s="162"/>
      <c r="H383" s="162"/>
      <c r="I383" s="162"/>
      <c r="J383" s="162"/>
      <c r="K383" s="162"/>
      <c r="L383" s="163"/>
    </row>
    <row r="384" spans="2:12" ht="19.2" customHeight="1" x14ac:dyDescent="0.3">
      <c r="B384" s="161"/>
      <c r="C384" s="162"/>
      <c r="D384" s="163"/>
      <c r="E384" s="162"/>
      <c r="F384" s="162"/>
      <c r="G384" s="162"/>
      <c r="H384" s="162"/>
      <c r="I384" s="162"/>
      <c r="J384" s="162"/>
      <c r="K384" s="162"/>
      <c r="L384" s="163"/>
    </row>
    <row r="385" spans="2:12" ht="19.2" customHeight="1" x14ac:dyDescent="0.3">
      <c r="B385" s="161"/>
      <c r="C385" s="162"/>
      <c r="D385" s="163"/>
      <c r="E385" s="162"/>
      <c r="F385" s="162"/>
      <c r="G385" s="162"/>
      <c r="H385" s="162"/>
      <c r="I385" s="162"/>
      <c r="J385" s="162"/>
      <c r="K385" s="162"/>
      <c r="L385" s="163"/>
    </row>
    <row r="386" spans="2:12" ht="19.2" customHeight="1" x14ac:dyDescent="0.3">
      <c r="B386" s="161"/>
      <c r="C386" s="162"/>
      <c r="D386" s="163"/>
      <c r="E386" s="162"/>
      <c r="F386" s="162"/>
      <c r="G386" s="162"/>
      <c r="H386" s="162"/>
      <c r="I386" s="162"/>
      <c r="J386" s="162"/>
      <c r="K386" s="162"/>
      <c r="L386" s="163"/>
    </row>
    <row r="387" spans="2:12" ht="19.2" customHeight="1" x14ac:dyDescent="0.3">
      <c r="B387" s="161"/>
      <c r="C387" s="162"/>
      <c r="D387" s="163"/>
      <c r="E387" s="162"/>
      <c r="F387" s="162"/>
      <c r="G387" s="162"/>
      <c r="H387" s="162"/>
      <c r="I387" s="162"/>
      <c r="J387" s="162"/>
      <c r="K387" s="162"/>
      <c r="L387" s="163"/>
    </row>
    <row r="388" spans="2:12" ht="19.2" customHeight="1" x14ac:dyDescent="0.3">
      <c r="B388" s="161"/>
      <c r="C388" s="162"/>
      <c r="D388" s="163"/>
      <c r="E388" s="162"/>
      <c r="F388" s="162"/>
      <c r="G388" s="162"/>
      <c r="H388" s="162"/>
      <c r="I388" s="162"/>
      <c r="J388" s="162"/>
      <c r="K388" s="162"/>
      <c r="L388" s="163"/>
    </row>
    <row r="389" spans="2:12" ht="19.2" customHeight="1" x14ac:dyDescent="0.3">
      <c r="B389" s="161"/>
      <c r="C389" s="162"/>
      <c r="D389" s="163"/>
      <c r="E389" s="162"/>
      <c r="F389" s="162"/>
      <c r="G389" s="162"/>
      <c r="H389" s="162"/>
      <c r="I389" s="162"/>
      <c r="J389" s="162"/>
      <c r="K389" s="162"/>
      <c r="L389" s="163"/>
    </row>
    <row r="390" spans="2:12" ht="19.2" customHeight="1" x14ac:dyDescent="0.3">
      <c r="B390" s="161"/>
      <c r="C390" s="162"/>
      <c r="D390" s="163"/>
      <c r="E390" s="162"/>
      <c r="F390" s="162"/>
      <c r="G390" s="162"/>
      <c r="H390" s="162"/>
      <c r="I390" s="162"/>
      <c r="J390" s="162"/>
      <c r="K390" s="162"/>
      <c r="L390" s="163"/>
    </row>
    <row r="391" spans="2:12" ht="19.2" customHeight="1" x14ac:dyDescent="0.3">
      <c r="B391" s="161"/>
      <c r="C391" s="162"/>
      <c r="D391" s="163"/>
      <c r="E391" s="162"/>
      <c r="F391" s="162"/>
      <c r="G391" s="162"/>
      <c r="H391" s="162"/>
      <c r="I391" s="162"/>
      <c r="J391" s="162"/>
      <c r="K391" s="162"/>
      <c r="L391" s="163"/>
    </row>
    <row r="392" spans="2:12" ht="19.2" customHeight="1" x14ac:dyDescent="0.3">
      <c r="B392" s="161"/>
      <c r="C392" s="162"/>
      <c r="D392" s="163"/>
      <c r="E392" s="162"/>
      <c r="F392" s="162"/>
      <c r="G392" s="162"/>
      <c r="H392" s="162"/>
      <c r="I392" s="162"/>
      <c r="J392" s="162"/>
      <c r="K392" s="162"/>
      <c r="L392" s="163"/>
    </row>
    <row r="393" spans="2:12" ht="19.2" customHeight="1" x14ac:dyDescent="0.3">
      <c r="B393" s="161"/>
      <c r="C393" s="162"/>
      <c r="D393" s="163"/>
      <c r="E393" s="162"/>
      <c r="F393" s="162"/>
      <c r="G393" s="162"/>
      <c r="H393" s="162"/>
      <c r="I393" s="162"/>
      <c r="J393" s="162"/>
      <c r="K393" s="162"/>
      <c r="L393" s="163"/>
    </row>
    <row r="394" spans="2:12" ht="19.2" customHeight="1" x14ac:dyDescent="0.3">
      <c r="B394" s="161"/>
      <c r="C394" s="162"/>
      <c r="D394" s="163"/>
      <c r="E394" s="162"/>
      <c r="F394" s="162"/>
      <c r="G394" s="162"/>
      <c r="H394" s="162"/>
      <c r="I394" s="162"/>
      <c r="J394" s="162"/>
      <c r="K394" s="162"/>
      <c r="L394" s="163"/>
    </row>
    <row r="395" spans="2:12" ht="19.2" customHeight="1" x14ac:dyDescent="0.3">
      <c r="B395" s="161"/>
      <c r="C395" s="162"/>
      <c r="D395" s="163"/>
      <c r="E395" s="162"/>
      <c r="F395" s="162"/>
      <c r="G395" s="162"/>
      <c r="H395" s="162"/>
      <c r="I395" s="162"/>
      <c r="J395" s="162"/>
      <c r="K395" s="162"/>
      <c r="L395" s="163"/>
    </row>
    <row r="396" spans="2:12" ht="19.2" customHeight="1" x14ac:dyDescent="0.3">
      <c r="B396" s="161"/>
      <c r="C396" s="162"/>
      <c r="D396" s="163"/>
      <c r="E396" s="162"/>
      <c r="F396" s="162"/>
      <c r="G396" s="162"/>
      <c r="H396" s="162"/>
      <c r="I396" s="162"/>
      <c r="J396" s="162"/>
      <c r="K396" s="162"/>
      <c r="L396" s="163"/>
    </row>
    <row r="397" spans="2:12" ht="19.2" customHeight="1" x14ac:dyDescent="0.3">
      <c r="B397" s="161"/>
      <c r="C397" s="162"/>
      <c r="D397" s="163"/>
      <c r="E397" s="162"/>
      <c r="F397" s="162"/>
      <c r="G397" s="162"/>
      <c r="H397" s="162"/>
      <c r="I397" s="162"/>
      <c r="J397" s="162"/>
      <c r="K397" s="162"/>
      <c r="L397" s="163"/>
    </row>
    <row r="398" spans="2:12" ht="19.2" customHeight="1" x14ac:dyDescent="0.3">
      <c r="B398" s="161"/>
      <c r="C398" s="162"/>
      <c r="D398" s="163"/>
      <c r="E398" s="162"/>
      <c r="F398" s="162"/>
      <c r="G398" s="162"/>
      <c r="H398" s="162"/>
      <c r="I398" s="162"/>
      <c r="J398" s="162"/>
      <c r="K398" s="162"/>
      <c r="L398" s="163"/>
    </row>
    <row r="399" spans="2:12" ht="19.2" customHeight="1" x14ac:dyDescent="0.3">
      <c r="B399" s="161"/>
      <c r="C399" s="162"/>
      <c r="D399" s="163"/>
      <c r="E399" s="162"/>
      <c r="F399" s="162"/>
      <c r="G399" s="162"/>
      <c r="H399" s="162"/>
      <c r="I399" s="162"/>
      <c r="J399" s="162"/>
      <c r="K399" s="162"/>
      <c r="L399" s="163"/>
    </row>
    <row r="400" spans="2:12" ht="19.2" customHeight="1" x14ac:dyDescent="0.3">
      <c r="B400" s="161"/>
      <c r="C400" s="162"/>
      <c r="D400" s="163"/>
      <c r="E400" s="162"/>
      <c r="F400" s="162"/>
      <c r="G400" s="162"/>
      <c r="H400" s="162"/>
      <c r="I400" s="162"/>
      <c r="J400" s="162"/>
      <c r="K400" s="162"/>
      <c r="L400" s="163"/>
    </row>
    <row r="401" spans="2:12" ht="19.2" customHeight="1" x14ac:dyDescent="0.3">
      <c r="B401" s="161"/>
      <c r="C401" s="162"/>
      <c r="D401" s="163"/>
      <c r="E401" s="162"/>
      <c r="F401" s="162"/>
      <c r="G401" s="162"/>
      <c r="H401" s="162"/>
      <c r="I401" s="162"/>
      <c r="J401" s="162"/>
      <c r="K401" s="162"/>
      <c r="L401" s="163"/>
    </row>
    <row r="402" spans="2:12" ht="19.2" customHeight="1" x14ac:dyDescent="0.3">
      <c r="B402" s="161"/>
      <c r="C402" s="162"/>
      <c r="D402" s="163"/>
      <c r="E402" s="162"/>
      <c r="F402" s="162"/>
      <c r="G402" s="162"/>
      <c r="H402" s="162"/>
      <c r="I402" s="162"/>
      <c r="J402" s="162"/>
      <c r="K402" s="162"/>
      <c r="L402" s="163"/>
    </row>
    <row r="403" spans="2:12" ht="19.2" customHeight="1" x14ac:dyDescent="0.3">
      <c r="B403" s="161"/>
      <c r="C403" s="162"/>
      <c r="D403" s="163"/>
      <c r="E403" s="162"/>
      <c r="F403" s="162"/>
      <c r="G403" s="162"/>
      <c r="H403" s="162"/>
      <c r="I403" s="162"/>
      <c r="J403" s="162"/>
      <c r="K403" s="162"/>
      <c r="L403" s="163"/>
    </row>
    <row r="404" spans="2:12" ht="19.2" customHeight="1" x14ac:dyDescent="0.3">
      <c r="B404" s="161"/>
      <c r="C404" s="162"/>
      <c r="D404" s="163"/>
      <c r="E404" s="162"/>
      <c r="F404" s="162"/>
      <c r="G404" s="162"/>
      <c r="H404" s="162"/>
      <c r="I404" s="162"/>
      <c r="J404" s="162"/>
      <c r="K404" s="162"/>
      <c r="L404" s="163"/>
    </row>
    <row r="405" spans="2:12" ht="19.2" customHeight="1" x14ac:dyDescent="0.3">
      <c r="B405" s="161"/>
      <c r="C405" s="162"/>
      <c r="D405" s="163"/>
      <c r="E405" s="162"/>
      <c r="F405" s="162"/>
      <c r="G405" s="162"/>
      <c r="H405" s="162"/>
      <c r="I405" s="162"/>
      <c r="J405" s="162"/>
      <c r="K405" s="162"/>
      <c r="L405" s="163"/>
    </row>
    <row r="406" spans="2:12" ht="19.2" customHeight="1" x14ac:dyDescent="0.3">
      <c r="B406" s="161"/>
      <c r="C406" s="162"/>
      <c r="D406" s="163"/>
      <c r="E406" s="162"/>
      <c r="F406" s="162"/>
      <c r="G406" s="162"/>
      <c r="H406" s="162"/>
      <c r="I406" s="162"/>
      <c r="J406" s="162"/>
      <c r="K406" s="162"/>
      <c r="L406" s="163"/>
    </row>
    <row r="407" spans="2:12" ht="19.2" customHeight="1" x14ac:dyDescent="0.3">
      <c r="B407" s="161"/>
      <c r="C407" s="162"/>
      <c r="D407" s="163"/>
      <c r="E407" s="162"/>
      <c r="F407" s="162"/>
      <c r="G407" s="162"/>
      <c r="H407" s="162"/>
      <c r="I407" s="162"/>
      <c r="J407" s="162"/>
      <c r="K407" s="162"/>
      <c r="L407" s="163"/>
    </row>
    <row r="408" spans="2:12" ht="19.2" customHeight="1" x14ac:dyDescent="0.3">
      <c r="B408" s="161"/>
      <c r="C408" s="162"/>
      <c r="D408" s="163"/>
      <c r="E408" s="162"/>
      <c r="F408" s="162"/>
      <c r="G408" s="162"/>
      <c r="H408" s="162"/>
      <c r="I408" s="162"/>
      <c r="J408" s="162"/>
      <c r="K408" s="162"/>
      <c r="L408" s="163"/>
    </row>
    <row r="409" spans="2:12" ht="19.2" customHeight="1" x14ac:dyDescent="0.3">
      <c r="B409" s="161"/>
      <c r="C409" s="162"/>
      <c r="D409" s="163"/>
      <c r="E409" s="162"/>
      <c r="F409" s="162"/>
      <c r="G409" s="162"/>
      <c r="H409" s="162"/>
      <c r="I409" s="162"/>
      <c r="J409" s="162"/>
      <c r="K409" s="162"/>
      <c r="L409" s="163"/>
    </row>
    <row r="410" spans="2:12" ht="19.2" customHeight="1" x14ac:dyDescent="0.3">
      <c r="B410" s="161"/>
      <c r="C410" s="162"/>
      <c r="D410" s="163"/>
      <c r="E410" s="162"/>
      <c r="F410" s="162"/>
      <c r="G410" s="162"/>
      <c r="H410" s="162"/>
      <c r="I410" s="162"/>
      <c r="J410" s="162"/>
      <c r="K410" s="162"/>
      <c r="L410" s="163"/>
    </row>
    <row r="411" spans="2:12" ht="19.2" customHeight="1" x14ac:dyDescent="0.3">
      <c r="B411" s="161"/>
      <c r="C411" s="162"/>
      <c r="D411" s="163"/>
      <c r="E411" s="162"/>
      <c r="F411" s="162"/>
      <c r="G411" s="162"/>
      <c r="H411" s="162"/>
      <c r="I411" s="162"/>
      <c r="J411" s="162"/>
      <c r="K411" s="162"/>
      <c r="L411" s="163"/>
    </row>
    <row r="412" spans="2:12" ht="19.2" customHeight="1" x14ac:dyDescent="0.3">
      <c r="B412" s="161"/>
      <c r="C412" s="162"/>
      <c r="D412" s="163"/>
      <c r="E412" s="162"/>
      <c r="F412" s="162"/>
      <c r="G412" s="162"/>
      <c r="H412" s="162"/>
      <c r="I412" s="162"/>
      <c r="J412" s="162"/>
      <c r="K412" s="162"/>
      <c r="L412" s="163"/>
    </row>
    <row r="413" spans="2:12" ht="19.2" customHeight="1" x14ac:dyDescent="0.3">
      <c r="B413" s="161"/>
      <c r="C413" s="162"/>
      <c r="D413" s="163"/>
      <c r="E413" s="162"/>
      <c r="F413" s="162"/>
      <c r="G413" s="162"/>
      <c r="H413" s="162"/>
      <c r="I413" s="162"/>
      <c r="J413" s="162"/>
      <c r="K413" s="162"/>
      <c r="L413" s="163"/>
    </row>
    <row r="414" spans="2:12" ht="19.2" customHeight="1" x14ac:dyDescent="0.3">
      <c r="B414" s="161"/>
      <c r="C414" s="162"/>
      <c r="D414" s="163"/>
      <c r="E414" s="162"/>
      <c r="F414" s="162"/>
      <c r="G414" s="162"/>
      <c r="H414" s="162"/>
      <c r="I414" s="162"/>
      <c r="J414" s="162"/>
      <c r="K414" s="162"/>
      <c r="L414" s="163"/>
    </row>
    <row r="415" spans="2:12" ht="19.2" customHeight="1" x14ac:dyDescent="0.3">
      <c r="B415" s="161"/>
      <c r="C415" s="162"/>
      <c r="D415" s="163"/>
      <c r="E415" s="162"/>
      <c r="F415" s="162"/>
      <c r="G415" s="162"/>
      <c r="H415" s="162"/>
      <c r="I415" s="162"/>
      <c r="J415" s="162"/>
      <c r="K415" s="162"/>
      <c r="L415" s="163"/>
    </row>
    <row r="416" spans="2:12" ht="19.2" customHeight="1" x14ac:dyDescent="0.3">
      <c r="B416" s="161"/>
      <c r="C416" s="162"/>
      <c r="D416" s="163"/>
      <c r="E416" s="162"/>
      <c r="F416" s="162"/>
      <c r="G416" s="162"/>
      <c r="H416" s="162"/>
      <c r="I416" s="162"/>
      <c r="J416" s="162"/>
      <c r="K416" s="162"/>
      <c r="L416" s="163"/>
    </row>
    <row r="417" spans="2:12" ht="19.2" customHeight="1" x14ac:dyDescent="0.3">
      <c r="B417" s="161"/>
      <c r="C417" s="162"/>
      <c r="D417" s="163"/>
      <c r="E417" s="162"/>
      <c r="F417" s="162"/>
      <c r="G417" s="162"/>
      <c r="H417" s="162"/>
      <c r="I417" s="162"/>
      <c r="J417" s="162"/>
      <c r="K417" s="162"/>
      <c r="L417" s="163"/>
    </row>
    <row r="418" spans="2:12" ht="19.2" customHeight="1" x14ac:dyDescent="0.3">
      <c r="B418" s="161"/>
      <c r="C418" s="162"/>
      <c r="D418" s="163"/>
      <c r="E418" s="162"/>
      <c r="F418" s="162"/>
      <c r="G418" s="162"/>
      <c r="H418" s="162"/>
      <c r="I418" s="162"/>
      <c r="J418" s="162"/>
      <c r="K418" s="162"/>
      <c r="L418" s="163"/>
    </row>
    <row r="419" spans="2:12" ht="19.2" customHeight="1" x14ac:dyDescent="0.3">
      <c r="B419" s="161"/>
      <c r="C419" s="162"/>
      <c r="D419" s="163"/>
      <c r="E419" s="162"/>
      <c r="F419" s="162"/>
      <c r="G419" s="162"/>
      <c r="H419" s="162"/>
      <c r="I419" s="162"/>
      <c r="J419" s="162"/>
      <c r="K419" s="162"/>
      <c r="L419" s="163"/>
    </row>
    <row r="420" spans="2:12" ht="19.2" customHeight="1" x14ac:dyDescent="0.3">
      <c r="B420" s="161"/>
      <c r="C420" s="162"/>
      <c r="D420" s="163"/>
      <c r="E420" s="162"/>
      <c r="F420" s="162"/>
      <c r="G420" s="162"/>
      <c r="H420" s="162"/>
      <c r="I420" s="162"/>
      <c r="J420" s="162"/>
      <c r="K420" s="162"/>
      <c r="L420" s="163"/>
    </row>
    <row r="421" spans="2:12" ht="19.2" customHeight="1" x14ac:dyDescent="0.3">
      <c r="B421" s="161"/>
      <c r="C421" s="162"/>
      <c r="D421" s="163"/>
      <c r="E421" s="162"/>
      <c r="F421" s="162"/>
      <c r="G421" s="162"/>
      <c r="H421" s="162"/>
      <c r="I421" s="162"/>
      <c r="J421" s="162"/>
      <c r="K421" s="162"/>
      <c r="L421" s="163"/>
    </row>
    <row r="422" spans="2:12" ht="19.2" customHeight="1" x14ac:dyDescent="0.3">
      <c r="B422" s="161"/>
      <c r="C422" s="162"/>
      <c r="D422" s="163"/>
      <c r="E422" s="162"/>
      <c r="F422" s="162"/>
      <c r="G422" s="162"/>
      <c r="H422" s="162"/>
      <c r="I422" s="162"/>
      <c r="J422" s="162"/>
      <c r="K422" s="162"/>
      <c r="L422" s="163"/>
    </row>
    <row r="423" spans="2:12" ht="19.2" customHeight="1" x14ac:dyDescent="0.3">
      <c r="B423" s="161"/>
      <c r="C423" s="162"/>
      <c r="D423" s="163"/>
      <c r="E423" s="162"/>
      <c r="F423" s="162"/>
      <c r="G423" s="162"/>
      <c r="H423" s="162"/>
      <c r="I423" s="162"/>
      <c r="J423" s="162"/>
      <c r="K423" s="162"/>
      <c r="L423" s="163"/>
    </row>
    <row r="424" spans="2:12" ht="19.2" customHeight="1" x14ac:dyDescent="0.3">
      <c r="B424" s="161"/>
      <c r="C424" s="162"/>
      <c r="D424" s="163"/>
      <c r="E424" s="162"/>
      <c r="F424" s="162"/>
      <c r="G424" s="162"/>
      <c r="H424" s="162"/>
      <c r="I424" s="162"/>
      <c r="J424" s="162"/>
      <c r="K424" s="162"/>
      <c r="L424" s="163"/>
    </row>
    <row r="425" spans="2:12" ht="19.2" customHeight="1" x14ac:dyDescent="0.3">
      <c r="B425" s="161"/>
      <c r="C425" s="162"/>
      <c r="D425" s="163"/>
      <c r="E425" s="162"/>
      <c r="F425" s="162"/>
      <c r="G425" s="162"/>
      <c r="H425" s="162"/>
      <c r="I425" s="162"/>
      <c r="J425" s="162"/>
      <c r="K425" s="162"/>
      <c r="L425" s="163"/>
    </row>
    <row r="426" spans="2:12" ht="19.2" customHeight="1" x14ac:dyDescent="0.3">
      <c r="B426" s="161"/>
      <c r="C426" s="162"/>
      <c r="D426" s="163"/>
      <c r="E426" s="162"/>
      <c r="F426" s="162"/>
      <c r="G426" s="162"/>
      <c r="H426" s="162"/>
      <c r="I426" s="162"/>
      <c r="J426" s="162"/>
      <c r="K426" s="162"/>
      <c r="L426" s="163"/>
    </row>
    <row r="427" spans="2:12" ht="19.2" customHeight="1" x14ac:dyDescent="0.3">
      <c r="B427" s="161"/>
      <c r="C427" s="162"/>
      <c r="D427" s="163"/>
      <c r="E427" s="162"/>
      <c r="F427" s="162"/>
      <c r="G427" s="162"/>
      <c r="H427" s="162"/>
      <c r="I427" s="162"/>
      <c r="J427" s="162"/>
      <c r="K427" s="162"/>
      <c r="L427" s="163"/>
    </row>
    <row r="428" spans="2:12" ht="19.2" customHeight="1" x14ac:dyDescent="0.3">
      <c r="B428" s="161"/>
      <c r="C428" s="162"/>
      <c r="D428" s="163"/>
      <c r="E428" s="162"/>
      <c r="F428" s="162"/>
      <c r="G428" s="162"/>
      <c r="H428" s="162"/>
      <c r="I428" s="162"/>
      <c r="J428" s="162"/>
      <c r="K428" s="162"/>
      <c r="L428" s="163"/>
    </row>
    <row r="429" spans="2:12" ht="19.2" customHeight="1" x14ac:dyDescent="0.3">
      <c r="B429" s="161"/>
      <c r="C429" s="162"/>
      <c r="D429" s="163"/>
      <c r="E429" s="162"/>
      <c r="F429" s="162"/>
      <c r="G429" s="162"/>
      <c r="H429" s="162"/>
      <c r="I429" s="162"/>
      <c r="J429" s="162"/>
      <c r="K429" s="162"/>
      <c r="L429" s="163"/>
    </row>
    <row r="430" spans="2:12" ht="19.2" customHeight="1" x14ac:dyDescent="0.3">
      <c r="B430" s="161"/>
      <c r="C430" s="162"/>
      <c r="D430" s="163"/>
      <c r="E430" s="162"/>
      <c r="F430" s="162"/>
      <c r="G430" s="162"/>
      <c r="H430" s="162"/>
      <c r="I430" s="162"/>
      <c r="J430" s="162"/>
      <c r="K430" s="162"/>
      <c r="L430" s="163"/>
    </row>
    <row r="431" spans="2:12" ht="19.2" customHeight="1" x14ac:dyDescent="0.3">
      <c r="B431" s="161"/>
      <c r="C431" s="162"/>
      <c r="D431" s="163"/>
      <c r="E431" s="162"/>
      <c r="F431" s="162"/>
      <c r="G431" s="162"/>
      <c r="H431" s="162"/>
      <c r="I431" s="162"/>
      <c r="J431" s="162"/>
      <c r="K431" s="162"/>
      <c r="L431" s="163"/>
    </row>
    <row r="432" spans="2:12" ht="19.2" customHeight="1" x14ac:dyDescent="0.3">
      <c r="B432" s="161"/>
      <c r="C432" s="162"/>
      <c r="D432" s="163"/>
      <c r="E432" s="162"/>
      <c r="F432" s="162"/>
      <c r="G432" s="162"/>
      <c r="H432" s="162"/>
      <c r="I432" s="162"/>
      <c r="J432" s="162"/>
      <c r="K432" s="162"/>
      <c r="L432" s="163"/>
    </row>
    <row r="433" spans="2:12" ht="19.2" customHeight="1" x14ac:dyDescent="0.3">
      <c r="B433" s="161"/>
      <c r="C433" s="162"/>
      <c r="D433" s="163"/>
      <c r="E433" s="162"/>
      <c r="F433" s="162"/>
      <c r="G433" s="162"/>
      <c r="H433" s="162"/>
      <c r="I433" s="162"/>
      <c r="J433" s="162"/>
      <c r="K433" s="162"/>
      <c r="L433" s="163"/>
    </row>
    <row r="434" spans="2:12" ht="19.2" customHeight="1" x14ac:dyDescent="0.3">
      <c r="B434" s="161"/>
      <c r="C434" s="162"/>
      <c r="D434" s="163"/>
      <c r="E434" s="162"/>
      <c r="F434" s="162"/>
      <c r="G434" s="162"/>
      <c r="H434" s="162"/>
      <c r="I434" s="162"/>
      <c r="J434" s="162"/>
      <c r="K434" s="162"/>
      <c r="L434" s="163"/>
    </row>
    <row r="435" spans="2:12" ht="19.2" customHeight="1" x14ac:dyDescent="0.3">
      <c r="B435" s="161"/>
      <c r="C435" s="162"/>
      <c r="D435" s="163"/>
      <c r="E435" s="162"/>
      <c r="F435" s="162"/>
      <c r="G435" s="162"/>
      <c r="H435" s="162"/>
      <c r="I435" s="162"/>
      <c r="J435" s="162"/>
      <c r="K435" s="162"/>
      <c r="L435" s="163"/>
    </row>
    <row r="436" spans="2:12" ht="19.2" customHeight="1" x14ac:dyDescent="0.3">
      <c r="B436" s="161"/>
      <c r="C436" s="162"/>
      <c r="D436" s="163"/>
      <c r="E436" s="162"/>
      <c r="F436" s="162"/>
      <c r="G436" s="162"/>
      <c r="H436" s="162"/>
      <c r="I436" s="162"/>
      <c r="J436" s="162"/>
      <c r="K436" s="162"/>
      <c r="L436" s="163"/>
    </row>
    <row r="437" spans="2:12" ht="19.2" customHeight="1" x14ac:dyDescent="0.3">
      <c r="B437" s="161"/>
      <c r="C437" s="162"/>
      <c r="D437" s="163"/>
      <c r="E437" s="162"/>
      <c r="F437" s="162"/>
      <c r="G437" s="162"/>
      <c r="H437" s="162"/>
      <c r="I437" s="162"/>
      <c r="J437" s="162"/>
      <c r="K437" s="162"/>
      <c r="L437" s="163"/>
    </row>
    <row r="438" spans="2:12" ht="19.2" customHeight="1" x14ac:dyDescent="0.3">
      <c r="B438" s="161"/>
      <c r="C438" s="162"/>
      <c r="D438" s="163"/>
      <c r="E438" s="162"/>
      <c r="F438" s="162"/>
      <c r="G438" s="162"/>
      <c r="H438" s="162"/>
      <c r="I438" s="162"/>
      <c r="J438" s="162"/>
      <c r="K438" s="162"/>
      <c r="L438" s="163"/>
    </row>
    <row r="439" spans="2:12" ht="19.2" customHeight="1" x14ac:dyDescent="0.3">
      <c r="B439" s="161"/>
      <c r="C439" s="162"/>
      <c r="D439" s="163"/>
      <c r="E439" s="162"/>
      <c r="F439" s="162"/>
      <c r="G439" s="162"/>
      <c r="H439" s="162"/>
      <c r="I439" s="162"/>
      <c r="J439" s="162"/>
      <c r="K439" s="162"/>
      <c r="L439" s="163"/>
    </row>
    <row r="440" spans="2:12" ht="19.2" customHeight="1" x14ac:dyDescent="0.3">
      <c r="B440" s="161"/>
      <c r="C440" s="162"/>
      <c r="D440" s="163"/>
      <c r="E440" s="162"/>
      <c r="F440" s="162"/>
      <c r="G440" s="162"/>
      <c r="H440" s="162"/>
      <c r="I440" s="162"/>
      <c r="J440" s="162"/>
      <c r="K440" s="162"/>
      <c r="L440" s="163"/>
    </row>
    <row r="441" spans="2:12" ht="19.2" customHeight="1" x14ac:dyDescent="0.3">
      <c r="B441" s="161"/>
      <c r="C441" s="162"/>
      <c r="D441" s="163"/>
      <c r="E441" s="162"/>
      <c r="F441" s="162"/>
      <c r="G441" s="162"/>
      <c r="H441" s="162"/>
      <c r="I441" s="162"/>
      <c r="J441" s="162"/>
      <c r="K441" s="162"/>
      <c r="L441" s="163"/>
    </row>
    <row r="442" spans="2:12" ht="19.2" customHeight="1" x14ac:dyDescent="0.3">
      <c r="B442" s="161"/>
      <c r="C442" s="162"/>
      <c r="D442" s="163"/>
      <c r="E442" s="162"/>
      <c r="F442" s="162"/>
      <c r="G442" s="162"/>
      <c r="H442" s="162"/>
      <c r="I442" s="162"/>
      <c r="J442" s="162"/>
      <c r="K442" s="162"/>
      <c r="L442" s="163"/>
    </row>
    <row r="443" spans="2:12" ht="19.2" customHeight="1" x14ac:dyDescent="0.3">
      <c r="B443" s="161"/>
      <c r="C443" s="162"/>
      <c r="D443" s="163"/>
      <c r="E443" s="162"/>
      <c r="F443" s="162"/>
      <c r="G443" s="162"/>
      <c r="H443" s="162"/>
      <c r="I443" s="162"/>
      <c r="J443" s="162"/>
      <c r="K443" s="162"/>
      <c r="L443" s="163"/>
    </row>
    <row r="444" spans="2:12" ht="19.2" customHeight="1" x14ac:dyDescent="0.3">
      <c r="B444" s="161"/>
      <c r="C444" s="162"/>
      <c r="D444" s="163"/>
      <c r="E444" s="162"/>
      <c r="F444" s="162"/>
      <c r="G444" s="162"/>
      <c r="H444" s="162"/>
      <c r="I444" s="162"/>
      <c r="J444" s="162"/>
      <c r="K444" s="162"/>
      <c r="L444" s="163"/>
    </row>
    <row r="445" spans="2:12" ht="19.2" customHeight="1" x14ac:dyDescent="0.3">
      <c r="B445" s="161"/>
      <c r="C445" s="162"/>
      <c r="D445" s="163"/>
      <c r="E445" s="162"/>
      <c r="F445" s="162"/>
      <c r="G445" s="162"/>
      <c r="H445" s="162"/>
      <c r="I445" s="162"/>
      <c r="J445" s="162"/>
      <c r="K445" s="162"/>
      <c r="L445" s="163"/>
    </row>
    <row r="446" spans="2:12" ht="19.2" customHeight="1" x14ac:dyDescent="0.3">
      <c r="B446" s="161"/>
      <c r="C446" s="162"/>
      <c r="D446" s="163"/>
      <c r="E446" s="162"/>
      <c r="F446" s="162"/>
      <c r="G446" s="162"/>
      <c r="H446" s="162"/>
      <c r="I446" s="162"/>
      <c r="J446" s="162"/>
      <c r="K446" s="162"/>
      <c r="L446" s="163"/>
    </row>
    <row r="447" spans="2:12" ht="19.2" customHeight="1" x14ac:dyDescent="0.3">
      <c r="B447" s="161"/>
      <c r="C447" s="162"/>
      <c r="D447" s="163"/>
      <c r="E447" s="162"/>
      <c r="F447" s="162"/>
      <c r="G447" s="162"/>
      <c r="H447" s="162"/>
      <c r="I447" s="162"/>
      <c r="J447" s="162"/>
      <c r="K447" s="162"/>
      <c r="L447" s="163"/>
    </row>
    <row r="448" spans="2:12" ht="19.2" customHeight="1" x14ac:dyDescent="0.3">
      <c r="B448" s="161"/>
      <c r="C448" s="162"/>
      <c r="D448" s="163"/>
      <c r="E448" s="162"/>
      <c r="F448" s="162"/>
      <c r="G448" s="162"/>
      <c r="H448" s="162"/>
      <c r="I448" s="162"/>
      <c r="J448" s="162"/>
      <c r="K448" s="162"/>
      <c r="L448" s="163"/>
    </row>
    <row r="449" spans="2:12" ht="19.2" customHeight="1" x14ac:dyDescent="0.3">
      <c r="B449" s="161"/>
      <c r="C449" s="162"/>
      <c r="D449" s="163"/>
      <c r="E449" s="162"/>
      <c r="F449" s="162"/>
      <c r="G449" s="162"/>
      <c r="H449" s="162"/>
      <c r="I449" s="162"/>
      <c r="J449" s="162"/>
      <c r="K449" s="162"/>
      <c r="L449" s="163"/>
    </row>
    <row r="450" spans="2:12" ht="19.2" customHeight="1" x14ac:dyDescent="0.3">
      <c r="B450" s="161"/>
      <c r="C450" s="162"/>
      <c r="D450" s="163"/>
      <c r="E450" s="162"/>
      <c r="F450" s="162"/>
      <c r="G450" s="162"/>
      <c r="H450" s="162"/>
      <c r="I450" s="162"/>
      <c r="J450" s="162"/>
      <c r="K450" s="162"/>
      <c r="L450" s="163"/>
    </row>
    <row r="451" spans="2:12" ht="19.2" customHeight="1" x14ac:dyDescent="0.3">
      <c r="B451" s="161"/>
      <c r="C451" s="162"/>
      <c r="D451" s="163"/>
      <c r="E451" s="162"/>
      <c r="F451" s="162"/>
      <c r="G451" s="162"/>
      <c r="H451" s="162"/>
      <c r="I451" s="162"/>
      <c r="J451" s="162"/>
      <c r="K451" s="162"/>
      <c r="L451" s="163"/>
    </row>
    <row r="452" spans="2:12" ht="19.2" customHeight="1" x14ac:dyDescent="0.3">
      <c r="B452" s="161"/>
      <c r="C452" s="162"/>
      <c r="D452" s="163"/>
      <c r="E452" s="162"/>
      <c r="F452" s="162"/>
      <c r="G452" s="162"/>
      <c r="H452" s="162"/>
      <c r="I452" s="162"/>
      <c r="J452" s="162"/>
      <c r="K452" s="162"/>
      <c r="L452" s="163"/>
    </row>
    <row r="453" spans="2:12" ht="19.2" customHeight="1" x14ac:dyDescent="0.3">
      <c r="B453" s="161"/>
      <c r="C453" s="162"/>
      <c r="D453" s="163"/>
      <c r="E453" s="162"/>
      <c r="F453" s="162"/>
      <c r="G453" s="162"/>
      <c r="H453" s="162"/>
      <c r="I453" s="162"/>
      <c r="J453" s="162"/>
      <c r="K453" s="162"/>
      <c r="L453" s="163"/>
    </row>
    <row r="454" spans="2:12" ht="19.2" customHeight="1" x14ac:dyDescent="0.3">
      <c r="B454" s="161"/>
      <c r="C454" s="162"/>
      <c r="D454" s="163"/>
      <c r="E454" s="162"/>
      <c r="F454" s="162"/>
      <c r="G454" s="162"/>
      <c r="H454" s="162"/>
      <c r="I454" s="162"/>
      <c r="J454" s="162"/>
      <c r="K454" s="162"/>
      <c r="L454" s="163"/>
    </row>
    <row r="455" spans="2:12" ht="19.2" customHeight="1" x14ac:dyDescent="0.3">
      <c r="B455" s="161"/>
      <c r="C455" s="162"/>
      <c r="D455" s="163"/>
      <c r="E455" s="162"/>
      <c r="F455" s="162"/>
      <c r="G455" s="162"/>
      <c r="H455" s="162"/>
      <c r="I455" s="162"/>
      <c r="J455" s="162"/>
      <c r="K455" s="162"/>
      <c r="L455" s="163"/>
    </row>
    <row r="456" spans="2:12" ht="19.2" customHeight="1" x14ac:dyDescent="0.3">
      <c r="B456" s="161"/>
      <c r="C456" s="162"/>
      <c r="D456" s="163"/>
      <c r="E456" s="162"/>
      <c r="F456" s="162"/>
      <c r="G456" s="162"/>
      <c r="H456" s="162"/>
      <c r="I456" s="162"/>
      <c r="J456" s="162"/>
      <c r="K456" s="162"/>
      <c r="L456" s="163"/>
    </row>
    <row r="457" spans="2:12" ht="19.2" customHeight="1" x14ac:dyDescent="0.3">
      <c r="B457" s="161"/>
      <c r="C457" s="162"/>
      <c r="D457" s="163"/>
      <c r="E457" s="162"/>
      <c r="F457" s="162"/>
      <c r="G457" s="162"/>
      <c r="H457" s="162"/>
      <c r="I457" s="162"/>
      <c r="J457" s="162"/>
      <c r="K457" s="162"/>
      <c r="L457" s="163"/>
    </row>
    <row r="458" spans="2:12" ht="19.2" customHeight="1" x14ac:dyDescent="0.3">
      <c r="B458" s="161"/>
      <c r="C458" s="162"/>
      <c r="D458" s="163"/>
      <c r="E458" s="162"/>
      <c r="F458" s="162"/>
      <c r="G458" s="162"/>
      <c r="H458" s="162"/>
      <c r="I458" s="162"/>
      <c r="J458" s="162"/>
      <c r="K458" s="162"/>
      <c r="L458" s="163"/>
    </row>
    <row r="459" spans="2:12" ht="19.2" customHeight="1" x14ac:dyDescent="0.3">
      <c r="B459" s="161"/>
      <c r="C459" s="162"/>
      <c r="D459" s="163"/>
      <c r="E459" s="162"/>
      <c r="F459" s="162"/>
      <c r="G459" s="162"/>
      <c r="H459" s="162"/>
      <c r="I459" s="162"/>
      <c r="J459" s="162"/>
      <c r="K459" s="162"/>
      <c r="L459" s="163"/>
    </row>
    <row r="460" spans="2:12" ht="19.2" customHeight="1" x14ac:dyDescent="0.3">
      <c r="B460" s="161"/>
      <c r="C460" s="162"/>
      <c r="D460" s="163"/>
      <c r="E460" s="162"/>
      <c r="F460" s="162"/>
      <c r="G460" s="162"/>
      <c r="H460" s="162"/>
      <c r="I460" s="162"/>
      <c r="J460" s="162"/>
      <c r="K460" s="162"/>
      <c r="L460" s="163"/>
    </row>
    <row r="461" spans="2:12" ht="19.2" customHeight="1" x14ac:dyDescent="0.3">
      <c r="B461" s="161"/>
      <c r="C461" s="162"/>
      <c r="D461" s="163"/>
      <c r="E461" s="162"/>
      <c r="F461" s="162"/>
      <c r="G461" s="162"/>
      <c r="H461" s="162"/>
      <c r="I461" s="162"/>
      <c r="J461" s="162"/>
      <c r="K461" s="162"/>
      <c r="L461" s="163"/>
    </row>
    <row r="462" spans="2:12" ht="19.2" customHeight="1" x14ac:dyDescent="0.3">
      <c r="B462" s="161"/>
      <c r="C462" s="162"/>
      <c r="D462" s="163"/>
      <c r="E462" s="162"/>
      <c r="F462" s="162"/>
      <c r="G462" s="162"/>
      <c r="H462" s="162"/>
      <c r="I462" s="162"/>
      <c r="J462" s="162"/>
      <c r="K462" s="162"/>
      <c r="L462" s="163"/>
    </row>
    <row r="463" spans="2:12" ht="19.2" customHeight="1" x14ac:dyDescent="0.3">
      <c r="B463" s="161"/>
      <c r="C463" s="162"/>
      <c r="D463" s="163"/>
      <c r="E463" s="162"/>
      <c r="F463" s="162"/>
      <c r="G463" s="162"/>
      <c r="H463" s="162"/>
      <c r="I463" s="162"/>
      <c r="J463" s="162"/>
      <c r="K463" s="162"/>
      <c r="L463" s="163"/>
    </row>
    <row r="464" spans="2:12" ht="19.2" customHeight="1" x14ac:dyDescent="0.3">
      <c r="B464" s="161"/>
      <c r="C464" s="162"/>
      <c r="D464" s="163"/>
      <c r="E464" s="162"/>
      <c r="F464" s="162"/>
      <c r="G464" s="162"/>
      <c r="H464" s="162"/>
      <c r="I464" s="162"/>
      <c r="J464" s="162"/>
      <c r="K464" s="162"/>
      <c r="L464" s="163"/>
    </row>
    <row r="465" spans="2:12" ht="19.2" customHeight="1" x14ac:dyDescent="0.3">
      <c r="B465" s="161"/>
      <c r="C465" s="162"/>
      <c r="D465" s="163"/>
      <c r="E465" s="162"/>
      <c r="F465" s="162"/>
      <c r="G465" s="162"/>
      <c r="H465" s="162"/>
      <c r="I465" s="162"/>
      <c r="J465" s="162"/>
      <c r="K465" s="162"/>
      <c r="L465" s="163"/>
    </row>
    <row r="466" spans="2:12" ht="19.2" customHeight="1" x14ac:dyDescent="0.3">
      <c r="B466" s="161"/>
      <c r="C466" s="162"/>
      <c r="D466" s="163"/>
      <c r="E466" s="162"/>
      <c r="F466" s="162"/>
      <c r="G466" s="162"/>
      <c r="H466" s="162"/>
      <c r="I466" s="162"/>
      <c r="J466" s="162"/>
      <c r="K466" s="162"/>
      <c r="L466" s="163"/>
    </row>
    <row r="467" spans="2:12" ht="19.2" customHeight="1" x14ac:dyDescent="0.3">
      <c r="B467" s="161"/>
      <c r="C467" s="162"/>
      <c r="D467" s="163"/>
      <c r="E467" s="162"/>
      <c r="F467" s="162"/>
      <c r="G467" s="162"/>
      <c r="H467" s="162"/>
      <c r="I467" s="162"/>
      <c r="J467" s="162"/>
      <c r="K467" s="162"/>
      <c r="L467" s="163"/>
    </row>
    <row r="468" spans="2:12" ht="19.2" customHeight="1" x14ac:dyDescent="0.3">
      <c r="B468" s="161"/>
      <c r="C468" s="162"/>
      <c r="D468" s="163"/>
      <c r="E468" s="162"/>
      <c r="F468" s="162"/>
      <c r="G468" s="162"/>
      <c r="H468" s="162"/>
      <c r="I468" s="162"/>
      <c r="J468" s="162"/>
      <c r="K468" s="162"/>
      <c r="L468" s="163"/>
    </row>
    <row r="469" spans="2:12" ht="19.2" customHeight="1" x14ac:dyDescent="0.3">
      <c r="B469" s="161"/>
      <c r="C469" s="162"/>
      <c r="D469" s="163"/>
      <c r="E469" s="162"/>
      <c r="F469" s="162"/>
      <c r="G469" s="162"/>
      <c r="H469" s="162"/>
      <c r="I469" s="162"/>
      <c r="J469" s="162"/>
      <c r="K469" s="162"/>
      <c r="L469" s="163"/>
    </row>
    <row r="470" spans="2:12" ht="19.2" customHeight="1" x14ac:dyDescent="0.3">
      <c r="B470" s="161"/>
      <c r="C470" s="162"/>
      <c r="D470" s="163"/>
      <c r="E470" s="162"/>
      <c r="F470" s="162"/>
      <c r="G470" s="162"/>
      <c r="H470" s="162"/>
      <c r="I470" s="162"/>
      <c r="J470" s="162"/>
      <c r="K470" s="162"/>
      <c r="L470" s="163"/>
    </row>
    <row r="471" spans="2:12" ht="19.2" customHeight="1" x14ac:dyDescent="0.3">
      <c r="B471" s="161"/>
      <c r="C471" s="162"/>
      <c r="D471" s="163"/>
      <c r="E471" s="162"/>
      <c r="F471" s="162"/>
      <c r="G471" s="162"/>
      <c r="H471" s="162"/>
      <c r="I471" s="162"/>
      <c r="J471" s="162"/>
      <c r="K471" s="162"/>
      <c r="L471" s="163"/>
    </row>
    <row r="472" spans="2:12" ht="19.2" customHeight="1" x14ac:dyDescent="0.3">
      <c r="B472" s="161"/>
      <c r="C472" s="162"/>
      <c r="D472" s="163"/>
      <c r="E472" s="162"/>
      <c r="F472" s="162"/>
      <c r="G472" s="162"/>
      <c r="H472" s="162"/>
      <c r="I472" s="162"/>
      <c r="J472" s="162"/>
      <c r="K472" s="162"/>
      <c r="L472" s="163"/>
    </row>
    <row r="473" spans="2:12" ht="19.2" customHeight="1" x14ac:dyDescent="0.3">
      <c r="B473" s="161"/>
      <c r="C473" s="162"/>
      <c r="D473" s="163"/>
      <c r="E473" s="162"/>
      <c r="F473" s="162"/>
      <c r="G473" s="162"/>
      <c r="H473" s="162"/>
      <c r="I473" s="162"/>
      <c r="J473" s="162"/>
      <c r="K473" s="162"/>
      <c r="L473" s="163"/>
    </row>
    <row r="474" spans="2:12" ht="19.2" customHeight="1" x14ac:dyDescent="0.3">
      <c r="B474" s="161"/>
      <c r="C474" s="162"/>
      <c r="D474" s="163"/>
      <c r="E474" s="162"/>
      <c r="F474" s="162"/>
      <c r="G474" s="162"/>
      <c r="H474" s="162"/>
      <c r="I474" s="162"/>
      <c r="J474" s="162"/>
      <c r="K474" s="162"/>
      <c r="L474" s="163"/>
    </row>
    <row r="475" spans="2:12" ht="19.2" customHeight="1" x14ac:dyDescent="0.3">
      <c r="B475" s="161"/>
      <c r="C475" s="162"/>
      <c r="D475" s="163"/>
      <c r="E475" s="162"/>
      <c r="F475" s="162"/>
      <c r="G475" s="162"/>
      <c r="H475" s="162"/>
      <c r="I475" s="162"/>
      <c r="J475" s="162"/>
      <c r="K475" s="162"/>
      <c r="L475" s="163"/>
    </row>
    <row r="476" spans="2:12" ht="19.2" customHeight="1" x14ac:dyDescent="0.3">
      <c r="B476" s="161"/>
      <c r="C476" s="162"/>
      <c r="D476" s="163"/>
      <c r="E476" s="162"/>
      <c r="F476" s="162"/>
      <c r="G476" s="162"/>
      <c r="H476" s="162"/>
      <c r="I476" s="162"/>
      <c r="J476" s="162"/>
      <c r="K476" s="162"/>
      <c r="L476" s="163"/>
    </row>
    <row r="477" spans="2:12" ht="19.2" customHeight="1" x14ac:dyDescent="0.3">
      <c r="B477" s="161"/>
      <c r="C477" s="162"/>
      <c r="D477" s="163"/>
      <c r="E477" s="162"/>
      <c r="F477" s="162"/>
      <c r="G477" s="162"/>
      <c r="H477" s="162"/>
      <c r="I477" s="162"/>
      <c r="J477" s="162"/>
      <c r="K477" s="162"/>
      <c r="L477" s="163"/>
    </row>
    <row r="478" spans="2:12" ht="19.2" customHeight="1" x14ac:dyDescent="0.3">
      <c r="B478" s="161"/>
      <c r="C478" s="162"/>
      <c r="D478" s="163"/>
      <c r="E478" s="162"/>
      <c r="F478" s="162"/>
      <c r="G478" s="162"/>
      <c r="H478" s="162"/>
      <c r="I478" s="162"/>
      <c r="J478" s="162"/>
      <c r="K478" s="162"/>
      <c r="L478" s="163"/>
    </row>
    <row r="479" spans="2:12" ht="19.2" customHeight="1" x14ac:dyDescent="0.3">
      <c r="B479" s="161"/>
      <c r="C479" s="162"/>
      <c r="D479" s="163"/>
      <c r="E479" s="162"/>
      <c r="F479" s="162"/>
      <c r="G479" s="162"/>
      <c r="H479" s="162"/>
      <c r="I479" s="162"/>
      <c r="J479" s="162"/>
      <c r="K479" s="162"/>
      <c r="L479" s="163"/>
    </row>
    <row r="480" spans="2:12" ht="19.2" customHeight="1" x14ac:dyDescent="0.3">
      <c r="B480" s="161"/>
      <c r="C480" s="162"/>
      <c r="D480" s="163"/>
      <c r="E480" s="162"/>
      <c r="F480" s="162"/>
      <c r="G480" s="162"/>
      <c r="H480" s="162"/>
      <c r="I480" s="162"/>
      <c r="J480" s="162"/>
      <c r="K480" s="162"/>
      <c r="L480" s="163"/>
    </row>
    <row r="481" spans="2:12" ht="19.2" customHeight="1" x14ac:dyDescent="0.3">
      <c r="B481" s="161"/>
      <c r="C481" s="162"/>
      <c r="D481" s="163"/>
      <c r="E481" s="162"/>
      <c r="F481" s="162"/>
      <c r="G481" s="162"/>
      <c r="H481" s="162"/>
      <c r="I481" s="162"/>
      <c r="J481" s="162"/>
      <c r="K481" s="162"/>
      <c r="L481" s="163"/>
    </row>
    <row r="482" spans="2:12" ht="19.2" customHeight="1" x14ac:dyDescent="0.3">
      <c r="B482" s="161"/>
      <c r="C482" s="162"/>
      <c r="D482" s="163"/>
      <c r="E482" s="162"/>
      <c r="F482" s="162"/>
      <c r="G482" s="162"/>
      <c r="H482" s="162"/>
      <c r="I482" s="162"/>
      <c r="J482" s="162"/>
      <c r="K482" s="162"/>
      <c r="L482" s="163"/>
    </row>
    <row r="483" spans="2:12" ht="19.2" customHeight="1" x14ac:dyDescent="0.3">
      <c r="B483" s="161"/>
      <c r="C483" s="162"/>
      <c r="D483" s="163"/>
      <c r="E483" s="162"/>
      <c r="F483" s="162"/>
      <c r="G483" s="162"/>
      <c r="H483" s="162"/>
      <c r="I483" s="162"/>
      <c r="J483" s="162"/>
      <c r="K483" s="162"/>
      <c r="L483" s="163"/>
    </row>
    <row r="484" spans="2:12" ht="19.2" customHeight="1" x14ac:dyDescent="0.3">
      <c r="B484" s="161"/>
      <c r="C484" s="162"/>
      <c r="D484" s="163"/>
      <c r="E484" s="162"/>
      <c r="F484" s="162"/>
      <c r="G484" s="162"/>
      <c r="H484" s="162"/>
      <c r="I484" s="162"/>
      <c r="J484" s="162"/>
      <c r="K484" s="162"/>
      <c r="L484" s="163"/>
    </row>
    <row r="485" spans="2:12" ht="19.2" customHeight="1" x14ac:dyDescent="0.3">
      <c r="B485" s="161"/>
      <c r="C485" s="162"/>
      <c r="D485" s="163"/>
      <c r="E485" s="162"/>
      <c r="F485" s="162"/>
      <c r="G485" s="162"/>
      <c r="H485" s="162"/>
      <c r="I485" s="162"/>
      <c r="J485" s="162"/>
      <c r="K485" s="162"/>
      <c r="L485" s="163"/>
    </row>
    <row r="486" spans="2:12" ht="19.2" customHeight="1" x14ac:dyDescent="0.3">
      <c r="B486" s="161"/>
      <c r="C486" s="162"/>
      <c r="D486" s="163"/>
      <c r="E486" s="162"/>
      <c r="F486" s="162"/>
      <c r="G486" s="162"/>
      <c r="H486" s="162"/>
      <c r="I486" s="162"/>
      <c r="J486" s="162"/>
      <c r="K486" s="162"/>
      <c r="L486" s="163"/>
    </row>
    <row r="487" spans="2:12" ht="19.2" customHeight="1" x14ac:dyDescent="0.3">
      <c r="B487" s="161"/>
      <c r="C487" s="162"/>
      <c r="D487" s="163"/>
      <c r="E487" s="162"/>
      <c r="F487" s="162"/>
      <c r="G487" s="162"/>
      <c r="H487" s="162"/>
      <c r="I487" s="162"/>
      <c r="J487" s="162"/>
      <c r="K487" s="162"/>
      <c r="L487" s="163"/>
    </row>
    <row r="488" spans="2:12" ht="19.2" customHeight="1" x14ac:dyDescent="0.3">
      <c r="B488" s="161"/>
      <c r="C488" s="162"/>
      <c r="D488" s="163"/>
      <c r="E488" s="162"/>
      <c r="F488" s="162"/>
      <c r="G488" s="162"/>
      <c r="H488" s="162"/>
      <c r="I488" s="162"/>
      <c r="J488" s="162"/>
      <c r="K488" s="162"/>
      <c r="L488" s="163"/>
    </row>
    <row r="489" spans="2:12" ht="19.2" customHeight="1" x14ac:dyDescent="0.3">
      <c r="B489" s="161"/>
      <c r="C489" s="162"/>
      <c r="D489" s="163"/>
      <c r="E489" s="162"/>
      <c r="F489" s="162"/>
      <c r="G489" s="162"/>
      <c r="H489" s="162"/>
      <c r="I489" s="162"/>
      <c r="J489" s="162"/>
      <c r="K489" s="162"/>
      <c r="L489" s="163"/>
    </row>
    <row r="490" spans="2:12" ht="19.2" customHeight="1" x14ac:dyDescent="0.3">
      <c r="B490" s="161"/>
      <c r="C490" s="162"/>
      <c r="D490" s="163"/>
      <c r="E490" s="162"/>
      <c r="F490" s="162"/>
      <c r="G490" s="162"/>
      <c r="H490" s="162"/>
      <c r="I490" s="162"/>
      <c r="J490" s="162"/>
      <c r="K490" s="162"/>
      <c r="L490" s="163"/>
    </row>
    <row r="491" spans="2:12" ht="19.2" customHeight="1" x14ac:dyDescent="0.3">
      <c r="B491" s="161"/>
      <c r="C491" s="162"/>
      <c r="D491" s="163"/>
      <c r="E491" s="162"/>
      <c r="F491" s="162"/>
      <c r="G491" s="162"/>
      <c r="H491" s="162"/>
      <c r="I491" s="162"/>
      <c r="J491" s="162"/>
      <c r="K491" s="162"/>
      <c r="L491" s="163"/>
    </row>
    <row r="492" spans="2:12" ht="19.2" customHeight="1" x14ac:dyDescent="0.3">
      <c r="B492" s="161"/>
      <c r="C492" s="162"/>
      <c r="D492" s="163"/>
      <c r="E492" s="162"/>
      <c r="F492" s="162"/>
      <c r="G492" s="162"/>
      <c r="H492" s="162"/>
      <c r="I492" s="162"/>
      <c r="J492" s="162"/>
      <c r="K492" s="162"/>
      <c r="L492" s="163"/>
    </row>
    <row r="493" spans="2:12" ht="19.2" customHeight="1" x14ac:dyDescent="0.3">
      <c r="B493" s="161"/>
      <c r="C493" s="162"/>
      <c r="D493" s="163"/>
      <c r="E493" s="162"/>
      <c r="F493" s="162"/>
      <c r="G493" s="162"/>
      <c r="H493" s="162"/>
      <c r="I493" s="162"/>
      <c r="J493" s="162"/>
      <c r="K493" s="162"/>
      <c r="L493" s="163"/>
    </row>
    <row r="494" spans="2:12" ht="19.2" customHeight="1" x14ac:dyDescent="0.3">
      <c r="B494" s="161"/>
      <c r="C494" s="162"/>
      <c r="D494" s="163"/>
      <c r="E494" s="162"/>
      <c r="F494" s="162"/>
      <c r="G494" s="162"/>
      <c r="H494" s="162"/>
      <c r="I494" s="162"/>
      <c r="J494" s="162"/>
      <c r="K494" s="162"/>
      <c r="L494" s="163"/>
    </row>
    <row r="495" spans="2:12" ht="19.2" customHeight="1" x14ac:dyDescent="0.3">
      <c r="B495" s="161"/>
      <c r="C495" s="162"/>
      <c r="D495" s="163"/>
      <c r="E495" s="162"/>
      <c r="F495" s="162"/>
      <c r="G495" s="162"/>
      <c r="H495" s="162"/>
      <c r="I495" s="162"/>
      <c r="J495" s="162"/>
      <c r="K495" s="162"/>
      <c r="L495" s="163"/>
    </row>
    <row r="496" spans="2:12" ht="19.2" customHeight="1" x14ac:dyDescent="0.3">
      <c r="B496" s="161"/>
      <c r="C496" s="162"/>
      <c r="D496" s="163"/>
      <c r="E496" s="162"/>
      <c r="F496" s="162"/>
      <c r="G496" s="162"/>
      <c r="H496" s="162"/>
      <c r="I496" s="162"/>
      <c r="J496" s="162"/>
      <c r="K496" s="162"/>
      <c r="L496" s="163"/>
    </row>
    <row r="497" spans="2:12" ht="19.2" customHeight="1" x14ac:dyDescent="0.3">
      <c r="B497" s="161"/>
      <c r="C497" s="162"/>
      <c r="D497" s="163"/>
      <c r="E497" s="162"/>
      <c r="F497" s="162"/>
      <c r="G497" s="162"/>
      <c r="H497" s="162"/>
      <c r="I497" s="162"/>
      <c r="J497" s="162"/>
      <c r="K497" s="162"/>
      <c r="L497" s="163"/>
    </row>
    <row r="498" spans="2:12" ht="19.2" customHeight="1" x14ac:dyDescent="0.3">
      <c r="B498" s="161"/>
      <c r="C498" s="162"/>
      <c r="D498" s="163"/>
      <c r="E498" s="162"/>
      <c r="F498" s="162"/>
      <c r="G498" s="162"/>
      <c r="H498" s="162"/>
      <c r="I498" s="162"/>
      <c r="J498" s="162"/>
      <c r="K498" s="162"/>
      <c r="L498" s="163"/>
    </row>
    <row r="499" spans="2:12" ht="19.2" customHeight="1" x14ac:dyDescent="0.3">
      <c r="B499" s="161"/>
      <c r="C499" s="162"/>
      <c r="D499" s="163"/>
      <c r="E499" s="162"/>
      <c r="F499" s="162"/>
      <c r="G499" s="162"/>
      <c r="H499" s="162"/>
      <c r="I499" s="162"/>
      <c r="J499" s="162"/>
      <c r="K499" s="162"/>
      <c r="L499" s="163"/>
    </row>
    <row r="500" spans="2:12" ht="19.2" customHeight="1" x14ac:dyDescent="0.3">
      <c r="B500" s="161"/>
      <c r="C500" s="162"/>
      <c r="D500" s="163"/>
      <c r="E500" s="162"/>
      <c r="F500" s="162"/>
      <c r="G500" s="162"/>
      <c r="H500" s="162"/>
      <c r="I500" s="162"/>
      <c r="J500" s="162"/>
      <c r="K500" s="162"/>
      <c r="L500" s="163"/>
    </row>
    <row r="501" spans="2:12" ht="19.2" customHeight="1" x14ac:dyDescent="0.3">
      <c r="B501" s="161"/>
      <c r="C501" s="162"/>
      <c r="D501" s="163"/>
      <c r="E501" s="162"/>
      <c r="F501" s="162"/>
      <c r="G501" s="162"/>
      <c r="H501" s="162"/>
      <c r="I501" s="162"/>
      <c r="J501" s="162"/>
      <c r="K501" s="162"/>
      <c r="L501" s="163"/>
    </row>
    <row r="502" spans="2:12" ht="19.2" customHeight="1" x14ac:dyDescent="0.3">
      <c r="B502" s="161"/>
      <c r="C502" s="162"/>
      <c r="D502" s="163"/>
      <c r="E502" s="162"/>
      <c r="F502" s="162"/>
      <c r="G502" s="162"/>
      <c r="H502" s="162"/>
      <c r="I502" s="162"/>
      <c r="J502" s="162"/>
      <c r="K502" s="162"/>
      <c r="L502" s="163"/>
    </row>
    <row r="503" spans="2:12" ht="19.2" customHeight="1" x14ac:dyDescent="0.3">
      <c r="B503" s="161"/>
      <c r="C503" s="162"/>
      <c r="D503" s="163"/>
      <c r="E503" s="162"/>
      <c r="F503" s="162"/>
      <c r="G503" s="162"/>
      <c r="H503" s="162"/>
      <c r="I503" s="162"/>
      <c r="J503" s="162"/>
      <c r="K503" s="162"/>
      <c r="L503" s="163"/>
    </row>
    <row r="504" spans="2:12" ht="19.2" customHeight="1" x14ac:dyDescent="0.3">
      <c r="B504" s="161"/>
      <c r="C504" s="162"/>
      <c r="D504" s="163"/>
      <c r="E504" s="162"/>
      <c r="F504" s="162"/>
      <c r="G504" s="162"/>
      <c r="H504" s="162"/>
      <c r="I504" s="162"/>
      <c r="J504" s="162"/>
      <c r="K504" s="162"/>
      <c r="L504" s="163"/>
    </row>
    <row r="505" spans="2:12" ht="19.2" customHeight="1" x14ac:dyDescent="0.3">
      <c r="B505" s="161"/>
      <c r="C505" s="162"/>
      <c r="D505" s="163"/>
      <c r="E505" s="162"/>
      <c r="F505" s="162"/>
      <c r="G505" s="162"/>
      <c r="H505" s="162"/>
      <c r="I505" s="162"/>
      <c r="J505" s="162"/>
      <c r="K505" s="162"/>
      <c r="L505" s="163"/>
    </row>
    <row r="506" spans="2:12" ht="19.2" customHeight="1" x14ac:dyDescent="0.3">
      <c r="B506" s="161"/>
      <c r="C506" s="162"/>
      <c r="D506" s="163"/>
      <c r="E506" s="162"/>
      <c r="F506" s="162"/>
      <c r="G506" s="162"/>
      <c r="H506" s="162"/>
      <c r="I506" s="162"/>
      <c r="J506" s="162"/>
      <c r="K506" s="162"/>
      <c r="L506" s="163"/>
    </row>
    <row r="507" spans="2:12" ht="19.2" customHeight="1" x14ac:dyDescent="0.3">
      <c r="B507" s="161"/>
      <c r="C507" s="162"/>
      <c r="D507" s="163"/>
      <c r="E507" s="162"/>
      <c r="F507" s="162"/>
      <c r="G507" s="162"/>
      <c r="H507" s="162"/>
      <c r="I507" s="162"/>
      <c r="J507" s="162"/>
      <c r="K507" s="162"/>
      <c r="L507" s="163"/>
    </row>
    <row r="508" spans="2:12" ht="19.2" customHeight="1" x14ac:dyDescent="0.3">
      <c r="B508" s="161"/>
      <c r="C508" s="162"/>
      <c r="D508" s="163"/>
      <c r="E508" s="162"/>
      <c r="F508" s="162"/>
      <c r="G508" s="162"/>
      <c r="H508" s="162"/>
      <c r="I508" s="162"/>
      <c r="J508" s="162"/>
      <c r="K508" s="162"/>
      <c r="L508" s="163"/>
    </row>
    <row r="509" spans="2:12" ht="19.2" customHeight="1" x14ac:dyDescent="0.3">
      <c r="B509" s="161"/>
      <c r="C509" s="162"/>
      <c r="D509" s="163"/>
      <c r="E509" s="162"/>
      <c r="F509" s="162"/>
      <c r="G509" s="162"/>
      <c r="H509" s="162"/>
      <c r="I509" s="162"/>
      <c r="J509" s="162"/>
      <c r="K509" s="162"/>
      <c r="L509" s="163"/>
    </row>
    <row r="510" spans="2:12" ht="19.2" customHeight="1" x14ac:dyDescent="0.3">
      <c r="B510" s="161"/>
      <c r="C510" s="162"/>
      <c r="D510" s="163"/>
      <c r="E510" s="162"/>
      <c r="F510" s="162"/>
      <c r="G510" s="162"/>
      <c r="H510" s="162"/>
      <c r="I510" s="162"/>
      <c r="J510" s="162"/>
      <c r="K510" s="162"/>
      <c r="L510" s="163"/>
    </row>
    <row r="511" spans="2:12" ht="19.2" customHeight="1" x14ac:dyDescent="0.3">
      <c r="B511" s="161"/>
      <c r="C511" s="162"/>
      <c r="D511" s="163"/>
      <c r="E511" s="162"/>
      <c r="F511" s="162"/>
      <c r="G511" s="162"/>
      <c r="H511" s="162"/>
      <c r="I511" s="162"/>
      <c r="J511" s="162"/>
      <c r="K511" s="162"/>
      <c r="L511" s="163"/>
    </row>
    <row r="512" spans="2:12" ht="19.2" customHeight="1" x14ac:dyDescent="0.3">
      <c r="B512" s="161"/>
      <c r="C512" s="162"/>
      <c r="D512" s="163"/>
      <c r="E512" s="162"/>
      <c r="F512" s="162"/>
      <c r="G512" s="162"/>
      <c r="H512" s="162"/>
      <c r="I512" s="162"/>
      <c r="J512" s="162"/>
      <c r="K512" s="162"/>
      <c r="L512" s="163"/>
    </row>
    <row r="513" spans="2:12" ht="19.2" customHeight="1" x14ac:dyDescent="0.3">
      <c r="B513" s="161"/>
      <c r="C513" s="162"/>
      <c r="D513" s="163"/>
      <c r="E513" s="162"/>
      <c r="F513" s="162"/>
      <c r="G513" s="162"/>
      <c r="H513" s="162"/>
      <c r="I513" s="162"/>
      <c r="J513" s="162"/>
      <c r="K513" s="162"/>
      <c r="L513" s="163"/>
    </row>
    <row r="514" spans="2:12" ht="19.2" customHeight="1" x14ac:dyDescent="0.3">
      <c r="B514" s="161"/>
      <c r="C514" s="162"/>
      <c r="D514" s="163"/>
      <c r="E514" s="162"/>
      <c r="F514" s="162"/>
      <c r="G514" s="162"/>
      <c r="H514" s="162"/>
      <c r="I514" s="162"/>
      <c r="J514" s="162"/>
      <c r="K514" s="162"/>
      <c r="L514" s="163"/>
    </row>
    <row r="515" spans="2:12" ht="19.2" customHeight="1" x14ac:dyDescent="0.3">
      <c r="B515" s="161"/>
      <c r="C515" s="162"/>
      <c r="D515" s="163"/>
      <c r="E515" s="162"/>
      <c r="F515" s="162"/>
      <c r="G515" s="162"/>
      <c r="H515" s="162"/>
      <c r="I515" s="162"/>
      <c r="J515" s="162"/>
      <c r="K515" s="162"/>
      <c r="L515" s="163"/>
    </row>
    <row r="516" spans="2:12" ht="19.2" customHeight="1" x14ac:dyDescent="0.3">
      <c r="B516" s="161"/>
      <c r="C516" s="162"/>
      <c r="D516" s="163"/>
      <c r="E516" s="162"/>
      <c r="F516" s="162"/>
      <c r="G516" s="162"/>
      <c r="H516" s="162"/>
      <c r="I516" s="162"/>
      <c r="J516" s="162"/>
      <c r="K516" s="162"/>
      <c r="L516" s="163"/>
    </row>
    <row r="517" spans="2:12" ht="19.2" customHeight="1" x14ac:dyDescent="0.3">
      <c r="B517" s="161"/>
      <c r="C517" s="162"/>
      <c r="D517" s="163"/>
      <c r="E517" s="162"/>
      <c r="F517" s="162"/>
      <c r="G517" s="162"/>
      <c r="H517" s="162"/>
      <c r="I517" s="162"/>
      <c r="J517" s="162"/>
      <c r="K517" s="162"/>
      <c r="L517" s="163"/>
    </row>
    <row r="518" spans="2:12" ht="19.2" customHeight="1" x14ac:dyDescent="0.3">
      <c r="B518" s="161"/>
      <c r="C518" s="162"/>
      <c r="D518" s="163"/>
      <c r="E518" s="162"/>
      <c r="F518" s="162"/>
      <c r="G518" s="162"/>
      <c r="H518" s="162"/>
      <c r="I518" s="162"/>
      <c r="J518" s="162"/>
      <c r="K518" s="162"/>
      <c r="L518" s="163"/>
    </row>
    <row r="519" spans="2:12" ht="19.2" customHeight="1" x14ac:dyDescent="0.3">
      <c r="B519" s="161"/>
      <c r="C519" s="162"/>
      <c r="D519" s="163"/>
      <c r="E519" s="162"/>
      <c r="F519" s="162"/>
      <c r="G519" s="162"/>
      <c r="H519" s="162"/>
      <c r="I519" s="162"/>
      <c r="J519" s="162"/>
      <c r="K519" s="162"/>
      <c r="L519" s="163"/>
    </row>
    <row r="520" spans="2:12" ht="19.2" customHeight="1" x14ac:dyDescent="0.3">
      <c r="B520" s="161"/>
      <c r="C520" s="162"/>
      <c r="D520" s="163"/>
      <c r="E520" s="162"/>
      <c r="F520" s="162"/>
      <c r="G520" s="162"/>
      <c r="H520" s="162"/>
      <c r="I520" s="162"/>
      <c r="J520" s="162"/>
      <c r="K520" s="162"/>
      <c r="L520" s="163"/>
    </row>
    <row r="521" spans="2:12" ht="19.2" customHeight="1" x14ac:dyDescent="0.3">
      <c r="B521" s="161"/>
      <c r="C521" s="162"/>
      <c r="D521" s="163"/>
      <c r="E521" s="162"/>
      <c r="F521" s="162"/>
      <c r="G521" s="162"/>
      <c r="H521" s="162"/>
      <c r="I521" s="162"/>
      <c r="J521" s="162"/>
      <c r="K521" s="162"/>
      <c r="L521" s="163"/>
    </row>
    <row r="522" spans="2:12" ht="19.2" customHeight="1" x14ac:dyDescent="0.3">
      <c r="B522" s="161"/>
      <c r="C522" s="162"/>
      <c r="D522" s="163"/>
      <c r="E522" s="162"/>
      <c r="F522" s="162"/>
      <c r="G522" s="162"/>
      <c r="H522" s="162"/>
      <c r="I522" s="162"/>
      <c r="J522" s="162"/>
      <c r="K522" s="162"/>
      <c r="L522" s="163"/>
    </row>
    <row r="523" spans="2:12" ht="19.2" customHeight="1" x14ac:dyDescent="0.3">
      <c r="B523" s="161"/>
      <c r="C523" s="162"/>
      <c r="D523" s="163"/>
      <c r="E523" s="162"/>
      <c r="F523" s="162"/>
      <c r="G523" s="162"/>
      <c r="H523" s="162"/>
      <c r="I523" s="162"/>
      <c r="J523" s="162"/>
      <c r="K523" s="162"/>
      <c r="L523" s="163"/>
    </row>
    <row r="524" spans="2:12" ht="19.2" customHeight="1" x14ac:dyDescent="0.3">
      <c r="B524" s="161"/>
      <c r="C524" s="162"/>
      <c r="D524" s="163"/>
      <c r="E524" s="162"/>
      <c r="F524" s="162"/>
      <c r="G524" s="162"/>
      <c r="H524" s="162"/>
      <c r="I524" s="162"/>
      <c r="J524" s="162"/>
      <c r="K524" s="162"/>
      <c r="L524" s="163"/>
    </row>
    <row r="525" spans="2:12" ht="19.2" customHeight="1" x14ac:dyDescent="0.3">
      <c r="B525" s="161"/>
      <c r="C525" s="162"/>
      <c r="D525" s="163"/>
      <c r="E525" s="162"/>
      <c r="F525" s="162"/>
      <c r="G525" s="162"/>
      <c r="H525" s="162"/>
      <c r="I525" s="162"/>
      <c r="J525" s="162"/>
      <c r="K525" s="162"/>
      <c r="L525" s="163"/>
    </row>
    <row r="526" spans="2:12" ht="19.2" customHeight="1" x14ac:dyDescent="0.3">
      <c r="B526" s="161"/>
      <c r="C526" s="162"/>
      <c r="D526" s="163"/>
      <c r="E526" s="162"/>
      <c r="F526" s="162"/>
      <c r="G526" s="162"/>
      <c r="H526" s="162"/>
      <c r="I526" s="162"/>
      <c r="J526" s="162"/>
      <c r="K526" s="162"/>
      <c r="L526" s="163"/>
    </row>
    <row r="527" spans="2:12" ht="19.2" customHeight="1" x14ac:dyDescent="0.3">
      <c r="B527" s="161"/>
      <c r="C527" s="162"/>
      <c r="D527" s="163"/>
      <c r="E527" s="162"/>
      <c r="F527" s="162"/>
      <c r="G527" s="162"/>
      <c r="H527" s="162"/>
      <c r="I527" s="162"/>
      <c r="J527" s="162"/>
      <c r="K527" s="162"/>
      <c r="L527" s="163"/>
    </row>
    <row r="528" spans="2:12" ht="19.2" customHeight="1" x14ac:dyDescent="0.3">
      <c r="B528" s="161"/>
      <c r="C528" s="162"/>
      <c r="D528" s="163"/>
      <c r="E528" s="162"/>
      <c r="F528" s="162"/>
      <c r="G528" s="162"/>
      <c r="H528" s="162"/>
      <c r="I528" s="162"/>
      <c r="J528" s="162"/>
      <c r="K528" s="162"/>
      <c r="L528" s="163"/>
    </row>
    <row r="529" spans="2:12" ht="19.2" customHeight="1" x14ac:dyDescent="0.3">
      <c r="B529" s="161"/>
      <c r="C529" s="162"/>
      <c r="D529" s="163"/>
      <c r="E529" s="162"/>
      <c r="F529" s="162"/>
      <c r="G529" s="162"/>
      <c r="H529" s="162"/>
      <c r="I529" s="162"/>
      <c r="J529" s="162"/>
      <c r="K529" s="162"/>
      <c r="L529" s="163"/>
    </row>
    <row r="530" spans="2:12" ht="19.2" customHeight="1" x14ac:dyDescent="0.3">
      <c r="B530" s="161"/>
      <c r="C530" s="162"/>
      <c r="D530" s="163"/>
      <c r="E530" s="162"/>
      <c r="F530" s="162"/>
      <c r="G530" s="162"/>
      <c r="H530" s="162"/>
      <c r="I530" s="162"/>
      <c r="J530" s="162"/>
      <c r="K530" s="162"/>
      <c r="L530" s="163"/>
    </row>
    <row r="531" spans="2:12" ht="19.2" customHeight="1" x14ac:dyDescent="0.3">
      <c r="B531" s="161"/>
      <c r="C531" s="162"/>
      <c r="D531" s="163"/>
      <c r="E531" s="162"/>
      <c r="F531" s="162"/>
      <c r="G531" s="162"/>
      <c r="H531" s="162"/>
      <c r="I531" s="162"/>
      <c r="J531" s="162"/>
      <c r="K531" s="162"/>
      <c r="L531" s="163"/>
    </row>
    <row r="532" spans="2:12" ht="19.2" customHeight="1" x14ac:dyDescent="0.3">
      <c r="B532" s="161"/>
      <c r="C532" s="162"/>
      <c r="D532" s="163"/>
      <c r="E532" s="162"/>
      <c r="F532" s="162"/>
      <c r="G532" s="162"/>
      <c r="H532" s="162"/>
      <c r="I532" s="162"/>
      <c r="J532" s="162"/>
      <c r="K532" s="162"/>
      <c r="L532" s="163"/>
    </row>
    <row r="533" spans="2:12" ht="19.2" customHeight="1" x14ac:dyDescent="0.3">
      <c r="B533" s="161"/>
      <c r="C533" s="162"/>
      <c r="D533" s="163"/>
      <c r="E533" s="162"/>
      <c r="F533" s="162"/>
      <c r="G533" s="162"/>
      <c r="H533" s="162"/>
      <c r="I533" s="162"/>
      <c r="J533" s="162"/>
      <c r="K533" s="162"/>
      <c r="L533" s="163"/>
    </row>
    <row r="534" spans="2:12" ht="19.2" customHeight="1" x14ac:dyDescent="0.3">
      <c r="B534" s="161"/>
      <c r="C534" s="162"/>
      <c r="D534" s="163"/>
      <c r="E534" s="162"/>
      <c r="F534" s="162"/>
      <c r="G534" s="162"/>
      <c r="H534" s="162"/>
      <c r="I534" s="162"/>
      <c r="J534" s="162"/>
      <c r="K534" s="162"/>
      <c r="L534" s="163"/>
    </row>
    <row r="535" spans="2:12" ht="19.2" customHeight="1" x14ac:dyDescent="0.3">
      <c r="B535" s="161"/>
      <c r="C535" s="162"/>
      <c r="D535" s="163"/>
      <c r="E535" s="162"/>
      <c r="F535" s="162"/>
      <c r="G535" s="162"/>
      <c r="H535" s="162"/>
      <c r="I535" s="162"/>
      <c r="J535" s="162"/>
      <c r="K535" s="162"/>
      <c r="L535" s="163"/>
    </row>
    <row r="536" spans="2:12" ht="19.2" customHeight="1" x14ac:dyDescent="0.3">
      <c r="B536" s="161"/>
      <c r="C536" s="162"/>
      <c r="D536" s="163"/>
      <c r="E536" s="162"/>
      <c r="F536" s="162"/>
      <c r="G536" s="162"/>
      <c r="H536" s="162"/>
      <c r="I536" s="162"/>
      <c r="J536" s="162"/>
      <c r="K536" s="162"/>
      <c r="L536" s="163"/>
    </row>
    <row r="537" spans="2:12" ht="19.2" customHeight="1" x14ac:dyDescent="0.3">
      <c r="B537" s="161"/>
      <c r="C537" s="162"/>
      <c r="D537" s="163"/>
      <c r="E537" s="162"/>
      <c r="F537" s="162"/>
      <c r="G537" s="162"/>
      <c r="H537" s="162"/>
      <c r="I537" s="162"/>
      <c r="J537" s="162"/>
      <c r="K537" s="162"/>
      <c r="L537" s="163"/>
    </row>
    <row r="538" spans="2:12" ht="19.2" customHeight="1" x14ac:dyDescent="0.3">
      <c r="B538" s="161"/>
      <c r="C538" s="162"/>
      <c r="D538" s="163"/>
      <c r="E538" s="162"/>
      <c r="F538" s="162"/>
      <c r="G538" s="162"/>
      <c r="H538" s="162"/>
      <c r="I538" s="162"/>
      <c r="J538" s="162"/>
      <c r="K538" s="162"/>
      <c r="L538" s="163"/>
    </row>
    <row r="539" spans="2:12" ht="19.2" customHeight="1" x14ac:dyDescent="0.3">
      <c r="B539" s="161"/>
      <c r="C539" s="162"/>
      <c r="D539" s="163"/>
      <c r="E539" s="162"/>
      <c r="F539" s="162"/>
      <c r="G539" s="162"/>
      <c r="H539" s="162"/>
      <c r="I539" s="162"/>
      <c r="J539" s="162"/>
      <c r="K539" s="162"/>
      <c r="L539" s="163"/>
    </row>
    <row r="540" spans="2:12" ht="19.2" customHeight="1" x14ac:dyDescent="0.3">
      <c r="B540" s="161"/>
      <c r="C540" s="162"/>
      <c r="D540" s="163"/>
      <c r="E540" s="162"/>
      <c r="F540" s="162"/>
      <c r="G540" s="162"/>
      <c r="H540" s="162"/>
      <c r="I540" s="162"/>
      <c r="J540" s="162"/>
      <c r="K540" s="162"/>
      <c r="L540" s="163"/>
    </row>
    <row r="541" spans="2:12" ht="19.2" customHeight="1" x14ac:dyDescent="0.3">
      <c r="B541" s="161"/>
      <c r="C541" s="162"/>
      <c r="D541" s="163"/>
      <c r="E541" s="162"/>
      <c r="F541" s="162"/>
      <c r="G541" s="162"/>
      <c r="H541" s="162"/>
      <c r="I541" s="162"/>
      <c r="J541" s="162"/>
      <c r="K541" s="162"/>
      <c r="L541" s="163"/>
    </row>
    <row r="542" spans="2:12" ht="19.2" customHeight="1" x14ac:dyDescent="0.3">
      <c r="B542" s="161"/>
      <c r="C542" s="162"/>
      <c r="D542" s="163"/>
      <c r="E542" s="162"/>
      <c r="F542" s="162"/>
      <c r="G542" s="162"/>
      <c r="H542" s="162"/>
      <c r="I542" s="162"/>
      <c r="J542" s="162"/>
      <c r="K542" s="162"/>
      <c r="L542" s="163"/>
    </row>
    <row r="543" spans="2:12" ht="19.2" customHeight="1" x14ac:dyDescent="0.3">
      <c r="B543" s="161"/>
      <c r="C543" s="162"/>
      <c r="D543" s="163"/>
      <c r="E543" s="162"/>
      <c r="F543" s="162"/>
      <c r="G543" s="162"/>
      <c r="H543" s="162"/>
      <c r="I543" s="162"/>
      <c r="J543" s="162"/>
      <c r="K543" s="162"/>
      <c r="L543" s="163"/>
    </row>
    <row r="544" spans="2:12" ht="19.2" customHeight="1" x14ac:dyDescent="0.3">
      <c r="B544" s="161"/>
      <c r="C544" s="162"/>
      <c r="D544" s="163"/>
      <c r="E544" s="162"/>
      <c r="F544" s="162"/>
      <c r="G544" s="162"/>
      <c r="H544" s="162"/>
      <c r="I544" s="162"/>
      <c r="J544" s="162"/>
      <c r="K544" s="162"/>
      <c r="L544" s="163"/>
    </row>
    <row r="545" spans="2:12" ht="19.2" customHeight="1" x14ac:dyDescent="0.3">
      <c r="B545" s="161"/>
      <c r="C545" s="162"/>
      <c r="D545" s="163"/>
      <c r="E545" s="162"/>
      <c r="F545" s="162"/>
      <c r="G545" s="162"/>
      <c r="H545" s="162"/>
      <c r="I545" s="162"/>
      <c r="J545" s="162"/>
      <c r="K545" s="162"/>
      <c r="L545" s="163"/>
    </row>
    <row r="546" spans="2:12" ht="19.2" customHeight="1" x14ac:dyDescent="0.3">
      <c r="B546" s="161"/>
      <c r="C546" s="162"/>
      <c r="D546" s="163"/>
      <c r="E546" s="162"/>
      <c r="F546" s="162"/>
      <c r="G546" s="162"/>
      <c r="H546" s="162"/>
      <c r="I546" s="162"/>
      <c r="J546" s="162"/>
      <c r="K546" s="162"/>
      <c r="L546" s="163"/>
    </row>
    <row r="547" spans="2:12" ht="19.2" customHeight="1" x14ac:dyDescent="0.3">
      <c r="B547" s="161"/>
      <c r="C547" s="162"/>
      <c r="D547" s="163"/>
      <c r="E547" s="162"/>
      <c r="F547" s="162"/>
      <c r="G547" s="162"/>
      <c r="H547" s="162"/>
      <c r="I547" s="162"/>
      <c r="J547" s="162"/>
      <c r="K547" s="162"/>
      <c r="L547" s="163"/>
    </row>
    <row r="548" spans="2:12" ht="19.2" customHeight="1" x14ac:dyDescent="0.3">
      <c r="B548" s="161"/>
      <c r="C548" s="162"/>
      <c r="D548" s="163"/>
      <c r="E548" s="162"/>
      <c r="F548" s="162"/>
      <c r="G548" s="162"/>
      <c r="H548" s="162"/>
      <c r="I548" s="162"/>
      <c r="J548" s="162"/>
      <c r="K548" s="162"/>
      <c r="L548" s="163"/>
    </row>
    <row r="549" spans="2:12" ht="19.2" customHeight="1" x14ac:dyDescent="0.3">
      <c r="B549" s="161"/>
      <c r="C549" s="162"/>
      <c r="D549" s="163"/>
      <c r="E549" s="162"/>
      <c r="F549" s="162"/>
      <c r="G549" s="162"/>
      <c r="H549" s="162"/>
      <c r="I549" s="162"/>
      <c r="J549" s="162"/>
      <c r="K549" s="162"/>
      <c r="L549" s="163"/>
    </row>
    <row r="550" spans="2:12" ht="19.2" customHeight="1" x14ac:dyDescent="0.3">
      <c r="B550" s="161"/>
      <c r="C550" s="162"/>
      <c r="D550" s="163"/>
      <c r="E550" s="162"/>
      <c r="F550" s="162"/>
      <c r="G550" s="162"/>
      <c r="H550" s="162"/>
      <c r="I550" s="162"/>
      <c r="J550" s="162"/>
      <c r="K550" s="162"/>
      <c r="L550" s="163"/>
    </row>
    <row r="551" spans="2:12" ht="19.2" customHeight="1" x14ac:dyDescent="0.3">
      <c r="B551" s="161"/>
      <c r="C551" s="162"/>
      <c r="D551" s="163"/>
      <c r="E551" s="162"/>
      <c r="F551" s="162"/>
      <c r="G551" s="162"/>
      <c r="H551" s="162"/>
      <c r="I551" s="162"/>
      <c r="J551" s="162"/>
      <c r="K551" s="162"/>
      <c r="L551" s="163"/>
    </row>
    <row r="552" spans="2:12" ht="19.2" customHeight="1" x14ac:dyDescent="0.3">
      <c r="B552" s="161"/>
      <c r="C552" s="162"/>
      <c r="D552" s="163"/>
      <c r="E552" s="162"/>
      <c r="F552" s="162"/>
      <c r="G552" s="162"/>
      <c r="H552" s="162"/>
      <c r="I552" s="162"/>
      <c r="J552" s="162"/>
      <c r="K552" s="162"/>
      <c r="L552" s="163"/>
    </row>
    <row r="553" spans="2:12" ht="19.2" customHeight="1" x14ac:dyDescent="0.3">
      <c r="B553" s="161"/>
      <c r="C553" s="162"/>
      <c r="D553" s="163"/>
      <c r="E553" s="162"/>
      <c r="F553" s="162"/>
      <c r="G553" s="162"/>
      <c r="H553" s="162"/>
      <c r="I553" s="162"/>
      <c r="J553" s="162"/>
      <c r="K553" s="162"/>
      <c r="L553" s="163"/>
    </row>
    <row r="554" spans="2:12" ht="19.2" customHeight="1" x14ac:dyDescent="0.3">
      <c r="B554" s="161"/>
      <c r="C554" s="162"/>
      <c r="D554" s="163"/>
      <c r="E554" s="162"/>
      <c r="F554" s="162"/>
      <c r="G554" s="162"/>
      <c r="H554" s="162"/>
      <c r="I554" s="162"/>
      <c r="J554" s="162"/>
      <c r="K554" s="162"/>
      <c r="L554" s="163"/>
    </row>
    <row r="555" spans="2:12" ht="19.2" customHeight="1" x14ac:dyDescent="0.3">
      <c r="B555" s="161"/>
      <c r="C555" s="162"/>
      <c r="D555" s="163"/>
      <c r="E555" s="162"/>
      <c r="F555" s="162"/>
      <c r="G555" s="162"/>
      <c r="H555" s="162"/>
      <c r="I555" s="162"/>
      <c r="J555" s="162"/>
      <c r="K555" s="162"/>
      <c r="L555" s="163"/>
    </row>
    <row r="556" spans="2:12" ht="19.2" customHeight="1" x14ac:dyDescent="0.3">
      <c r="B556" s="161"/>
      <c r="C556" s="162"/>
      <c r="D556" s="163"/>
      <c r="E556" s="162"/>
      <c r="F556" s="162"/>
      <c r="G556" s="162"/>
      <c r="H556" s="162"/>
      <c r="I556" s="162"/>
      <c r="J556" s="162"/>
      <c r="K556" s="162"/>
      <c r="L556" s="163"/>
    </row>
    <row r="557" spans="2:12" ht="19.2" customHeight="1" x14ac:dyDescent="0.3">
      <c r="B557" s="161"/>
      <c r="C557" s="162"/>
      <c r="D557" s="163"/>
      <c r="E557" s="162"/>
      <c r="F557" s="162"/>
      <c r="G557" s="162"/>
      <c r="H557" s="162"/>
      <c r="I557" s="162"/>
      <c r="J557" s="162"/>
      <c r="K557" s="162"/>
      <c r="L557" s="163"/>
    </row>
    <row r="558" spans="2:12" ht="19.2" customHeight="1" x14ac:dyDescent="0.3">
      <c r="B558" s="161"/>
      <c r="C558" s="162"/>
      <c r="D558" s="163"/>
      <c r="E558" s="162"/>
      <c r="F558" s="162"/>
      <c r="G558" s="162"/>
      <c r="H558" s="162"/>
      <c r="I558" s="162"/>
      <c r="J558" s="162"/>
      <c r="K558" s="162"/>
      <c r="L558" s="163"/>
    </row>
    <row r="559" spans="2:12" ht="19.2" customHeight="1" x14ac:dyDescent="0.3">
      <c r="B559" s="161"/>
      <c r="C559" s="162"/>
      <c r="D559" s="163"/>
      <c r="E559" s="162"/>
      <c r="F559" s="162"/>
      <c r="G559" s="162"/>
      <c r="H559" s="162"/>
      <c r="I559" s="162"/>
      <c r="J559" s="162"/>
      <c r="K559" s="162"/>
      <c r="L559" s="163"/>
    </row>
    <row r="560" spans="2:12" ht="19.2" customHeight="1" x14ac:dyDescent="0.3">
      <c r="B560" s="161"/>
      <c r="C560" s="162"/>
      <c r="D560" s="163"/>
      <c r="E560" s="162"/>
      <c r="F560" s="162"/>
      <c r="G560" s="162"/>
      <c r="H560" s="162"/>
      <c r="I560" s="162"/>
      <c r="J560" s="162"/>
      <c r="K560" s="162"/>
      <c r="L560" s="163"/>
    </row>
    <row r="561" spans="2:12" ht="19.2" customHeight="1" x14ac:dyDescent="0.3">
      <c r="B561" s="161"/>
      <c r="C561" s="162"/>
      <c r="D561" s="163"/>
      <c r="E561" s="162"/>
      <c r="F561" s="162"/>
      <c r="G561" s="162"/>
      <c r="H561" s="162"/>
      <c r="I561" s="162"/>
      <c r="J561" s="162"/>
      <c r="K561" s="162"/>
      <c r="L561" s="163"/>
    </row>
    <row r="562" spans="2:12" ht="19.2" customHeight="1" x14ac:dyDescent="0.3">
      <c r="B562" s="161"/>
      <c r="C562" s="162"/>
      <c r="D562" s="163"/>
      <c r="E562" s="162"/>
      <c r="F562" s="162"/>
      <c r="G562" s="162"/>
      <c r="H562" s="162"/>
      <c r="I562" s="162"/>
      <c r="J562" s="162"/>
      <c r="K562" s="162"/>
      <c r="L562" s="163"/>
    </row>
    <row r="563" spans="2:12" ht="19.2" customHeight="1" x14ac:dyDescent="0.3">
      <c r="B563" s="161"/>
      <c r="C563" s="162"/>
      <c r="D563" s="163"/>
      <c r="E563" s="162"/>
      <c r="F563" s="162"/>
      <c r="G563" s="162"/>
      <c r="H563" s="162"/>
      <c r="I563" s="162"/>
      <c r="J563" s="162"/>
      <c r="K563" s="162"/>
      <c r="L563" s="163"/>
    </row>
    <row r="564" spans="2:12" ht="19.2" customHeight="1" x14ac:dyDescent="0.3">
      <c r="B564" s="161"/>
      <c r="C564" s="162"/>
      <c r="D564" s="163"/>
      <c r="E564" s="162"/>
      <c r="F564" s="162"/>
      <c r="G564" s="162"/>
      <c r="H564" s="162"/>
      <c r="I564" s="162"/>
      <c r="J564" s="162"/>
      <c r="K564" s="162"/>
      <c r="L564" s="163"/>
    </row>
    <row r="565" spans="2:12" ht="19.2" customHeight="1" x14ac:dyDescent="0.3">
      <c r="B565" s="161"/>
      <c r="C565" s="162"/>
      <c r="D565" s="163"/>
      <c r="E565" s="162"/>
      <c r="F565" s="162"/>
      <c r="G565" s="162"/>
      <c r="H565" s="162"/>
      <c r="I565" s="162"/>
      <c r="J565" s="162"/>
      <c r="K565" s="162"/>
      <c r="L565" s="163"/>
    </row>
    <row r="566" spans="2:12" ht="19.2" customHeight="1" x14ac:dyDescent="0.3">
      <c r="B566" s="161"/>
      <c r="C566" s="162"/>
      <c r="D566" s="163"/>
      <c r="E566" s="162"/>
      <c r="F566" s="162"/>
      <c r="G566" s="162"/>
      <c r="H566" s="162"/>
      <c r="I566" s="162"/>
      <c r="J566" s="162"/>
      <c r="K566" s="162"/>
      <c r="L566" s="163"/>
    </row>
    <row r="567" spans="2:12" ht="19.2" customHeight="1" x14ac:dyDescent="0.3">
      <c r="B567" s="161"/>
      <c r="C567" s="162"/>
      <c r="D567" s="163"/>
      <c r="E567" s="162"/>
      <c r="F567" s="162"/>
      <c r="G567" s="162"/>
      <c r="H567" s="162"/>
      <c r="I567" s="162"/>
      <c r="J567" s="162"/>
      <c r="K567" s="162"/>
      <c r="L567" s="163"/>
    </row>
    <row r="568" spans="2:12" ht="19.2" customHeight="1" x14ac:dyDescent="0.3">
      <c r="B568" s="161"/>
      <c r="C568" s="162"/>
      <c r="D568" s="163"/>
      <c r="E568" s="162"/>
      <c r="F568" s="162"/>
      <c r="G568" s="162"/>
      <c r="H568" s="162"/>
      <c r="I568" s="162"/>
      <c r="J568" s="162"/>
      <c r="K568" s="162"/>
      <c r="L568" s="163"/>
    </row>
    <row r="569" spans="2:12" ht="19.2" customHeight="1" x14ac:dyDescent="0.3">
      <c r="B569" s="161"/>
      <c r="C569" s="162"/>
      <c r="D569" s="163"/>
      <c r="E569" s="162"/>
      <c r="F569" s="162"/>
      <c r="G569" s="162"/>
      <c r="H569" s="162"/>
      <c r="I569" s="162"/>
      <c r="J569" s="162"/>
      <c r="K569" s="162"/>
      <c r="L569" s="163"/>
    </row>
    <row r="570" spans="2:12" ht="19.2" customHeight="1" x14ac:dyDescent="0.3">
      <c r="B570" s="161"/>
      <c r="C570" s="162"/>
      <c r="D570" s="163"/>
      <c r="E570" s="162"/>
      <c r="F570" s="162"/>
      <c r="G570" s="162"/>
      <c r="H570" s="162"/>
      <c r="I570" s="162"/>
      <c r="J570" s="162"/>
      <c r="K570" s="162"/>
      <c r="L570" s="163"/>
    </row>
    <row r="571" spans="2:12" ht="19.2" customHeight="1" x14ac:dyDescent="0.3">
      <c r="B571" s="161"/>
      <c r="C571" s="162"/>
      <c r="D571" s="163"/>
      <c r="E571" s="162"/>
      <c r="F571" s="162"/>
      <c r="G571" s="162"/>
      <c r="H571" s="162"/>
      <c r="I571" s="162"/>
      <c r="J571" s="162"/>
      <c r="K571" s="162"/>
      <c r="L571" s="163"/>
    </row>
    <row r="572" spans="2:12" ht="19.2" customHeight="1" x14ac:dyDescent="0.3">
      <c r="B572" s="161"/>
      <c r="C572" s="162"/>
      <c r="D572" s="163"/>
      <c r="E572" s="162"/>
      <c r="F572" s="162"/>
      <c r="G572" s="162"/>
      <c r="H572" s="162"/>
      <c r="I572" s="162"/>
      <c r="J572" s="162"/>
      <c r="K572" s="162"/>
      <c r="L572" s="163"/>
    </row>
    <row r="573" spans="2:12" ht="19.2" customHeight="1" x14ac:dyDescent="0.3">
      <c r="B573" s="161"/>
      <c r="C573" s="162"/>
      <c r="D573" s="163"/>
      <c r="E573" s="162"/>
      <c r="F573" s="162"/>
      <c r="G573" s="162"/>
      <c r="H573" s="162"/>
      <c r="I573" s="162"/>
      <c r="J573" s="162"/>
      <c r="K573" s="162"/>
      <c r="L573" s="163"/>
    </row>
    <row r="574" spans="2:12" ht="19.2" customHeight="1" x14ac:dyDescent="0.3">
      <c r="B574" s="161"/>
      <c r="C574" s="162"/>
      <c r="D574" s="163"/>
      <c r="E574" s="162"/>
      <c r="F574" s="162"/>
      <c r="G574" s="162"/>
      <c r="H574" s="162"/>
      <c r="I574" s="162"/>
      <c r="J574" s="162"/>
      <c r="K574" s="162"/>
      <c r="L574" s="163"/>
    </row>
    <row r="575" spans="2:12" ht="19.2" customHeight="1" x14ac:dyDescent="0.3">
      <c r="B575" s="161"/>
      <c r="C575" s="162"/>
      <c r="D575" s="163"/>
      <c r="E575" s="162"/>
      <c r="F575" s="162"/>
      <c r="G575" s="162"/>
      <c r="H575" s="162"/>
      <c r="I575" s="162"/>
      <c r="J575" s="162"/>
      <c r="K575" s="162"/>
      <c r="L575" s="163"/>
    </row>
    <row r="576" spans="2:12" ht="19.2" customHeight="1" x14ac:dyDescent="0.3">
      <c r="B576" s="161"/>
      <c r="C576" s="162"/>
      <c r="D576" s="163"/>
      <c r="E576" s="162"/>
      <c r="F576" s="162"/>
      <c r="G576" s="162"/>
      <c r="H576" s="162"/>
      <c r="I576" s="162"/>
      <c r="J576" s="162"/>
      <c r="K576" s="162"/>
      <c r="L576" s="163"/>
    </row>
    <row r="577" spans="2:12" ht="19.2" customHeight="1" x14ac:dyDescent="0.3">
      <c r="B577" s="161"/>
      <c r="C577" s="162"/>
      <c r="D577" s="163"/>
      <c r="E577" s="162"/>
      <c r="F577" s="162"/>
      <c r="G577" s="162"/>
      <c r="H577" s="162"/>
      <c r="I577" s="162"/>
      <c r="J577" s="162"/>
      <c r="K577" s="162"/>
      <c r="L577" s="163"/>
    </row>
    <row r="578" spans="2:12" ht="19.2" customHeight="1" x14ac:dyDescent="0.3">
      <c r="B578" s="161"/>
      <c r="C578" s="162"/>
      <c r="D578" s="163"/>
      <c r="E578" s="162"/>
      <c r="F578" s="162"/>
      <c r="G578" s="162"/>
      <c r="H578" s="162"/>
      <c r="I578" s="162"/>
      <c r="J578" s="162"/>
      <c r="K578" s="162"/>
      <c r="L578" s="163"/>
    </row>
    <row r="579" spans="2:12" ht="19.2" customHeight="1" x14ac:dyDescent="0.3">
      <c r="B579" s="161"/>
      <c r="C579" s="162"/>
      <c r="D579" s="163"/>
      <c r="E579" s="162"/>
      <c r="F579" s="162"/>
      <c r="G579" s="162"/>
      <c r="H579" s="162"/>
      <c r="I579" s="162"/>
      <c r="J579" s="162"/>
      <c r="K579" s="162"/>
      <c r="L579" s="163"/>
    </row>
    <row r="580" spans="2:12" ht="19.2" customHeight="1" x14ac:dyDescent="0.3">
      <c r="B580" s="161"/>
      <c r="C580" s="162"/>
      <c r="D580" s="163"/>
      <c r="E580" s="162"/>
      <c r="F580" s="162"/>
      <c r="G580" s="162"/>
      <c r="H580" s="162"/>
      <c r="I580" s="162"/>
      <c r="J580" s="162"/>
      <c r="K580" s="162"/>
      <c r="L580" s="163"/>
    </row>
    <row r="581" spans="2:12" ht="19.2" customHeight="1" x14ac:dyDescent="0.3">
      <c r="B581" s="161"/>
      <c r="C581" s="162"/>
      <c r="D581" s="163"/>
      <c r="E581" s="162"/>
      <c r="F581" s="162"/>
      <c r="G581" s="162"/>
      <c r="H581" s="162"/>
      <c r="I581" s="162"/>
      <c r="J581" s="162"/>
      <c r="K581" s="162"/>
      <c r="L581" s="163"/>
    </row>
    <row r="582" spans="2:12" ht="19.2" customHeight="1" x14ac:dyDescent="0.3">
      <c r="B582" s="161"/>
      <c r="C582" s="162"/>
      <c r="D582" s="163"/>
      <c r="E582" s="162"/>
      <c r="F582" s="162"/>
      <c r="G582" s="162"/>
      <c r="H582" s="162"/>
      <c r="I582" s="162"/>
      <c r="J582" s="162"/>
      <c r="K582" s="162"/>
      <c r="L582" s="163"/>
    </row>
    <row r="583" spans="2:12" ht="19.2" customHeight="1" x14ac:dyDescent="0.3">
      <c r="B583" s="161"/>
      <c r="C583" s="162"/>
      <c r="D583" s="163"/>
      <c r="E583" s="162"/>
      <c r="F583" s="162"/>
      <c r="G583" s="162"/>
      <c r="H583" s="162"/>
      <c r="I583" s="162"/>
      <c r="J583" s="162"/>
      <c r="K583" s="162"/>
      <c r="L583" s="163"/>
    </row>
    <row r="584" spans="2:12" ht="19.2" customHeight="1" x14ac:dyDescent="0.3">
      <c r="B584" s="161"/>
      <c r="C584" s="162"/>
      <c r="D584" s="163"/>
      <c r="E584" s="162"/>
      <c r="F584" s="162"/>
      <c r="G584" s="162"/>
      <c r="H584" s="162"/>
      <c r="I584" s="162"/>
      <c r="J584" s="162"/>
      <c r="K584" s="162"/>
      <c r="L584" s="163"/>
    </row>
    <row r="585" spans="2:12" ht="19.2" customHeight="1" x14ac:dyDescent="0.3">
      <c r="B585" s="161"/>
      <c r="C585" s="162"/>
      <c r="D585" s="163"/>
      <c r="E585" s="162"/>
      <c r="F585" s="162"/>
      <c r="G585" s="162"/>
      <c r="H585" s="162"/>
      <c r="I585" s="162"/>
      <c r="J585" s="162"/>
      <c r="K585" s="162"/>
      <c r="L585" s="163"/>
    </row>
    <row r="586" spans="2:12" ht="19.2" customHeight="1" x14ac:dyDescent="0.3">
      <c r="B586" s="161"/>
      <c r="C586" s="162"/>
      <c r="D586" s="163"/>
      <c r="E586" s="162"/>
      <c r="F586" s="162"/>
      <c r="G586" s="162"/>
      <c r="H586" s="162"/>
      <c r="I586" s="162"/>
      <c r="J586" s="162"/>
      <c r="K586" s="162"/>
      <c r="L586" s="163"/>
    </row>
    <row r="587" spans="2:12" ht="19.2" customHeight="1" x14ac:dyDescent="0.3">
      <c r="B587" s="161"/>
      <c r="C587" s="162"/>
      <c r="D587" s="163"/>
      <c r="E587" s="162"/>
      <c r="F587" s="162"/>
      <c r="G587" s="162"/>
      <c r="H587" s="162"/>
      <c r="I587" s="162"/>
      <c r="J587" s="162"/>
      <c r="K587" s="162"/>
      <c r="L587" s="163"/>
    </row>
    <row r="588" spans="2:12" ht="19.2" customHeight="1" x14ac:dyDescent="0.3">
      <c r="B588" s="161"/>
      <c r="C588" s="162"/>
      <c r="D588" s="163"/>
      <c r="E588" s="162"/>
      <c r="F588" s="162"/>
      <c r="G588" s="162"/>
      <c r="H588" s="162"/>
      <c r="I588" s="162"/>
      <c r="J588" s="162"/>
      <c r="K588" s="162"/>
      <c r="L588" s="163"/>
    </row>
    <row r="589" spans="2:12" ht="19.2" customHeight="1" x14ac:dyDescent="0.3">
      <c r="B589" s="161"/>
      <c r="C589" s="162"/>
      <c r="D589" s="163"/>
      <c r="E589" s="162"/>
      <c r="F589" s="162"/>
      <c r="G589" s="162"/>
      <c r="H589" s="162"/>
      <c r="I589" s="162"/>
      <c r="J589" s="162"/>
      <c r="K589" s="162"/>
      <c r="L589" s="163"/>
    </row>
    <row r="590" spans="2:12" ht="19.2" customHeight="1" x14ac:dyDescent="0.3">
      <c r="B590" s="161"/>
      <c r="C590" s="162"/>
      <c r="D590" s="163"/>
      <c r="E590" s="162"/>
      <c r="F590" s="162"/>
      <c r="G590" s="162"/>
      <c r="H590" s="162"/>
      <c r="I590" s="162"/>
      <c r="J590" s="162"/>
      <c r="K590" s="162"/>
      <c r="L590" s="163"/>
    </row>
    <row r="591" spans="2:12" ht="19.2" customHeight="1" x14ac:dyDescent="0.3">
      <c r="B591" s="161"/>
      <c r="C591" s="162"/>
      <c r="D591" s="163"/>
      <c r="E591" s="162"/>
      <c r="F591" s="162"/>
      <c r="G591" s="162"/>
      <c r="H591" s="162"/>
      <c r="I591" s="162"/>
      <c r="J591" s="162"/>
      <c r="K591" s="162"/>
      <c r="L591" s="163"/>
    </row>
    <row r="592" spans="2:12" ht="19.2" customHeight="1" x14ac:dyDescent="0.3">
      <c r="B592" s="161"/>
      <c r="C592" s="162"/>
      <c r="D592" s="163"/>
      <c r="E592" s="162"/>
      <c r="F592" s="162"/>
      <c r="G592" s="162"/>
      <c r="H592" s="162"/>
      <c r="I592" s="162"/>
      <c r="J592" s="162"/>
      <c r="K592" s="162"/>
      <c r="L592" s="163"/>
    </row>
    <row r="593" spans="2:12" ht="19.2" customHeight="1" x14ac:dyDescent="0.3">
      <c r="B593" s="161"/>
      <c r="C593" s="162"/>
      <c r="D593" s="163"/>
      <c r="E593" s="162"/>
      <c r="F593" s="162"/>
      <c r="G593" s="162"/>
      <c r="H593" s="162"/>
      <c r="I593" s="162"/>
      <c r="J593" s="162"/>
      <c r="K593" s="162"/>
      <c r="L593" s="163"/>
    </row>
    <row r="594" spans="2:12" ht="19.2" customHeight="1" x14ac:dyDescent="0.3">
      <c r="B594" s="161"/>
      <c r="C594" s="162"/>
      <c r="D594" s="163"/>
      <c r="E594" s="162"/>
      <c r="F594" s="162"/>
      <c r="G594" s="162"/>
      <c r="H594" s="162"/>
      <c r="I594" s="162"/>
      <c r="J594" s="162"/>
      <c r="K594" s="162"/>
      <c r="L594" s="163"/>
    </row>
    <row r="595" spans="2:12" ht="19.2" customHeight="1" x14ac:dyDescent="0.3">
      <c r="B595" s="161"/>
      <c r="C595" s="162"/>
      <c r="D595" s="163"/>
      <c r="E595" s="162"/>
      <c r="F595" s="162"/>
      <c r="G595" s="162"/>
      <c r="H595" s="162"/>
      <c r="I595" s="162"/>
      <c r="J595" s="162"/>
      <c r="K595" s="162"/>
      <c r="L595" s="163"/>
    </row>
    <row r="596" spans="2:12" ht="19.2" customHeight="1" x14ac:dyDescent="0.3">
      <c r="B596" s="161"/>
      <c r="C596" s="162"/>
      <c r="D596" s="163"/>
      <c r="E596" s="162"/>
      <c r="F596" s="162"/>
      <c r="G596" s="162"/>
      <c r="H596" s="162"/>
      <c r="I596" s="162"/>
      <c r="J596" s="162"/>
      <c r="K596" s="162"/>
      <c r="L596" s="163"/>
    </row>
    <row r="597" spans="2:12" ht="19.2" customHeight="1" x14ac:dyDescent="0.3">
      <c r="B597" s="161"/>
      <c r="C597" s="162"/>
      <c r="D597" s="163"/>
      <c r="E597" s="162"/>
      <c r="F597" s="162"/>
      <c r="G597" s="162"/>
      <c r="H597" s="162"/>
      <c r="I597" s="162"/>
      <c r="J597" s="162"/>
      <c r="K597" s="162"/>
      <c r="L597" s="163"/>
    </row>
    <row r="598" spans="2:12" ht="19.2" customHeight="1" x14ac:dyDescent="0.3">
      <c r="B598" s="161"/>
      <c r="C598" s="162"/>
      <c r="D598" s="163"/>
      <c r="E598" s="162"/>
      <c r="F598" s="162"/>
      <c r="G598" s="162"/>
      <c r="H598" s="162"/>
      <c r="I598" s="162"/>
      <c r="J598" s="162"/>
      <c r="K598" s="162"/>
      <c r="L598" s="163"/>
    </row>
    <row r="599" spans="2:12" ht="19.2" customHeight="1" x14ac:dyDescent="0.3">
      <c r="B599" s="161"/>
      <c r="C599" s="162"/>
      <c r="D599" s="163"/>
      <c r="E599" s="162"/>
      <c r="F599" s="162"/>
      <c r="G599" s="162"/>
      <c r="H599" s="162"/>
      <c r="I599" s="162"/>
      <c r="J599" s="162"/>
      <c r="K599" s="162"/>
      <c r="L599" s="163"/>
    </row>
    <row r="600" spans="2:12" ht="19.2" customHeight="1" x14ac:dyDescent="0.3">
      <c r="B600" s="161"/>
      <c r="C600" s="162"/>
      <c r="D600" s="163"/>
      <c r="E600" s="162"/>
      <c r="F600" s="162"/>
      <c r="G600" s="162"/>
      <c r="H600" s="162"/>
      <c r="I600" s="162"/>
      <c r="J600" s="162"/>
      <c r="K600" s="162"/>
      <c r="L600" s="163"/>
    </row>
    <row r="601" spans="2:12" ht="19.2" customHeight="1" x14ac:dyDescent="0.3">
      <c r="B601" s="161"/>
      <c r="C601" s="162"/>
      <c r="D601" s="163"/>
      <c r="E601" s="162"/>
      <c r="F601" s="162"/>
      <c r="G601" s="162"/>
      <c r="H601" s="162"/>
      <c r="I601" s="162"/>
      <c r="J601" s="162"/>
      <c r="K601" s="162"/>
      <c r="L601" s="163"/>
    </row>
    <row r="602" spans="2:12" ht="19.2" customHeight="1" x14ac:dyDescent="0.3">
      <c r="B602" s="161"/>
      <c r="C602" s="162"/>
      <c r="D602" s="163"/>
      <c r="E602" s="162"/>
      <c r="F602" s="162"/>
      <c r="G602" s="162"/>
      <c r="H602" s="162"/>
      <c r="I602" s="162"/>
      <c r="J602" s="162"/>
      <c r="K602" s="162"/>
      <c r="L602" s="163"/>
    </row>
    <row r="603" spans="2:12" ht="19.2" customHeight="1" x14ac:dyDescent="0.3">
      <c r="B603" s="161"/>
      <c r="C603" s="162"/>
      <c r="D603" s="163"/>
      <c r="E603" s="162"/>
      <c r="F603" s="162"/>
      <c r="G603" s="162"/>
      <c r="H603" s="162"/>
      <c r="I603" s="162"/>
      <c r="J603" s="162"/>
      <c r="K603" s="162"/>
      <c r="L603" s="163"/>
    </row>
    <row r="604" spans="2:12" ht="19.2" customHeight="1" x14ac:dyDescent="0.3">
      <c r="B604" s="161"/>
      <c r="C604" s="162"/>
      <c r="D604" s="163"/>
      <c r="E604" s="162"/>
      <c r="F604" s="162"/>
      <c r="G604" s="162"/>
      <c r="H604" s="162"/>
      <c r="I604" s="162"/>
      <c r="J604" s="162"/>
      <c r="K604" s="162"/>
      <c r="L604" s="163"/>
    </row>
    <row r="605" spans="2:12" ht="19.2" customHeight="1" x14ac:dyDescent="0.3">
      <c r="B605" s="161"/>
      <c r="C605" s="162"/>
      <c r="D605" s="163"/>
      <c r="E605" s="162"/>
      <c r="F605" s="162"/>
      <c r="G605" s="162"/>
      <c r="H605" s="162"/>
      <c r="I605" s="162"/>
      <c r="J605" s="162"/>
      <c r="K605" s="162"/>
      <c r="L605" s="163"/>
    </row>
    <row r="606" spans="2:12" ht="19.2" customHeight="1" x14ac:dyDescent="0.3">
      <c r="B606" s="161"/>
      <c r="C606" s="162"/>
      <c r="D606" s="163"/>
      <c r="E606" s="162"/>
      <c r="F606" s="162"/>
      <c r="G606" s="162"/>
      <c r="H606" s="162"/>
      <c r="I606" s="162"/>
      <c r="J606" s="162"/>
      <c r="K606" s="162"/>
      <c r="L606" s="163"/>
    </row>
    <row r="607" spans="2:12" ht="19.2" customHeight="1" x14ac:dyDescent="0.3">
      <c r="B607" s="161"/>
      <c r="C607" s="162"/>
      <c r="D607" s="163"/>
      <c r="E607" s="162"/>
      <c r="F607" s="162"/>
      <c r="G607" s="162"/>
      <c r="H607" s="162"/>
      <c r="I607" s="162"/>
      <c r="J607" s="162"/>
      <c r="K607" s="162"/>
      <c r="L607" s="163"/>
    </row>
    <row r="608" spans="2:12" ht="19.2" customHeight="1" x14ac:dyDescent="0.3">
      <c r="B608" s="161"/>
      <c r="C608" s="162"/>
      <c r="D608" s="163"/>
      <c r="E608" s="162"/>
      <c r="F608" s="162"/>
      <c r="G608" s="162"/>
      <c r="H608" s="162"/>
      <c r="I608" s="162"/>
      <c r="J608" s="162"/>
      <c r="K608" s="162"/>
      <c r="L608" s="163"/>
    </row>
    <row r="609" spans="2:12" ht="19.2" customHeight="1" x14ac:dyDescent="0.3">
      <c r="B609" s="161"/>
      <c r="C609" s="162"/>
      <c r="D609" s="163"/>
      <c r="E609" s="162"/>
      <c r="F609" s="162"/>
      <c r="G609" s="162"/>
      <c r="H609" s="162"/>
      <c r="I609" s="162"/>
      <c r="J609" s="162"/>
      <c r="K609" s="162"/>
      <c r="L609" s="163"/>
    </row>
    <row r="610" spans="2:12" ht="19.2" customHeight="1" x14ac:dyDescent="0.3">
      <c r="B610" s="161"/>
      <c r="C610" s="162"/>
      <c r="D610" s="163"/>
      <c r="E610" s="162"/>
      <c r="F610" s="162"/>
      <c r="G610" s="162"/>
      <c r="H610" s="162"/>
      <c r="I610" s="162"/>
      <c r="J610" s="162"/>
      <c r="K610" s="162"/>
      <c r="L610" s="163"/>
    </row>
    <row r="611" spans="2:12" ht="19.2" customHeight="1" x14ac:dyDescent="0.3">
      <c r="B611" s="161"/>
      <c r="C611" s="162"/>
      <c r="D611" s="163"/>
      <c r="E611" s="162"/>
      <c r="F611" s="162"/>
      <c r="G611" s="162"/>
      <c r="H611" s="162"/>
      <c r="I611" s="162"/>
      <c r="J611" s="162"/>
      <c r="K611" s="162"/>
      <c r="L611" s="163"/>
    </row>
    <row r="612" spans="2:12" ht="19.2" customHeight="1" x14ac:dyDescent="0.3">
      <c r="B612" s="161"/>
      <c r="C612" s="162"/>
      <c r="D612" s="163"/>
      <c r="E612" s="162"/>
      <c r="F612" s="162"/>
      <c r="G612" s="162"/>
      <c r="H612" s="162"/>
      <c r="I612" s="162"/>
      <c r="J612" s="162"/>
      <c r="K612" s="162"/>
      <c r="L612" s="163"/>
    </row>
    <row r="613" spans="2:12" ht="19.2" customHeight="1" x14ac:dyDescent="0.3">
      <c r="B613" s="161"/>
      <c r="C613" s="162"/>
      <c r="D613" s="163"/>
      <c r="E613" s="162"/>
      <c r="F613" s="162"/>
      <c r="G613" s="162"/>
      <c r="H613" s="162"/>
      <c r="I613" s="162"/>
      <c r="J613" s="162"/>
      <c r="K613" s="162"/>
      <c r="L613" s="163"/>
    </row>
    <row r="614" spans="2:12" ht="19.2" customHeight="1" x14ac:dyDescent="0.3">
      <c r="B614" s="161"/>
      <c r="C614" s="162"/>
      <c r="D614" s="163"/>
      <c r="E614" s="162"/>
      <c r="F614" s="162"/>
      <c r="G614" s="162"/>
      <c r="H614" s="162"/>
      <c r="I614" s="162"/>
      <c r="J614" s="162"/>
      <c r="K614" s="162"/>
      <c r="L614" s="163"/>
    </row>
    <row r="615" spans="2:12" ht="19.2" customHeight="1" x14ac:dyDescent="0.3">
      <c r="B615" s="161"/>
      <c r="C615" s="162"/>
      <c r="D615" s="163"/>
      <c r="E615" s="162"/>
      <c r="F615" s="162"/>
      <c r="G615" s="162"/>
      <c r="H615" s="162"/>
      <c r="I615" s="162"/>
      <c r="J615" s="162"/>
      <c r="K615" s="162"/>
      <c r="L615" s="163"/>
    </row>
    <row r="616" spans="2:12" ht="19.2" customHeight="1" x14ac:dyDescent="0.3">
      <c r="B616" s="161"/>
      <c r="C616" s="162"/>
      <c r="D616" s="163"/>
      <c r="E616" s="162"/>
      <c r="F616" s="162"/>
      <c r="G616" s="162"/>
      <c r="H616" s="162"/>
      <c r="I616" s="162"/>
      <c r="J616" s="162"/>
      <c r="K616" s="162"/>
      <c r="L616" s="163"/>
    </row>
    <row r="617" spans="2:12" ht="19.2" customHeight="1" x14ac:dyDescent="0.3">
      <c r="B617" s="161"/>
      <c r="C617" s="162"/>
      <c r="D617" s="163"/>
      <c r="E617" s="162"/>
      <c r="F617" s="162"/>
      <c r="G617" s="162"/>
      <c r="H617" s="162"/>
      <c r="I617" s="162"/>
      <c r="J617" s="162"/>
      <c r="K617" s="162"/>
      <c r="L617" s="163"/>
    </row>
    <row r="618" spans="2:12" ht="19.2" customHeight="1" x14ac:dyDescent="0.3">
      <c r="B618" s="161"/>
      <c r="C618" s="162"/>
      <c r="D618" s="163"/>
      <c r="E618" s="162"/>
      <c r="F618" s="162"/>
      <c r="G618" s="162"/>
      <c r="H618" s="162"/>
      <c r="I618" s="162"/>
      <c r="J618" s="162"/>
      <c r="K618" s="162"/>
      <c r="L618" s="163"/>
    </row>
    <row r="619" spans="2:12" ht="19.2" customHeight="1" x14ac:dyDescent="0.3">
      <c r="B619" s="161"/>
      <c r="C619" s="162"/>
      <c r="D619" s="163"/>
      <c r="E619" s="162"/>
      <c r="F619" s="162"/>
      <c r="G619" s="162"/>
      <c r="H619" s="162"/>
      <c r="I619" s="162"/>
      <c r="J619" s="162"/>
      <c r="K619" s="162"/>
      <c r="L619" s="163"/>
    </row>
    <row r="620" spans="2:12" ht="19.2" customHeight="1" x14ac:dyDescent="0.3">
      <c r="B620" s="161"/>
      <c r="C620" s="162"/>
      <c r="D620" s="163"/>
      <c r="E620" s="162"/>
      <c r="F620" s="162"/>
      <c r="G620" s="162"/>
      <c r="H620" s="162"/>
      <c r="I620" s="162"/>
      <c r="J620" s="162"/>
      <c r="K620" s="162"/>
      <c r="L620" s="163"/>
    </row>
    <row r="621" spans="2:12" ht="19.2" customHeight="1" x14ac:dyDescent="0.3">
      <c r="B621" s="161"/>
      <c r="C621" s="162"/>
      <c r="D621" s="163"/>
      <c r="E621" s="162"/>
      <c r="F621" s="162"/>
      <c r="G621" s="162"/>
      <c r="H621" s="162"/>
      <c r="I621" s="162"/>
      <c r="J621" s="162"/>
      <c r="K621" s="162"/>
      <c r="L621" s="163"/>
    </row>
    <row r="622" spans="2:12" ht="19.2" customHeight="1" x14ac:dyDescent="0.3">
      <c r="B622" s="161"/>
      <c r="C622" s="162"/>
      <c r="D622" s="163"/>
      <c r="E622" s="162"/>
      <c r="F622" s="162"/>
      <c r="G622" s="162"/>
      <c r="H622" s="162"/>
      <c r="I622" s="162"/>
      <c r="J622" s="162"/>
      <c r="K622" s="162"/>
      <c r="L622" s="163"/>
    </row>
    <row r="623" spans="2:12" ht="19.2" customHeight="1" x14ac:dyDescent="0.3">
      <c r="B623" s="161"/>
      <c r="C623" s="162"/>
      <c r="D623" s="163"/>
      <c r="E623" s="162"/>
      <c r="F623" s="162"/>
      <c r="G623" s="162"/>
      <c r="H623" s="162"/>
      <c r="I623" s="162"/>
      <c r="J623" s="162"/>
      <c r="K623" s="162"/>
      <c r="L623" s="163"/>
    </row>
    <row r="624" spans="2:12" ht="19.2" customHeight="1" x14ac:dyDescent="0.3">
      <c r="B624" s="161"/>
      <c r="C624" s="162"/>
      <c r="D624" s="163"/>
      <c r="E624" s="162"/>
      <c r="F624" s="162"/>
      <c r="G624" s="162"/>
      <c r="H624" s="162"/>
      <c r="I624" s="162"/>
      <c r="J624" s="162"/>
      <c r="K624" s="162"/>
      <c r="L624" s="163"/>
    </row>
    <row r="625" spans="2:12" ht="19.2" customHeight="1" x14ac:dyDescent="0.3">
      <c r="B625" s="161"/>
      <c r="C625" s="162"/>
      <c r="D625" s="163"/>
      <c r="E625" s="162"/>
      <c r="F625" s="162"/>
      <c r="G625" s="162"/>
      <c r="H625" s="162"/>
      <c r="I625" s="162"/>
      <c r="J625" s="162"/>
      <c r="K625" s="162"/>
      <c r="L625" s="163"/>
    </row>
    <row r="626" spans="2:12" ht="19.2" customHeight="1" x14ac:dyDescent="0.3">
      <c r="B626" s="161"/>
      <c r="C626" s="162"/>
      <c r="D626" s="163"/>
      <c r="E626" s="162"/>
      <c r="F626" s="162"/>
      <c r="G626" s="162"/>
      <c r="H626" s="162"/>
      <c r="I626" s="162"/>
      <c r="J626" s="162"/>
      <c r="K626" s="162"/>
      <c r="L626" s="163"/>
    </row>
    <row r="627" spans="2:12" ht="19.2" customHeight="1" x14ac:dyDescent="0.3">
      <c r="B627" s="161"/>
      <c r="C627" s="162"/>
      <c r="D627" s="163"/>
      <c r="E627" s="162"/>
      <c r="F627" s="162"/>
      <c r="G627" s="162"/>
      <c r="H627" s="162"/>
      <c r="I627" s="162"/>
      <c r="J627" s="162"/>
      <c r="K627" s="162"/>
      <c r="L627" s="163"/>
    </row>
    <row r="628" spans="2:12" ht="19.2" customHeight="1" x14ac:dyDescent="0.3">
      <c r="B628" s="161"/>
      <c r="C628" s="162"/>
      <c r="D628" s="163"/>
      <c r="E628" s="162"/>
      <c r="F628" s="162"/>
      <c r="G628" s="162"/>
      <c r="H628" s="162"/>
      <c r="I628" s="162"/>
      <c r="J628" s="162"/>
      <c r="K628" s="162"/>
      <c r="L628" s="163"/>
    </row>
    <row r="629" spans="2:12" ht="19.2" customHeight="1" x14ac:dyDescent="0.3">
      <c r="B629" s="161"/>
      <c r="C629" s="162"/>
      <c r="D629" s="163"/>
      <c r="E629" s="162"/>
      <c r="F629" s="162"/>
      <c r="G629" s="162"/>
      <c r="H629" s="162"/>
      <c r="I629" s="162"/>
      <c r="J629" s="162"/>
      <c r="K629" s="162"/>
      <c r="L629" s="163"/>
    </row>
    <row r="630" spans="2:12" ht="19.2" customHeight="1" x14ac:dyDescent="0.3">
      <c r="B630" s="161"/>
      <c r="C630" s="162"/>
      <c r="D630" s="163"/>
      <c r="E630" s="162"/>
      <c r="F630" s="162"/>
      <c r="G630" s="162"/>
      <c r="H630" s="162"/>
      <c r="I630" s="162"/>
      <c r="J630" s="162"/>
      <c r="K630" s="162"/>
      <c r="L630" s="163"/>
    </row>
    <row r="631" spans="2:12" ht="19.2" customHeight="1" x14ac:dyDescent="0.3">
      <c r="B631" s="161"/>
      <c r="C631" s="162"/>
      <c r="D631" s="163"/>
      <c r="E631" s="162"/>
      <c r="F631" s="162"/>
      <c r="G631" s="162"/>
      <c r="H631" s="162"/>
      <c r="I631" s="162"/>
      <c r="J631" s="162"/>
      <c r="K631" s="162"/>
      <c r="L631" s="163"/>
    </row>
    <row r="632" spans="2:12" ht="19.2" customHeight="1" x14ac:dyDescent="0.3">
      <c r="B632" s="161"/>
      <c r="C632" s="162"/>
      <c r="D632" s="163"/>
      <c r="E632" s="162"/>
      <c r="F632" s="162"/>
      <c r="G632" s="162"/>
      <c r="H632" s="162"/>
      <c r="I632" s="162"/>
      <c r="J632" s="162"/>
      <c r="K632" s="162"/>
      <c r="L632" s="163"/>
    </row>
    <row r="633" spans="2:12" ht="19.2" customHeight="1" x14ac:dyDescent="0.3">
      <c r="B633" s="161"/>
      <c r="C633" s="162"/>
      <c r="D633" s="163"/>
      <c r="E633" s="162"/>
      <c r="F633" s="162"/>
      <c r="G633" s="162"/>
      <c r="H633" s="162"/>
      <c r="I633" s="162"/>
      <c r="J633" s="162"/>
      <c r="K633" s="162"/>
      <c r="L633" s="163"/>
    </row>
    <row r="634" spans="2:12" ht="19.2" customHeight="1" x14ac:dyDescent="0.3">
      <c r="B634" s="161"/>
      <c r="C634" s="162"/>
      <c r="D634" s="163"/>
      <c r="E634" s="162"/>
      <c r="F634" s="162"/>
      <c r="G634" s="162"/>
      <c r="H634" s="162"/>
      <c r="I634" s="162"/>
      <c r="J634" s="162"/>
      <c r="K634" s="162"/>
      <c r="L634" s="163"/>
    </row>
    <row r="635" spans="2:12" ht="19.2" customHeight="1" x14ac:dyDescent="0.3">
      <c r="B635" s="161"/>
      <c r="C635" s="162"/>
      <c r="D635" s="163"/>
      <c r="E635" s="162"/>
      <c r="F635" s="162"/>
      <c r="G635" s="162"/>
      <c r="H635" s="162"/>
      <c r="I635" s="162"/>
      <c r="J635" s="162"/>
      <c r="K635" s="162"/>
      <c r="L635" s="163"/>
    </row>
    <row r="636" spans="2:12" ht="19.2" customHeight="1" x14ac:dyDescent="0.3">
      <c r="B636" s="161"/>
      <c r="C636" s="162"/>
      <c r="D636" s="163"/>
      <c r="E636" s="162"/>
      <c r="F636" s="162"/>
      <c r="G636" s="162"/>
      <c r="H636" s="162"/>
      <c r="I636" s="162"/>
      <c r="J636" s="162"/>
      <c r="K636" s="162"/>
      <c r="L636" s="163"/>
    </row>
    <row r="637" spans="2:12" ht="19.2" customHeight="1" x14ac:dyDescent="0.3">
      <c r="B637" s="161"/>
      <c r="C637" s="162"/>
      <c r="D637" s="163"/>
      <c r="E637" s="162"/>
      <c r="F637" s="162"/>
      <c r="G637" s="162"/>
      <c r="H637" s="162"/>
      <c r="I637" s="162"/>
      <c r="J637" s="162"/>
      <c r="K637" s="162"/>
      <c r="L637" s="163"/>
    </row>
    <row r="638" spans="2:12" ht="19.2" customHeight="1" x14ac:dyDescent="0.3">
      <c r="B638" s="161"/>
      <c r="C638" s="162"/>
      <c r="D638" s="163"/>
      <c r="E638" s="162"/>
      <c r="F638" s="162"/>
      <c r="G638" s="162"/>
      <c r="H638" s="162"/>
      <c r="I638" s="162"/>
      <c r="J638" s="162"/>
      <c r="K638" s="162"/>
      <c r="L638" s="163"/>
    </row>
    <row r="639" spans="2:12" ht="19.2" customHeight="1" x14ac:dyDescent="0.3">
      <c r="B639" s="161"/>
      <c r="C639" s="162"/>
      <c r="D639" s="163"/>
      <c r="E639" s="162"/>
      <c r="F639" s="162"/>
      <c r="G639" s="162"/>
      <c r="H639" s="162"/>
      <c r="I639" s="162"/>
      <c r="J639" s="162"/>
      <c r="K639" s="162"/>
      <c r="L639" s="163"/>
    </row>
    <row r="640" spans="2:12" ht="19.2" customHeight="1" x14ac:dyDescent="0.3">
      <c r="B640" s="161"/>
      <c r="C640" s="162"/>
      <c r="D640" s="163"/>
      <c r="E640" s="162"/>
      <c r="F640" s="162"/>
      <c r="G640" s="162"/>
      <c r="H640" s="162"/>
      <c r="I640" s="162"/>
      <c r="J640" s="162"/>
      <c r="K640" s="162"/>
      <c r="L640" s="163"/>
    </row>
    <row r="641" spans="2:12" ht="19.2" customHeight="1" x14ac:dyDescent="0.3">
      <c r="B641" s="161"/>
      <c r="C641" s="162"/>
      <c r="D641" s="163"/>
      <c r="E641" s="162"/>
      <c r="F641" s="162"/>
      <c r="G641" s="162"/>
      <c r="H641" s="162"/>
      <c r="I641" s="162"/>
      <c r="J641" s="162"/>
      <c r="K641" s="162"/>
      <c r="L641" s="163"/>
    </row>
    <row r="642" spans="2:12" ht="19.2" customHeight="1" x14ac:dyDescent="0.3">
      <c r="B642" s="161"/>
      <c r="C642" s="162"/>
      <c r="D642" s="163"/>
      <c r="E642" s="162"/>
      <c r="F642" s="162"/>
      <c r="G642" s="162"/>
      <c r="H642" s="162"/>
      <c r="I642" s="162"/>
      <c r="J642" s="162"/>
      <c r="K642" s="162"/>
      <c r="L642" s="163"/>
    </row>
    <row r="643" spans="2:12" ht="19.2" customHeight="1" x14ac:dyDescent="0.3">
      <c r="B643" s="161"/>
      <c r="C643" s="162"/>
      <c r="D643" s="163"/>
      <c r="E643" s="162"/>
      <c r="F643" s="162"/>
      <c r="G643" s="162"/>
      <c r="H643" s="162"/>
      <c r="I643" s="162"/>
      <c r="J643" s="162"/>
      <c r="K643" s="162"/>
      <c r="L643" s="163"/>
    </row>
    <row r="644" spans="2:12" ht="19.2" customHeight="1" x14ac:dyDescent="0.3">
      <c r="B644" s="161"/>
      <c r="C644" s="162"/>
      <c r="D644" s="163"/>
      <c r="E644" s="162"/>
      <c r="F644" s="162"/>
      <c r="G644" s="162"/>
      <c r="H644" s="162"/>
      <c r="I644" s="162"/>
      <c r="J644" s="162"/>
      <c r="K644" s="162"/>
      <c r="L644" s="163"/>
    </row>
    <row r="645" spans="2:12" ht="19.2" customHeight="1" x14ac:dyDescent="0.3">
      <c r="B645" s="161"/>
      <c r="C645" s="162"/>
      <c r="D645" s="163"/>
      <c r="E645" s="162"/>
      <c r="F645" s="162"/>
      <c r="G645" s="162"/>
      <c r="H645" s="162"/>
      <c r="I645" s="162"/>
      <c r="J645" s="162"/>
      <c r="K645" s="162"/>
      <c r="L645" s="163"/>
    </row>
    <row r="646" spans="2:12" ht="19.2" customHeight="1" x14ac:dyDescent="0.3">
      <c r="B646" s="161"/>
      <c r="C646" s="162"/>
      <c r="D646" s="163"/>
      <c r="E646" s="162"/>
      <c r="F646" s="162"/>
      <c r="G646" s="162"/>
      <c r="H646" s="162"/>
      <c r="I646" s="162"/>
      <c r="J646" s="162"/>
      <c r="K646" s="162"/>
      <c r="L646" s="163"/>
    </row>
    <row r="647" spans="2:12" ht="19.2" customHeight="1" x14ac:dyDescent="0.3">
      <c r="B647" s="161"/>
      <c r="C647" s="162"/>
      <c r="D647" s="163"/>
      <c r="E647" s="162"/>
      <c r="F647" s="162"/>
      <c r="G647" s="162"/>
      <c r="H647" s="162"/>
      <c r="I647" s="162"/>
      <c r="J647" s="162"/>
      <c r="K647" s="162"/>
      <c r="L647" s="163"/>
    </row>
    <row r="648" spans="2:12" ht="19.2" customHeight="1" x14ac:dyDescent="0.3">
      <c r="B648" s="161"/>
      <c r="C648" s="162"/>
      <c r="D648" s="163"/>
      <c r="E648" s="162"/>
      <c r="F648" s="162"/>
      <c r="G648" s="162"/>
      <c r="H648" s="162"/>
      <c r="I648" s="162"/>
      <c r="J648" s="162"/>
      <c r="K648" s="162"/>
      <c r="L648" s="163"/>
    </row>
    <row r="649" spans="2:12" ht="19.2" customHeight="1" x14ac:dyDescent="0.3">
      <c r="B649" s="161"/>
      <c r="C649" s="162"/>
      <c r="D649" s="163"/>
      <c r="E649" s="162"/>
      <c r="F649" s="162"/>
      <c r="G649" s="162"/>
      <c r="H649" s="162"/>
      <c r="I649" s="162"/>
      <c r="J649" s="162"/>
      <c r="K649" s="162"/>
      <c r="L649" s="163"/>
    </row>
    <row r="650" spans="2:12" ht="19.2" customHeight="1" x14ac:dyDescent="0.3">
      <c r="B650" s="161"/>
      <c r="C650" s="162"/>
      <c r="D650" s="163"/>
      <c r="E650" s="162"/>
      <c r="F650" s="162"/>
      <c r="G650" s="162"/>
      <c r="H650" s="162"/>
      <c r="I650" s="162"/>
      <c r="J650" s="162"/>
      <c r="K650" s="162"/>
      <c r="L650" s="163"/>
    </row>
    <row r="651" spans="2:12" ht="19.2" customHeight="1" x14ac:dyDescent="0.3">
      <c r="B651" s="161"/>
      <c r="C651" s="162"/>
      <c r="D651" s="163"/>
      <c r="E651" s="162"/>
      <c r="F651" s="162"/>
      <c r="G651" s="162"/>
      <c r="H651" s="162"/>
      <c r="I651" s="162"/>
      <c r="J651" s="162"/>
      <c r="K651" s="162"/>
      <c r="L651" s="163"/>
    </row>
    <row r="652" spans="2:12" ht="19.2" customHeight="1" x14ac:dyDescent="0.3">
      <c r="B652" s="161"/>
      <c r="C652" s="162"/>
      <c r="D652" s="163"/>
      <c r="E652" s="162"/>
      <c r="F652" s="162"/>
      <c r="G652" s="162"/>
      <c r="H652" s="162"/>
      <c r="I652" s="162"/>
      <c r="J652" s="162"/>
      <c r="K652" s="162"/>
      <c r="L652" s="163"/>
    </row>
    <row r="653" spans="2:12" ht="19.2" customHeight="1" x14ac:dyDescent="0.3">
      <c r="B653" s="161"/>
      <c r="C653" s="162"/>
      <c r="D653" s="163"/>
      <c r="E653" s="162"/>
      <c r="F653" s="162"/>
      <c r="G653" s="162"/>
      <c r="H653" s="162"/>
      <c r="I653" s="162"/>
      <c r="J653" s="162"/>
      <c r="K653" s="162"/>
      <c r="L653" s="163"/>
    </row>
    <row r="654" spans="2:12" ht="19.2" customHeight="1" x14ac:dyDescent="0.3">
      <c r="B654" s="161"/>
      <c r="C654" s="162"/>
      <c r="D654" s="163"/>
      <c r="E654" s="162"/>
      <c r="F654" s="162"/>
      <c r="G654" s="162"/>
      <c r="H654" s="162"/>
      <c r="I654" s="162"/>
      <c r="J654" s="162"/>
      <c r="K654" s="162"/>
      <c r="L654" s="163"/>
    </row>
    <row r="655" spans="2:12" ht="19.2" customHeight="1" x14ac:dyDescent="0.3">
      <c r="B655" s="161"/>
      <c r="C655" s="162"/>
      <c r="D655" s="163"/>
      <c r="E655" s="162"/>
      <c r="F655" s="162"/>
      <c r="G655" s="162"/>
      <c r="H655" s="162"/>
      <c r="I655" s="162"/>
      <c r="J655" s="162"/>
      <c r="K655" s="162"/>
      <c r="L655" s="163"/>
    </row>
    <row r="656" spans="2:12" ht="19.2" customHeight="1" x14ac:dyDescent="0.3">
      <c r="B656" s="161"/>
      <c r="C656" s="162"/>
      <c r="D656" s="163"/>
      <c r="E656" s="162"/>
      <c r="F656" s="162"/>
      <c r="G656" s="162"/>
      <c r="H656" s="162"/>
      <c r="I656" s="162"/>
      <c r="J656" s="162"/>
      <c r="K656" s="162"/>
      <c r="L656" s="163"/>
    </row>
    <row r="657" spans="2:12" ht="19.2" customHeight="1" x14ac:dyDescent="0.3">
      <c r="B657" s="161"/>
      <c r="C657" s="162"/>
      <c r="D657" s="163"/>
      <c r="E657" s="162"/>
      <c r="F657" s="162"/>
      <c r="G657" s="162"/>
      <c r="H657" s="162"/>
      <c r="I657" s="162"/>
      <c r="J657" s="162"/>
      <c r="K657" s="162"/>
      <c r="L657" s="163"/>
    </row>
    <row r="658" spans="2:12" ht="19.2" customHeight="1" x14ac:dyDescent="0.3">
      <c r="B658" s="161"/>
      <c r="C658" s="162"/>
      <c r="D658" s="163"/>
      <c r="E658" s="162"/>
      <c r="F658" s="162"/>
      <c r="G658" s="162"/>
      <c r="H658" s="162"/>
      <c r="I658" s="162"/>
      <c r="J658" s="162"/>
      <c r="K658" s="162"/>
      <c r="L658" s="163"/>
    </row>
    <row r="659" spans="2:12" ht="19.2" customHeight="1" x14ac:dyDescent="0.3">
      <c r="B659" s="161"/>
      <c r="C659" s="162"/>
      <c r="D659" s="163"/>
      <c r="E659" s="162"/>
      <c r="F659" s="162"/>
      <c r="G659" s="162"/>
      <c r="H659" s="162"/>
      <c r="I659" s="162"/>
      <c r="J659" s="162"/>
      <c r="K659" s="162"/>
      <c r="L659" s="163"/>
    </row>
    <row r="660" spans="2:12" ht="19.2" customHeight="1" x14ac:dyDescent="0.3">
      <c r="B660" s="161"/>
      <c r="C660" s="162"/>
      <c r="D660" s="163"/>
      <c r="E660" s="162"/>
      <c r="F660" s="162"/>
      <c r="G660" s="162"/>
      <c r="H660" s="162"/>
      <c r="I660" s="162"/>
      <c r="J660" s="162"/>
      <c r="K660" s="162"/>
      <c r="L660" s="163"/>
    </row>
    <row r="661" spans="2:12" ht="19.2" customHeight="1" x14ac:dyDescent="0.3">
      <c r="B661" s="161"/>
      <c r="C661" s="162"/>
      <c r="D661" s="163"/>
      <c r="E661" s="162"/>
      <c r="F661" s="162"/>
      <c r="G661" s="162"/>
      <c r="H661" s="162"/>
      <c r="I661" s="162"/>
      <c r="J661" s="162"/>
      <c r="K661" s="162"/>
      <c r="L661" s="163"/>
    </row>
    <row r="662" spans="2:12" ht="19.2" customHeight="1" x14ac:dyDescent="0.3">
      <c r="B662" s="161"/>
      <c r="C662" s="162"/>
      <c r="D662" s="163"/>
      <c r="E662" s="162"/>
      <c r="F662" s="162"/>
      <c r="G662" s="162"/>
      <c r="H662" s="162"/>
      <c r="I662" s="162"/>
      <c r="J662" s="162"/>
      <c r="K662" s="162"/>
      <c r="L662" s="163"/>
    </row>
    <row r="663" spans="2:12" ht="19.2" customHeight="1" x14ac:dyDescent="0.3">
      <c r="B663" s="161"/>
      <c r="C663" s="162"/>
      <c r="D663" s="163"/>
      <c r="E663" s="162"/>
      <c r="F663" s="162"/>
      <c r="G663" s="162"/>
      <c r="H663" s="162"/>
      <c r="I663" s="162"/>
      <c r="J663" s="162"/>
      <c r="K663" s="162"/>
      <c r="L663" s="163"/>
    </row>
    <row r="664" spans="2:12" ht="19.2" customHeight="1" x14ac:dyDescent="0.3">
      <c r="B664" s="161"/>
      <c r="C664" s="162"/>
      <c r="D664" s="163"/>
      <c r="E664" s="162"/>
      <c r="F664" s="162"/>
      <c r="G664" s="162"/>
      <c r="H664" s="162"/>
      <c r="I664" s="162"/>
      <c r="J664" s="162"/>
      <c r="K664" s="162"/>
      <c r="L664" s="163"/>
    </row>
    <row r="665" spans="2:12" ht="19.2" customHeight="1" x14ac:dyDescent="0.3">
      <c r="B665" s="161"/>
      <c r="C665" s="162"/>
      <c r="D665" s="163"/>
      <c r="E665" s="162"/>
      <c r="F665" s="162"/>
      <c r="G665" s="162"/>
      <c r="H665" s="162"/>
      <c r="I665" s="162"/>
      <c r="J665" s="162"/>
      <c r="K665" s="162"/>
      <c r="L665" s="163"/>
    </row>
    <row r="666" spans="2:12" ht="19.2" customHeight="1" x14ac:dyDescent="0.3">
      <c r="B666" s="161"/>
      <c r="C666" s="162"/>
      <c r="D666" s="163"/>
      <c r="E666" s="162"/>
      <c r="F666" s="162"/>
      <c r="G666" s="162"/>
      <c r="H666" s="162"/>
      <c r="I666" s="162"/>
      <c r="J666" s="162"/>
      <c r="K666" s="162"/>
      <c r="L666" s="163"/>
    </row>
    <row r="667" spans="2:12" ht="19.2" customHeight="1" x14ac:dyDescent="0.3">
      <c r="B667" s="161"/>
      <c r="C667" s="162"/>
      <c r="D667" s="163"/>
      <c r="E667" s="162"/>
      <c r="F667" s="162"/>
      <c r="G667" s="162"/>
      <c r="H667" s="162"/>
      <c r="I667" s="162"/>
      <c r="J667" s="162"/>
      <c r="K667" s="162"/>
      <c r="L667" s="163"/>
    </row>
    <row r="668" spans="2:12" ht="19.2" customHeight="1" x14ac:dyDescent="0.3">
      <c r="B668" s="161"/>
      <c r="C668" s="162"/>
      <c r="D668" s="163"/>
      <c r="E668" s="162"/>
      <c r="F668" s="162"/>
      <c r="G668" s="162"/>
      <c r="H668" s="162"/>
      <c r="I668" s="162"/>
      <c r="J668" s="162"/>
      <c r="K668" s="162"/>
      <c r="L668" s="163"/>
    </row>
    <row r="669" spans="2:12" ht="19.2" customHeight="1" x14ac:dyDescent="0.3">
      <c r="B669" s="161"/>
      <c r="C669" s="162"/>
      <c r="D669" s="163"/>
      <c r="E669" s="162"/>
      <c r="F669" s="162"/>
      <c r="G669" s="162"/>
      <c r="H669" s="162"/>
      <c r="I669" s="162"/>
      <c r="J669" s="162"/>
      <c r="K669" s="162"/>
      <c r="L669" s="163"/>
    </row>
    <row r="670" spans="2:12" ht="19.2" customHeight="1" x14ac:dyDescent="0.3">
      <c r="B670" s="161"/>
      <c r="C670" s="162"/>
      <c r="D670" s="163"/>
      <c r="E670" s="162"/>
      <c r="F670" s="162"/>
      <c r="G670" s="162"/>
      <c r="H670" s="162"/>
      <c r="I670" s="162"/>
      <c r="J670" s="162"/>
      <c r="K670" s="162"/>
      <c r="L670" s="163"/>
    </row>
    <row r="671" spans="2:12" ht="19.2" customHeight="1" x14ac:dyDescent="0.3">
      <c r="B671" s="161"/>
      <c r="C671" s="162"/>
      <c r="D671" s="163"/>
      <c r="E671" s="162"/>
      <c r="F671" s="162"/>
      <c r="G671" s="162"/>
      <c r="H671" s="162"/>
      <c r="I671" s="162"/>
      <c r="J671" s="162"/>
      <c r="K671" s="162"/>
      <c r="L671" s="163"/>
    </row>
    <row r="672" spans="2:12" ht="19.2" customHeight="1" x14ac:dyDescent="0.3">
      <c r="B672" s="161"/>
      <c r="C672" s="162"/>
      <c r="D672" s="163"/>
      <c r="E672" s="162"/>
      <c r="F672" s="162"/>
      <c r="G672" s="162"/>
      <c r="H672" s="162"/>
      <c r="I672" s="162"/>
      <c r="J672" s="162"/>
      <c r="K672" s="162"/>
      <c r="L672" s="163"/>
    </row>
    <row r="673" spans="2:12" ht="19.2" customHeight="1" x14ac:dyDescent="0.3">
      <c r="B673" s="161"/>
      <c r="C673" s="162"/>
      <c r="D673" s="163"/>
      <c r="E673" s="162"/>
      <c r="F673" s="162"/>
      <c r="G673" s="162"/>
      <c r="H673" s="162"/>
      <c r="I673" s="162"/>
      <c r="J673" s="162"/>
      <c r="K673" s="162"/>
      <c r="L673" s="163"/>
    </row>
    <row r="674" spans="2:12" ht="19.2" customHeight="1" x14ac:dyDescent="0.3">
      <c r="B674" s="161"/>
      <c r="C674" s="162"/>
      <c r="D674" s="163"/>
      <c r="E674" s="162"/>
      <c r="F674" s="162"/>
      <c r="G674" s="162"/>
      <c r="H674" s="162"/>
      <c r="I674" s="162"/>
      <c r="J674" s="162"/>
      <c r="K674" s="162"/>
      <c r="L674" s="163"/>
    </row>
    <row r="675" spans="2:12" ht="19.2" customHeight="1" x14ac:dyDescent="0.3">
      <c r="B675" s="161"/>
      <c r="C675" s="162"/>
      <c r="D675" s="163"/>
      <c r="E675" s="162"/>
      <c r="F675" s="162"/>
      <c r="G675" s="162"/>
      <c r="H675" s="162"/>
      <c r="I675" s="162"/>
      <c r="J675" s="162"/>
      <c r="K675" s="162"/>
      <c r="L675" s="163"/>
    </row>
    <row r="676" spans="2:12" ht="19.2" customHeight="1" x14ac:dyDescent="0.3">
      <c r="B676" s="161"/>
      <c r="C676" s="162"/>
      <c r="D676" s="163"/>
      <c r="E676" s="162"/>
      <c r="F676" s="162"/>
      <c r="G676" s="162"/>
      <c r="H676" s="162"/>
      <c r="I676" s="162"/>
      <c r="J676" s="162"/>
      <c r="K676" s="162"/>
      <c r="L676" s="163"/>
    </row>
    <row r="677" spans="2:12" ht="19.2" customHeight="1" x14ac:dyDescent="0.3">
      <c r="B677" s="161"/>
      <c r="C677" s="162"/>
      <c r="D677" s="163"/>
      <c r="E677" s="162"/>
      <c r="F677" s="162"/>
      <c r="G677" s="162"/>
      <c r="H677" s="162"/>
      <c r="I677" s="162"/>
      <c r="J677" s="162"/>
      <c r="K677" s="162"/>
      <c r="L677" s="163"/>
    </row>
    <row r="678" spans="2:12" ht="19.2" customHeight="1" x14ac:dyDescent="0.3">
      <c r="B678" s="161"/>
      <c r="C678" s="162"/>
      <c r="D678" s="163"/>
      <c r="E678" s="162"/>
      <c r="F678" s="162"/>
      <c r="G678" s="162"/>
      <c r="H678" s="162"/>
      <c r="I678" s="162"/>
      <c r="J678" s="162"/>
      <c r="K678" s="162"/>
      <c r="L678" s="163"/>
    </row>
    <row r="679" spans="2:12" ht="19.2" customHeight="1" x14ac:dyDescent="0.3">
      <c r="B679" s="161"/>
      <c r="C679" s="162"/>
      <c r="D679" s="163"/>
      <c r="E679" s="162"/>
      <c r="F679" s="162"/>
      <c r="G679" s="162"/>
      <c r="H679" s="162"/>
      <c r="I679" s="162"/>
      <c r="J679" s="162"/>
      <c r="K679" s="162"/>
      <c r="L679" s="163"/>
    </row>
    <row r="680" spans="2:12" ht="19.2" customHeight="1" x14ac:dyDescent="0.3">
      <c r="B680" s="161"/>
      <c r="C680" s="162"/>
      <c r="D680" s="163"/>
      <c r="E680" s="162"/>
      <c r="F680" s="162"/>
      <c r="G680" s="162"/>
      <c r="H680" s="162"/>
      <c r="I680" s="162"/>
      <c r="J680" s="162"/>
      <c r="K680" s="162"/>
      <c r="L680" s="163"/>
    </row>
    <row r="681" spans="2:12" ht="19.2" customHeight="1" x14ac:dyDescent="0.3">
      <c r="B681" s="161"/>
      <c r="C681" s="162"/>
      <c r="D681" s="163"/>
      <c r="E681" s="162"/>
      <c r="F681" s="162"/>
      <c r="G681" s="162"/>
      <c r="H681" s="162"/>
      <c r="I681" s="162"/>
      <c r="J681" s="162"/>
      <c r="K681" s="162"/>
      <c r="L681" s="163"/>
    </row>
    <row r="682" spans="2:12" ht="19.2" customHeight="1" x14ac:dyDescent="0.3">
      <c r="B682" s="161"/>
      <c r="C682" s="162"/>
      <c r="D682" s="163"/>
      <c r="E682" s="162"/>
      <c r="F682" s="162"/>
      <c r="G682" s="162"/>
      <c r="H682" s="162"/>
      <c r="I682" s="162"/>
      <c r="J682" s="162"/>
      <c r="K682" s="162"/>
      <c r="L682" s="163"/>
    </row>
    <row r="683" spans="2:12" ht="19.2" customHeight="1" x14ac:dyDescent="0.3">
      <c r="B683" s="161"/>
      <c r="C683" s="162"/>
      <c r="D683" s="163"/>
      <c r="E683" s="162"/>
      <c r="F683" s="162"/>
      <c r="G683" s="162"/>
      <c r="H683" s="162"/>
      <c r="I683" s="162"/>
      <c r="J683" s="162"/>
      <c r="K683" s="162"/>
      <c r="L683" s="163"/>
    </row>
    <row r="684" spans="2:12" ht="19.2" customHeight="1" x14ac:dyDescent="0.3">
      <c r="B684" s="161"/>
      <c r="C684" s="162"/>
      <c r="D684" s="163"/>
      <c r="E684" s="162"/>
      <c r="F684" s="162"/>
      <c r="G684" s="162"/>
      <c r="H684" s="162"/>
      <c r="I684" s="162"/>
      <c r="J684" s="162"/>
      <c r="K684" s="162"/>
      <c r="L684" s="163"/>
    </row>
    <row r="685" spans="2:12" ht="19.2" customHeight="1" x14ac:dyDescent="0.3">
      <c r="B685" s="161"/>
      <c r="C685" s="162"/>
      <c r="D685" s="163"/>
      <c r="E685" s="162"/>
      <c r="F685" s="162"/>
      <c r="G685" s="162"/>
      <c r="H685" s="162"/>
      <c r="I685" s="162"/>
      <c r="J685" s="162"/>
      <c r="K685" s="162"/>
      <c r="L685" s="163"/>
    </row>
    <row r="686" spans="2:12" ht="19.2" customHeight="1" x14ac:dyDescent="0.3">
      <c r="B686" s="161"/>
      <c r="C686" s="162"/>
      <c r="D686" s="163"/>
      <c r="E686" s="162"/>
      <c r="F686" s="162"/>
      <c r="G686" s="162"/>
      <c r="H686" s="162"/>
      <c r="I686" s="162"/>
      <c r="J686" s="162"/>
      <c r="K686" s="162"/>
      <c r="L686" s="163"/>
    </row>
    <row r="687" spans="2:12" ht="19.2" customHeight="1" x14ac:dyDescent="0.3">
      <c r="B687" s="161"/>
      <c r="C687" s="162"/>
      <c r="D687" s="163"/>
      <c r="E687" s="162"/>
      <c r="F687" s="162"/>
      <c r="G687" s="162"/>
      <c r="H687" s="162"/>
      <c r="I687" s="162"/>
      <c r="J687" s="162"/>
      <c r="K687" s="162"/>
      <c r="L687" s="163"/>
    </row>
    <row r="688" spans="2:12" ht="19.2" customHeight="1" x14ac:dyDescent="0.3">
      <c r="B688" s="161"/>
      <c r="C688" s="162"/>
      <c r="D688" s="163"/>
      <c r="E688" s="162"/>
      <c r="F688" s="162"/>
      <c r="G688" s="162"/>
      <c r="H688" s="162"/>
      <c r="I688" s="162"/>
      <c r="J688" s="162"/>
      <c r="K688" s="162"/>
      <c r="L688" s="163"/>
    </row>
    <row r="689" spans="2:12" ht="19.2" customHeight="1" x14ac:dyDescent="0.3">
      <c r="B689" s="161"/>
      <c r="C689" s="162"/>
      <c r="D689" s="163"/>
      <c r="E689" s="162"/>
      <c r="F689" s="162"/>
      <c r="G689" s="162"/>
      <c r="H689" s="162"/>
      <c r="I689" s="162"/>
      <c r="J689" s="162"/>
      <c r="K689" s="162"/>
      <c r="L689" s="163"/>
    </row>
    <row r="690" spans="2:12" ht="19.2" customHeight="1" x14ac:dyDescent="0.3">
      <c r="B690" s="161"/>
      <c r="C690" s="162"/>
      <c r="D690" s="163"/>
      <c r="E690" s="162"/>
      <c r="F690" s="162"/>
      <c r="G690" s="162"/>
      <c r="H690" s="162"/>
      <c r="I690" s="162"/>
      <c r="J690" s="162"/>
      <c r="K690" s="162"/>
      <c r="L690" s="163"/>
    </row>
    <row r="691" spans="2:12" ht="19.2" customHeight="1" x14ac:dyDescent="0.3">
      <c r="B691" s="161"/>
      <c r="C691" s="162"/>
      <c r="D691" s="163"/>
      <c r="E691" s="162"/>
      <c r="F691" s="162"/>
      <c r="G691" s="162"/>
      <c r="H691" s="162"/>
      <c r="I691" s="162"/>
      <c r="J691" s="162"/>
      <c r="K691" s="162"/>
      <c r="L691" s="163"/>
    </row>
    <row r="692" spans="2:12" ht="19.2" customHeight="1" x14ac:dyDescent="0.3">
      <c r="B692" s="161"/>
      <c r="C692" s="162"/>
      <c r="D692" s="163"/>
      <c r="E692" s="162"/>
      <c r="F692" s="162"/>
      <c r="G692" s="162"/>
      <c r="H692" s="162"/>
      <c r="I692" s="162"/>
      <c r="J692" s="162"/>
      <c r="K692" s="162"/>
      <c r="L692" s="163"/>
    </row>
    <row r="693" spans="2:12" ht="19.2" customHeight="1" x14ac:dyDescent="0.3">
      <c r="B693" s="161"/>
      <c r="C693" s="162"/>
      <c r="D693" s="163"/>
      <c r="E693" s="162"/>
      <c r="F693" s="162"/>
      <c r="G693" s="162"/>
      <c r="H693" s="162"/>
      <c r="I693" s="162"/>
      <c r="J693" s="162"/>
      <c r="K693" s="162"/>
      <c r="L693" s="163"/>
    </row>
    <row r="694" spans="2:12" ht="19.2" customHeight="1" x14ac:dyDescent="0.3">
      <c r="B694" s="161"/>
      <c r="C694" s="162"/>
      <c r="D694" s="163"/>
      <c r="E694" s="162"/>
      <c r="F694" s="162"/>
      <c r="G694" s="162"/>
      <c r="H694" s="162"/>
      <c r="I694" s="162"/>
      <c r="J694" s="162"/>
      <c r="K694" s="162"/>
      <c r="L694" s="163"/>
    </row>
    <row r="695" spans="2:12" ht="19.2" customHeight="1" x14ac:dyDescent="0.3">
      <c r="B695" s="161"/>
      <c r="C695" s="162"/>
      <c r="D695" s="163"/>
      <c r="E695" s="162"/>
      <c r="F695" s="162"/>
      <c r="G695" s="162"/>
      <c r="H695" s="162"/>
      <c r="I695" s="162"/>
      <c r="J695" s="162"/>
      <c r="K695" s="162"/>
      <c r="L695" s="163"/>
    </row>
    <row r="696" spans="2:12" ht="19.2" customHeight="1" x14ac:dyDescent="0.3">
      <c r="B696" s="161"/>
      <c r="C696" s="162"/>
      <c r="D696" s="163"/>
      <c r="E696" s="162"/>
      <c r="F696" s="162"/>
      <c r="G696" s="162"/>
      <c r="H696" s="162"/>
      <c r="I696" s="162"/>
      <c r="J696" s="162"/>
      <c r="K696" s="162"/>
      <c r="L696" s="163"/>
    </row>
    <row r="697" spans="2:12" ht="19.2" customHeight="1" x14ac:dyDescent="0.3">
      <c r="B697" s="161"/>
      <c r="C697" s="162"/>
      <c r="D697" s="163"/>
      <c r="E697" s="162"/>
      <c r="F697" s="162"/>
      <c r="G697" s="162"/>
      <c r="H697" s="162"/>
      <c r="I697" s="162"/>
      <c r="J697" s="162"/>
      <c r="K697" s="162"/>
      <c r="L697" s="163"/>
    </row>
    <row r="698" spans="2:12" ht="19.2" customHeight="1" x14ac:dyDescent="0.3">
      <c r="B698" s="161"/>
      <c r="C698" s="162"/>
      <c r="D698" s="163"/>
      <c r="E698" s="162"/>
      <c r="F698" s="162"/>
      <c r="G698" s="162"/>
      <c r="H698" s="162"/>
      <c r="I698" s="162"/>
      <c r="J698" s="162"/>
      <c r="K698" s="162"/>
      <c r="L698" s="163"/>
    </row>
    <row r="699" spans="2:12" ht="19.2" customHeight="1" x14ac:dyDescent="0.3">
      <c r="B699" s="161"/>
      <c r="C699" s="162"/>
      <c r="D699" s="163"/>
      <c r="E699" s="162"/>
      <c r="F699" s="162"/>
      <c r="G699" s="162"/>
      <c r="H699" s="162"/>
      <c r="I699" s="162"/>
      <c r="J699" s="162"/>
      <c r="K699" s="162"/>
      <c r="L699" s="163"/>
    </row>
    <row r="700" spans="2:12" ht="19.2" customHeight="1" x14ac:dyDescent="0.3">
      <c r="B700" s="161"/>
      <c r="C700" s="162"/>
      <c r="D700" s="163"/>
      <c r="E700" s="162"/>
      <c r="F700" s="162"/>
      <c r="G700" s="162"/>
      <c r="H700" s="162"/>
      <c r="I700" s="162"/>
      <c r="J700" s="162"/>
      <c r="K700" s="162"/>
      <c r="L700" s="163"/>
    </row>
    <row r="701" spans="2:12" ht="19.2" customHeight="1" x14ac:dyDescent="0.3">
      <c r="B701" s="161"/>
      <c r="C701" s="162"/>
      <c r="D701" s="163"/>
      <c r="E701" s="162"/>
      <c r="F701" s="162"/>
      <c r="G701" s="162"/>
      <c r="H701" s="162"/>
      <c r="I701" s="162"/>
      <c r="J701" s="162"/>
      <c r="K701" s="162"/>
      <c r="L701" s="163"/>
    </row>
    <row r="702" spans="2:12" ht="19.2" customHeight="1" x14ac:dyDescent="0.3">
      <c r="B702" s="161"/>
      <c r="C702" s="162"/>
      <c r="D702" s="163"/>
      <c r="E702" s="162"/>
      <c r="F702" s="162"/>
      <c r="G702" s="162"/>
      <c r="H702" s="162"/>
      <c r="I702" s="162"/>
      <c r="J702" s="162"/>
      <c r="K702" s="162"/>
      <c r="L702" s="163"/>
    </row>
    <row r="703" spans="2:12" ht="19.2" customHeight="1" x14ac:dyDescent="0.3">
      <c r="B703" s="161"/>
      <c r="C703" s="162"/>
      <c r="D703" s="163"/>
      <c r="E703" s="162"/>
      <c r="F703" s="162"/>
      <c r="G703" s="162"/>
      <c r="H703" s="162"/>
      <c r="I703" s="162"/>
      <c r="J703" s="162"/>
      <c r="K703" s="162"/>
      <c r="L703" s="163"/>
    </row>
    <row r="704" spans="2:12" ht="19.2" customHeight="1" x14ac:dyDescent="0.3">
      <c r="B704" s="161"/>
      <c r="C704" s="162"/>
      <c r="D704" s="163"/>
      <c r="E704" s="162"/>
      <c r="F704" s="162"/>
      <c r="G704" s="162"/>
      <c r="H704" s="162"/>
      <c r="I704" s="162"/>
      <c r="J704" s="162"/>
      <c r="K704" s="162"/>
      <c r="L704" s="163"/>
    </row>
    <row r="705" spans="2:12" ht="19.2" customHeight="1" x14ac:dyDescent="0.3">
      <c r="B705" s="161"/>
      <c r="C705" s="162"/>
      <c r="D705" s="163"/>
      <c r="E705" s="162"/>
      <c r="F705" s="162"/>
      <c r="G705" s="162"/>
      <c r="H705" s="162"/>
      <c r="I705" s="162"/>
      <c r="J705" s="162"/>
      <c r="K705" s="162"/>
      <c r="L705" s="163"/>
    </row>
    <row r="706" spans="2:12" ht="19.2" customHeight="1" x14ac:dyDescent="0.3">
      <c r="B706" s="161"/>
      <c r="C706" s="162"/>
      <c r="D706" s="163"/>
      <c r="E706" s="162"/>
      <c r="F706" s="162"/>
      <c r="G706" s="162"/>
      <c r="H706" s="162"/>
      <c r="I706" s="162"/>
      <c r="J706" s="162"/>
      <c r="K706" s="162"/>
      <c r="L706" s="163"/>
    </row>
    <row r="707" spans="2:12" ht="19.2" customHeight="1" x14ac:dyDescent="0.3">
      <c r="B707" s="161"/>
      <c r="C707" s="162"/>
      <c r="D707" s="163"/>
      <c r="E707" s="162"/>
      <c r="F707" s="162"/>
      <c r="G707" s="162"/>
      <c r="H707" s="162"/>
      <c r="I707" s="162"/>
      <c r="J707" s="162"/>
      <c r="K707" s="162"/>
      <c r="L707" s="163"/>
    </row>
    <row r="708" spans="2:12" ht="19.2" customHeight="1" x14ac:dyDescent="0.3">
      <c r="B708" s="161"/>
      <c r="C708" s="162"/>
      <c r="D708" s="163"/>
      <c r="E708" s="162"/>
      <c r="F708" s="162"/>
      <c r="G708" s="162"/>
      <c r="H708" s="162"/>
      <c r="I708" s="162"/>
      <c r="J708" s="162"/>
      <c r="K708" s="162"/>
      <c r="L708" s="163"/>
    </row>
    <row r="709" spans="2:12" ht="19.2" customHeight="1" x14ac:dyDescent="0.3">
      <c r="B709" s="161"/>
      <c r="C709" s="162"/>
      <c r="D709" s="163"/>
      <c r="E709" s="162"/>
      <c r="F709" s="162"/>
      <c r="G709" s="162"/>
      <c r="H709" s="162"/>
      <c r="I709" s="162"/>
      <c r="J709" s="162"/>
      <c r="K709" s="162"/>
      <c r="L709" s="163"/>
    </row>
    <row r="710" spans="2:12" ht="19.2" customHeight="1" x14ac:dyDescent="0.3">
      <c r="B710" s="161"/>
      <c r="C710" s="162"/>
      <c r="D710" s="163"/>
      <c r="E710" s="162"/>
      <c r="F710" s="162"/>
      <c r="G710" s="162"/>
      <c r="H710" s="162"/>
      <c r="I710" s="162"/>
      <c r="J710" s="162"/>
      <c r="K710" s="162"/>
      <c r="L710" s="163"/>
    </row>
    <row r="711" spans="2:12" ht="19.2" customHeight="1" x14ac:dyDescent="0.3">
      <c r="B711" s="161"/>
      <c r="C711" s="162"/>
      <c r="D711" s="163"/>
      <c r="E711" s="162"/>
      <c r="F711" s="162"/>
      <c r="G711" s="162"/>
      <c r="H711" s="162"/>
      <c r="I711" s="162"/>
      <c r="J711" s="162"/>
      <c r="K711" s="162"/>
      <c r="L711" s="163"/>
    </row>
    <row r="712" spans="2:12" ht="19.2" customHeight="1" x14ac:dyDescent="0.3">
      <c r="B712" s="161"/>
      <c r="C712" s="162"/>
      <c r="D712" s="163"/>
      <c r="E712" s="162"/>
      <c r="F712" s="162"/>
      <c r="G712" s="162"/>
      <c r="H712" s="162"/>
      <c r="I712" s="162"/>
      <c r="J712" s="162"/>
      <c r="K712" s="162"/>
      <c r="L712" s="163"/>
    </row>
    <row r="713" spans="2:12" ht="19.2" customHeight="1" x14ac:dyDescent="0.3">
      <c r="B713" s="161"/>
      <c r="C713" s="162"/>
      <c r="D713" s="163"/>
      <c r="E713" s="162"/>
      <c r="F713" s="162"/>
      <c r="G713" s="162"/>
      <c r="H713" s="162"/>
      <c r="I713" s="162"/>
      <c r="J713" s="162"/>
      <c r="K713" s="162"/>
      <c r="L713" s="163"/>
    </row>
    <row r="714" spans="2:12" ht="19.2" customHeight="1" x14ac:dyDescent="0.3">
      <c r="B714" s="161"/>
      <c r="C714" s="162"/>
      <c r="D714" s="163"/>
      <c r="E714" s="162"/>
      <c r="F714" s="162"/>
      <c r="G714" s="162"/>
      <c r="H714" s="162"/>
      <c r="I714" s="162"/>
      <c r="J714" s="162"/>
      <c r="K714" s="162"/>
      <c r="L714" s="163"/>
    </row>
    <row r="715" spans="2:12" ht="19.2" customHeight="1" x14ac:dyDescent="0.3">
      <c r="B715" s="161"/>
      <c r="C715" s="162"/>
      <c r="D715" s="163"/>
      <c r="E715" s="162"/>
      <c r="F715" s="162"/>
      <c r="G715" s="162"/>
      <c r="H715" s="162"/>
      <c r="I715" s="162"/>
      <c r="J715" s="162"/>
      <c r="K715" s="162"/>
      <c r="L715" s="163"/>
    </row>
    <row r="716" spans="2:12" ht="19.2" customHeight="1" x14ac:dyDescent="0.3">
      <c r="B716" s="161"/>
      <c r="C716" s="162"/>
      <c r="D716" s="163"/>
      <c r="E716" s="162"/>
      <c r="F716" s="162"/>
      <c r="G716" s="162"/>
      <c r="H716" s="162"/>
      <c r="I716" s="162"/>
      <c r="J716" s="162"/>
      <c r="K716" s="162"/>
      <c r="L716" s="163"/>
    </row>
    <row r="717" spans="2:12" ht="19.2" customHeight="1" x14ac:dyDescent="0.3">
      <c r="B717" s="161"/>
      <c r="C717" s="162"/>
      <c r="D717" s="163"/>
      <c r="E717" s="162"/>
      <c r="F717" s="162"/>
      <c r="G717" s="162"/>
      <c r="H717" s="162"/>
      <c r="I717" s="162"/>
      <c r="J717" s="162"/>
      <c r="K717" s="162"/>
      <c r="L717" s="163"/>
    </row>
    <row r="718" spans="2:12" ht="19.2" customHeight="1" x14ac:dyDescent="0.3">
      <c r="B718" s="161"/>
      <c r="C718" s="162"/>
      <c r="D718" s="163"/>
      <c r="E718" s="162"/>
      <c r="F718" s="162"/>
      <c r="G718" s="162"/>
      <c r="H718" s="162"/>
      <c r="I718" s="162"/>
      <c r="J718" s="162"/>
      <c r="K718" s="162"/>
      <c r="L718" s="163"/>
    </row>
    <row r="719" spans="2:12" ht="19.2" customHeight="1" x14ac:dyDescent="0.3">
      <c r="B719" s="161"/>
      <c r="C719" s="162"/>
      <c r="D719" s="163"/>
      <c r="E719" s="162"/>
      <c r="F719" s="162"/>
      <c r="G719" s="162"/>
      <c r="H719" s="162"/>
      <c r="I719" s="162"/>
      <c r="J719" s="162"/>
      <c r="K719" s="162"/>
      <c r="L719" s="163"/>
    </row>
    <row r="720" spans="2:12" ht="19.2" customHeight="1" x14ac:dyDescent="0.3">
      <c r="B720" s="161"/>
      <c r="C720" s="162"/>
      <c r="D720" s="163"/>
      <c r="E720" s="162"/>
      <c r="F720" s="162"/>
      <c r="G720" s="162"/>
      <c r="H720" s="162"/>
      <c r="I720" s="162"/>
      <c r="J720" s="162"/>
      <c r="K720" s="162"/>
      <c r="L720" s="163"/>
    </row>
    <row r="721" spans="2:12" ht="19.2" customHeight="1" x14ac:dyDescent="0.3">
      <c r="B721" s="161"/>
      <c r="C721" s="162"/>
      <c r="D721" s="163"/>
      <c r="E721" s="162"/>
      <c r="F721" s="162"/>
      <c r="G721" s="162"/>
      <c r="H721" s="162"/>
      <c r="I721" s="162"/>
      <c r="J721" s="162"/>
      <c r="K721" s="162"/>
      <c r="L721" s="163"/>
    </row>
    <row r="722" spans="2:12" ht="19.2" customHeight="1" x14ac:dyDescent="0.3">
      <c r="B722" s="161"/>
      <c r="C722" s="162"/>
      <c r="D722" s="163"/>
      <c r="E722" s="162"/>
      <c r="F722" s="162"/>
      <c r="G722" s="162"/>
      <c r="H722" s="162"/>
      <c r="I722" s="162"/>
      <c r="J722" s="162"/>
      <c r="K722" s="162"/>
      <c r="L722" s="163"/>
    </row>
    <row r="723" spans="2:12" ht="19.2" customHeight="1" x14ac:dyDescent="0.3">
      <c r="B723" s="161"/>
      <c r="C723" s="162"/>
      <c r="D723" s="163"/>
      <c r="E723" s="162"/>
      <c r="F723" s="162"/>
      <c r="G723" s="162"/>
      <c r="H723" s="162"/>
      <c r="I723" s="162"/>
      <c r="J723" s="162"/>
      <c r="K723" s="162"/>
      <c r="L723" s="163"/>
    </row>
    <row r="724" spans="2:12" ht="19.2" customHeight="1" x14ac:dyDescent="0.3">
      <c r="B724" s="161"/>
      <c r="C724" s="162"/>
      <c r="D724" s="163"/>
      <c r="E724" s="162"/>
      <c r="F724" s="162"/>
      <c r="G724" s="162"/>
      <c r="H724" s="162"/>
      <c r="I724" s="162"/>
      <c r="J724" s="162"/>
      <c r="K724" s="162"/>
      <c r="L724" s="163"/>
    </row>
    <row r="725" spans="2:12" ht="19.2" customHeight="1" x14ac:dyDescent="0.3">
      <c r="B725" s="161"/>
      <c r="C725" s="162"/>
      <c r="D725" s="163"/>
      <c r="E725" s="162"/>
      <c r="F725" s="162"/>
      <c r="G725" s="162"/>
      <c r="H725" s="162"/>
      <c r="I725" s="162"/>
      <c r="J725" s="162"/>
      <c r="K725" s="162"/>
      <c r="L725" s="163"/>
    </row>
    <row r="726" spans="2:12" ht="19.2" customHeight="1" x14ac:dyDescent="0.3">
      <c r="B726" s="161"/>
      <c r="C726" s="162"/>
      <c r="D726" s="163"/>
      <c r="E726" s="162"/>
      <c r="F726" s="162"/>
      <c r="G726" s="162"/>
      <c r="H726" s="162"/>
      <c r="I726" s="162"/>
      <c r="J726" s="162"/>
      <c r="K726" s="162"/>
      <c r="L726" s="163"/>
    </row>
    <row r="727" spans="2:12" ht="19.2" customHeight="1" x14ac:dyDescent="0.3">
      <c r="B727" s="161"/>
      <c r="C727" s="162"/>
      <c r="D727" s="163"/>
      <c r="E727" s="162"/>
      <c r="F727" s="162"/>
      <c r="G727" s="162"/>
      <c r="H727" s="162"/>
      <c r="I727" s="162"/>
      <c r="J727" s="162"/>
      <c r="K727" s="162"/>
      <c r="L727" s="163"/>
    </row>
    <row r="728" spans="2:12" ht="19.2" customHeight="1" x14ac:dyDescent="0.3">
      <c r="B728" s="161"/>
      <c r="C728" s="162"/>
      <c r="D728" s="163"/>
      <c r="E728" s="162"/>
      <c r="F728" s="162"/>
      <c r="G728" s="162"/>
      <c r="H728" s="162"/>
      <c r="I728" s="162"/>
      <c r="J728" s="162"/>
      <c r="K728" s="162"/>
      <c r="L728" s="163"/>
    </row>
    <row r="729" spans="2:12" ht="19.2" customHeight="1" x14ac:dyDescent="0.3">
      <c r="B729" s="161"/>
      <c r="C729" s="162"/>
      <c r="D729" s="163"/>
      <c r="E729" s="162"/>
      <c r="F729" s="162"/>
      <c r="G729" s="162"/>
      <c r="H729" s="162"/>
      <c r="I729" s="162"/>
      <c r="J729" s="162"/>
      <c r="K729" s="162"/>
      <c r="L729" s="163"/>
    </row>
    <row r="730" spans="2:12" ht="19.2" customHeight="1" x14ac:dyDescent="0.3">
      <c r="B730" s="161"/>
      <c r="C730" s="162"/>
      <c r="D730" s="163"/>
      <c r="E730" s="162"/>
      <c r="F730" s="162"/>
      <c r="G730" s="162"/>
      <c r="H730" s="162"/>
      <c r="I730" s="162"/>
      <c r="J730" s="162"/>
      <c r="K730" s="162"/>
      <c r="L730" s="163"/>
    </row>
    <row r="731" spans="2:12" ht="19.2" customHeight="1" x14ac:dyDescent="0.3">
      <c r="B731" s="161"/>
      <c r="C731" s="162"/>
      <c r="D731" s="163"/>
      <c r="E731" s="162"/>
      <c r="F731" s="162"/>
      <c r="G731" s="162"/>
      <c r="H731" s="162"/>
      <c r="I731" s="162"/>
      <c r="J731" s="162"/>
      <c r="K731" s="162"/>
      <c r="L731" s="163"/>
    </row>
    <row r="732" spans="2:12" ht="19.2" customHeight="1" x14ac:dyDescent="0.3">
      <c r="B732" s="161"/>
      <c r="C732" s="162"/>
      <c r="D732" s="163"/>
      <c r="E732" s="162"/>
      <c r="F732" s="162"/>
      <c r="G732" s="162"/>
      <c r="H732" s="162"/>
      <c r="I732" s="162"/>
      <c r="J732" s="162"/>
      <c r="K732" s="162"/>
      <c r="L732" s="163"/>
    </row>
    <row r="733" spans="2:12" ht="19.2" customHeight="1" x14ac:dyDescent="0.3">
      <c r="B733" s="161"/>
      <c r="C733" s="162"/>
      <c r="D733" s="163"/>
      <c r="E733" s="162"/>
      <c r="F733" s="162"/>
      <c r="G733" s="162"/>
      <c r="H733" s="162"/>
      <c r="I733" s="162"/>
      <c r="J733" s="162"/>
      <c r="K733" s="162"/>
      <c r="L733" s="163"/>
    </row>
    <row r="734" spans="2:12" ht="19.2" customHeight="1" x14ac:dyDescent="0.3">
      <c r="B734" s="161"/>
      <c r="C734" s="162"/>
      <c r="D734" s="163"/>
      <c r="E734" s="162"/>
      <c r="F734" s="162"/>
      <c r="G734" s="162"/>
      <c r="H734" s="162"/>
      <c r="I734" s="162"/>
      <c r="J734" s="162"/>
      <c r="K734" s="162"/>
      <c r="L734" s="163"/>
    </row>
    <row r="735" spans="2:12" ht="19.2" customHeight="1" x14ac:dyDescent="0.3">
      <c r="B735" s="161"/>
      <c r="C735" s="162"/>
      <c r="D735" s="163"/>
      <c r="E735" s="162"/>
      <c r="F735" s="162"/>
      <c r="G735" s="162"/>
      <c r="H735" s="162"/>
      <c r="I735" s="162"/>
      <c r="J735" s="162"/>
      <c r="K735" s="162"/>
      <c r="L735" s="163"/>
    </row>
    <row r="736" spans="2:12" ht="19.2" customHeight="1" x14ac:dyDescent="0.3">
      <c r="B736" s="161"/>
      <c r="C736" s="162"/>
      <c r="D736" s="163"/>
      <c r="E736" s="162"/>
      <c r="F736" s="162"/>
      <c r="G736" s="162"/>
      <c r="H736" s="162"/>
      <c r="I736" s="162"/>
      <c r="J736" s="162"/>
      <c r="K736" s="162"/>
      <c r="L736" s="163"/>
    </row>
    <row r="737" spans="2:12" ht="19.2" customHeight="1" x14ac:dyDescent="0.3">
      <c r="B737" s="161"/>
      <c r="C737" s="162"/>
      <c r="D737" s="163"/>
      <c r="E737" s="162"/>
      <c r="F737" s="162"/>
      <c r="G737" s="162"/>
      <c r="H737" s="162"/>
      <c r="I737" s="162"/>
      <c r="J737" s="162"/>
      <c r="K737" s="162"/>
      <c r="L737" s="163"/>
    </row>
    <row r="738" spans="2:12" ht="19.2" customHeight="1" x14ac:dyDescent="0.3">
      <c r="B738" s="161"/>
      <c r="C738" s="162"/>
      <c r="D738" s="163"/>
      <c r="E738" s="162"/>
      <c r="F738" s="162"/>
      <c r="G738" s="162"/>
      <c r="H738" s="162"/>
      <c r="I738" s="162"/>
      <c r="J738" s="162"/>
      <c r="K738" s="162"/>
      <c r="L738" s="163"/>
    </row>
    <row r="739" spans="2:12" ht="19.2" customHeight="1" x14ac:dyDescent="0.3">
      <c r="B739" s="161"/>
      <c r="C739" s="162"/>
      <c r="D739" s="163"/>
      <c r="E739" s="162"/>
      <c r="F739" s="162"/>
      <c r="G739" s="162"/>
      <c r="H739" s="162"/>
      <c r="I739" s="162"/>
      <c r="J739" s="162"/>
      <c r="K739" s="162"/>
      <c r="L739" s="163"/>
    </row>
    <row r="740" spans="2:12" ht="19.2" customHeight="1" x14ac:dyDescent="0.3">
      <c r="B740" s="161"/>
      <c r="C740" s="162"/>
      <c r="D740" s="163"/>
      <c r="E740" s="162"/>
      <c r="F740" s="162"/>
      <c r="G740" s="162"/>
      <c r="H740" s="162"/>
      <c r="I740" s="162"/>
      <c r="J740" s="162"/>
      <c r="K740" s="162"/>
      <c r="L740" s="163"/>
    </row>
    <row r="741" spans="2:12" ht="19.2" customHeight="1" x14ac:dyDescent="0.3">
      <c r="B741" s="161"/>
      <c r="C741" s="162"/>
      <c r="D741" s="163"/>
      <c r="E741" s="162"/>
      <c r="F741" s="162"/>
      <c r="G741" s="162"/>
      <c r="H741" s="162"/>
      <c r="I741" s="162"/>
      <c r="J741" s="162"/>
      <c r="K741" s="162"/>
      <c r="L741" s="163"/>
    </row>
    <row r="742" spans="2:12" ht="19.2" customHeight="1" x14ac:dyDescent="0.3">
      <c r="B742" s="161"/>
      <c r="C742" s="162"/>
      <c r="D742" s="163"/>
      <c r="E742" s="162"/>
      <c r="F742" s="162"/>
      <c r="G742" s="162"/>
      <c r="H742" s="162"/>
      <c r="I742" s="162"/>
      <c r="J742" s="162"/>
      <c r="K742" s="162"/>
      <c r="L742" s="163"/>
    </row>
    <row r="743" spans="2:12" ht="19.2" customHeight="1" x14ac:dyDescent="0.3">
      <c r="B743" s="161"/>
      <c r="C743" s="162"/>
      <c r="D743" s="163"/>
      <c r="E743" s="162"/>
      <c r="F743" s="162"/>
      <c r="G743" s="162"/>
      <c r="H743" s="162"/>
      <c r="I743" s="162"/>
      <c r="J743" s="162"/>
      <c r="K743" s="162"/>
      <c r="L743" s="163"/>
    </row>
    <row r="744" spans="2:12" ht="19.2" customHeight="1" x14ac:dyDescent="0.3">
      <c r="B744" s="161"/>
      <c r="C744" s="162"/>
      <c r="D744" s="163"/>
      <c r="E744" s="162"/>
      <c r="F744" s="162"/>
      <c r="G744" s="162"/>
      <c r="H744" s="162"/>
      <c r="I744" s="162"/>
      <c r="J744" s="162"/>
      <c r="K744" s="162"/>
      <c r="L744" s="163"/>
    </row>
    <row r="745" spans="2:12" ht="19.2" customHeight="1" x14ac:dyDescent="0.3">
      <c r="B745" s="161"/>
      <c r="C745" s="162"/>
      <c r="D745" s="163"/>
      <c r="E745" s="162"/>
      <c r="F745" s="162"/>
      <c r="G745" s="162"/>
      <c r="H745" s="162"/>
      <c r="I745" s="162"/>
      <c r="J745" s="162"/>
      <c r="K745" s="162"/>
      <c r="L745" s="163"/>
    </row>
    <row r="746" spans="2:12" ht="19.2" customHeight="1" x14ac:dyDescent="0.3">
      <c r="B746" s="161"/>
      <c r="C746" s="162"/>
      <c r="D746" s="163"/>
      <c r="E746" s="162"/>
      <c r="F746" s="162"/>
      <c r="G746" s="162"/>
      <c r="H746" s="162"/>
      <c r="I746" s="162"/>
      <c r="J746" s="162"/>
      <c r="K746" s="162"/>
      <c r="L746" s="163"/>
    </row>
    <row r="747" spans="2:12" ht="19.2" customHeight="1" x14ac:dyDescent="0.3">
      <c r="B747" s="161"/>
      <c r="C747" s="162"/>
      <c r="D747" s="163"/>
      <c r="E747" s="162"/>
      <c r="F747" s="162"/>
      <c r="G747" s="162"/>
      <c r="H747" s="162"/>
      <c r="I747" s="162"/>
      <c r="J747" s="162"/>
      <c r="K747" s="162"/>
      <c r="L747" s="163"/>
    </row>
    <row r="748" spans="2:12" ht="19.2" customHeight="1" x14ac:dyDescent="0.3">
      <c r="B748" s="161"/>
      <c r="C748" s="162"/>
      <c r="D748" s="163"/>
      <c r="E748" s="162"/>
      <c r="F748" s="162"/>
      <c r="G748" s="162"/>
      <c r="H748" s="162"/>
      <c r="I748" s="162"/>
      <c r="J748" s="162"/>
      <c r="K748" s="162"/>
      <c r="L748" s="163"/>
    </row>
    <row r="749" spans="2:12" ht="19.2" customHeight="1" x14ac:dyDescent="0.3">
      <c r="B749" s="161"/>
      <c r="C749" s="162"/>
      <c r="D749" s="163"/>
      <c r="E749" s="162"/>
      <c r="F749" s="162"/>
      <c r="G749" s="162"/>
      <c r="H749" s="162"/>
      <c r="I749" s="162"/>
      <c r="J749" s="162"/>
      <c r="K749" s="162"/>
      <c r="L749" s="163"/>
    </row>
    <row r="750" spans="2:12" ht="19.2" customHeight="1" x14ac:dyDescent="0.3">
      <c r="B750" s="161"/>
      <c r="C750" s="162"/>
      <c r="D750" s="163"/>
      <c r="E750" s="162"/>
      <c r="F750" s="162"/>
      <c r="G750" s="162"/>
      <c r="H750" s="162"/>
      <c r="I750" s="162"/>
      <c r="J750" s="162"/>
      <c r="K750" s="162"/>
      <c r="L750" s="163"/>
    </row>
    <row r="751" spans="2:12" ht="19.2" customHeight="1" x14ac:dyDescent="0.3">
      <c r="B751" s="161"/>
      <c r="C751" s="162"/>
      <c r="D751" s="163"/>
      <c r="E751" s="162"/>
      <c r="F751" s="162"/>
      <c r="G751" s="162"/>
      <c r="H751" s="162"/>
      <c r="I751" s="162"/>
      <c r="J751" s="162"/>
      <c r="K751" s="162"/>
      <c r="L751" s="163"/>
    </row>
    <row r="752" spans="2:12" ht="19.2" customHeight="1" x14ac:dyDescent="0.3">
      <c r="B752" s="161"/>
      <c r="C752" s="162"/>
      <c r="D752" s="163"/>
      <c r="E752" s="162"/>
      <c r="F752" s="162"/>
      <c r="G752" s="162"/>
      <c r="H752" s="162"/>
      <c r="I752" s="162"/>
      <c r="J752" s="162"/>
      <c r="K752" s="162"/>
      <c r="L752" s="163"/>
    </row>
    <row r="753" spans="2:12" ht="19.2" customHeight="1" x14ac:dyDescent="0.3">
      <c r="B753" s="161"/>
      <c r="C753" s="162"/>
      <c r="D753" s="163"/>
      <c r="E753" s="162"/>
      <c r="F753" s="162"/>
      <c r="G753" s="162"/>
      <c r="H753" s="162"/>
      <c r="I753" s="162"/>
      <c r="J753" s="162"/>
      <c r="K753" s="162"/>
      <c r="L753" s="163"/>
    </row>
    <row r="754" spans="2:12" ht="19.2" customHeight="1" x14ac:dyDescent="0.3">
      <c r="B754" s="161"/>
      <c r="C754" s="162"/>
      <c r="D754" s="163"/>
      <c r="E754" s="162"/>
      <c r="F754" s="162"/>
      <c r="G754" s="162"/>
      <c r="H754" s="162"/>
      <c r="I754" s="162"/>
      <c r="J754" s="162"/>
      <c r="K754" s="162"/>
      <c r="L754" s="163"/>
    </row>
    <row r="755" spans="2:12" ht="19.2" customHeight="1" x14ac:dyDescent="0.3">
      <c r="B755" s="161"/>
      <c r="C755" s="162"/>
      <c r="D755" s="163"/>
      <c r="E755" s="162"/>
      <c r="F755" s="162"/>
      <c r="G755" s="162"/>
      <c r="H755" s="162"/>
      <c r="I755" s="162"/>
      <c r="J755" s="162"/>
      <c r="K755" s="162"/>
      <c r="L755" s="163"/>
    </row>
    <row r="756" spans="2:12" ht="19.2" customHeight="1" x14ac:dyDescent="0.3">
      <c r="B756" s="161"/>
      <c r="C756" s="162"/>
      <c r="D756" s="163"/>
      <c r="E756" s="162"/>
      <c r="F756" s="162"/>
      <c r="G756" s="162"/>
      <c r="H756" s="162"/>
      <c r="I756" s="162"/>
      <c r="J756" s="162"/>
      <c r="K756" s="162"/>
      <c r="L756" s="163"/>
    </row>
    <row r="757" spans="2:12" ht="19.2" customHeight="1" x14ac:dyDescent="0.3">
      <c r="B757" s="161"/>
      <c r="C757" s="162"/>
      <c r="D757" s="163"/>
      <c r="E757" s="162"/>
      <c r="F757" s="162"/>
      <c r="G757" s="162"/>
      <c r="H757" s="162"/>
      <c r="I757" s="162"/>
      <c r="J757" s="162"/>
      <c r="K757" s="162"/>
      <c r="L757" s="163"/>
    </row>
    <row r="758" spans="2:12" ht="19.2" customHeight="1" x14ac:dyDescent="0.3">
      <c r="B758" s="161"/>
      <c r="C758" s="162"/>
      <c r="D758" s="163"/>
      <c r="E758" s="162"/>
      <c r="F758" s="162"/>
      <c r="G758" s="162"/>
      <c r="H758" s="162"/>
      <c r="I758" s="162"/>
      <c r="J758" s="162"/>
      <c r="K758" s="162"/>
      <c r="L758" s="163"/>
    </row>
    <row r="759" spans="2:12" ht="19.2" customHeight="1" x14ac:dyDescent="0.3">
      <c r="B759" s="161"/>
      <c r="C759" s="162"/>
      <c r="D759" s="163"/>
      <c r="E759" s="162"/>
      <c r="F759" s="162"/>
      <c r="G759" s="162"/>
      <c r="H759" s="162"/>
      <c r="I759" s="162"/>
      <c r="J759" s="162"/>
      <c r="K759" s="162"/>
      <c r="L759" s="163"/>
    </row>
    <row r="760" spans="2:12" ht="19.2" customHeight="1" x14ac:dyDescent="0.3">
      <c r="B760" s="161"/>
      <c r="C760" s="162"/>
      <c r="D760" s="163"/>
      <c r="E760" s="162"/>
      <c r="F760" s="162"/>
      <c r="G760" s="162"/>
      <c r="H760" s="162"/>
      <c r="I760" s="162"/>
      <c r="J760" s="162"/>
      <c r="K760" s="162"/>
      <c r="L760" s="163"/>
    </row>
    <row r="761" spans="2:12" ht="19.2" customHeight="1" x14ac:dyDescent="0.3">
      <c r="B761" s="161"/>
      <c r="C761" s="162"/>
      <c r="D761" s="163"/>
      <c r="E761" s="162"/>
      <c r="F761" s="162"/>
      <c r="G761" s="162"/>
      <c r="H761" s="162"/>
      <c r="I761" s="162"/>
      <c r="J761" s="162"/>
      <c r="K761" s="162"/>
      <c r="L761" s="163"/>
    </row>
    <row r="762" spans="2:12" ht="19.2" customHeight="1" x14ac:dyDescent="0.3">
      <c r="B762" s="161"/>
      <c r="C762" s="162"/>
      <c r="D762" s="163"/>
      <c r="E762" s="162"/>
      <c r="F762" s="162"/>
      <c r="G762" s="162"/>
      <c r="H762" s="162"/>
      <c r="I762" s="162"/>
      <c r="J762" s="162"/>
      <c r="K762" s="162"/>
      <c r="L762" s="163"/>
    </row>
    <row r="763" spans="2:12" ht="19.2" customHeight="1" x14ac:dyDescent="0.3">
      <c r="B763" s="161"/>
      <c r="C763" s="162"/>
      <c r="D763" s="163"/>
      <c r="E763" s="162"/>
      <c r="F763" s="162"/>
      <c r="G763" s="162"/>
      <c r="H763" s="162"/>
      <c r="I763" s="162"/>
      <c r="J763" s="162"/>
      <c r="K763" s="162"/>
      <c r="L763" s="163"/>
    </row>
    <row r="764" spans="2:12" ht="19.2" customHeight="1" x14ac:dyDescent="0.3">
      <c r="B764" s="161"/>
      <c r="C764" s="162"/>
      <c r="D764" s="163"/>
      <c r="E764" s="162"/>
      <c r="F764" s="162"/>
      <c r="G764" s="162"/>
      <c r="H764" s="162"/>
      <c r="I764" s="162"/>
      <c r="J764" s="162"/>
      <c r="K764" s="162"/>
      <c r="L764" s="163"/>
    </row>
    <row r="765" spans="2:12" ht="19.2" customHeight="1" x14ac:dyDescent="0.3">
      <c r="B765" s="161"/>
      <c r="C765" s="162"/>
      <c r="D765" s="163"/>
      <c r="E765" s="162"/>
      <c r="F765" s="162"/>
      <c r="G765" s="162"/>
      <c r="H765" s="162"/>
      <c r="I765" s="162"/>
      <c r="J765" s="162"/>
      <c r="K765" s="162"/>
      <c r="L765" s="163"/>
    </row>
    <row r="766" spans="2:12" ht="19.2" customHeight="1" x14ac:dyDescent="0.3">
      <c r="B766" s="161"/>
      <c r="C766" s="162"/>
      <c r="D766" s="163"/>
      <c r="E766" s="162"/>
      <c r="F766" s="162"/>
      <c r="G766" s="162"/>
      <c r="H766" s="162"/>
      <c r="I766" s="162"/>
      <c r="J766" s="162"/>
      <c r="K766" s="162"/>
      <c r="L766" s="163"/>
    </row>
    <row r="767" spans="2:12" ht="19.2" customHeight="1" x14ac:dyDescent="0.3">
      <c r="B767" s="161"/>
      <c r="C767" s="162"/>
      <c r="D767" s="163"/>
      <c r="E767" s="162"/>
      <c r="F767" s="162"/>
      <c r="G767" s="162"/>
      <c r="H767" s="162"/>
      <c r="I767" s="162"/>
      <c r="J767" s="162"/>
      <c r="K767" s="162"/>
      <c r="L767" s="163"/>
    </row>
    <row r="768" spans="2:12" ht="19.2" customHeight="1" x14ac:dyDescent="0.3">
      <c r="B768" s="161"/>
      <c r="C768" s="162"/>
      <c r="D768" s="163"/>
      <c r="E768" s="162"/>
      <c r="F768" s="162"/>
      <c r="G768" s="162"/>
      <c r="H768" s="162"/>
      <c r="I768" s="162"/>
      <c r="J768" s="162"/>
      <c r="K768" s="162"/>
      <c r="L768" s="163"/>
    </row>
    <row r="769" spans="2:12" ht="19.2" customHeight="1" x14ac:dyDescent="0.3">
      <c r="B769" s="161"/>
      <c r="C769" s="162"/>
      <c r="D769" s="163"/>
      <c r="E769" s="162"/>
      <c r="F769" s="162"/>
      <c r="G769" s="162"/>
      <c r="H769" s="162"/>
      <c r="I769" s="162"/>
      <c r="J769" s="162"/>
      <c r="K769" s="162"/>
      <c r="L769" s="163"/>
    </row>
    <row r="770" spans="2:12" ht="19.2" customHeight="1" x14ac:dyDescent="0.3">
      <c r="B770" s="161"/>
      <c r="C770" s="162"/>
      <c r="D770" s="163"/>
      <c r="E770" s="162"/>
      <c r="F770" s="162"/>
      <c r="G770" s="162"/>
      <c r="H770" s="162"/>
      <c r="I770" s="162"/>
      <c r="J770" s="162"/>
      <c r="K770" s="162"/>
      <c r="L770" s="163"/>
    </row>
    <row r="771" spans="2:12" ht="19.2" customHeight="1" x14ac:dyDescent="0.3">
      <c r="B771" s="161"/>
      <c r="C771" s="162"/>
      <c r="D771" s="163"/>
      <c r="E771" s="162"/>
      <c r="F771" s="162"/>
      <c r="G771" s="162"/>
      <c r="H771" s="162"/>
      <c r="I771" s="162"/>
      <c r="J771" s="162"/>
      <c r="K771" s="162"/>
      <c r="L771" s="163"/>
    </row>
    <row r="772" spans="2:12" ht="19.2" customHeight="1" x14ac:dyDescent="0.3">
      <c r="B772" s="161"/>
      <c r="C772" s="162"/>
      <c r="D772" s="163"/>
      <c r="E772" s="162"/>
      <c r="F772" s="162"/>
      <c r="G772" s="162"/>
      <c r="H772" s="162"/>
      <c r="I772" s="162"/>
      <c r="J772" s="162"/>
      <c r="K772" s="162"/>
      <c r="L772" s="163"/>
    </row>
    <row r="773" spans="2:12" ht="19.2" customHeight="1" x14ac:dyDescent="0.3">
      <c r="B773" s="161"/>
      <c r="C773" s="162"/>
      <c r="D773" s="163"/>
      <c r="E773" s="162"/>
      <c r="F773" s="162"/>
      <c r="G773" s="162"/>
      <c r="H773" s="162"/>
      <c r="I773" s="162"/>
      <c r="J773" s="162"/>
      <c r="K773" s="162"/>
      <c r="L773" s="163"/>
    </row>
    <row r="774" spans="2:12" ht="19.2" customHeight="1" x14ac:dyDescent="0.3">
      <c r="B774" s="161"/>
      <c r="C774" s="162"/>
      <c r="D774" s="163"/>
      <c r="E774" s="162"/>
      <c r="F774" s="162"/>
      <c r="G774" s="162"/>
      <c r="H774" s="162"/>
      <c r="I774" s="162"/>
      <c r="J774" s="162"/>
      <c r="K774" s="162"/>
      <c r="L774" s="163"/>
    </row>
    <row r="775" spans="2:12" ht="19.2" customHeight="1" x14ac:dyDescent="0.3">
      <c r="B775" s="161"/>
      <c r="C775" s="162"/>
      <c r="D775" s="163"/>
      <c r="E775" s="162"/>
      <c r="F775" s="162"/>
      <c r="G775" s="162"/>
      <c r="H775" s="162"/>
      <c r="I775" s="162"/>
      <c r="J775" s="162"/>
      <c r="K775" s="162"/>
      <c r="L775" s="163"/>
    </row>
    <row r="776" spans="2:12" ht="19.2" customHeight="1" x14ac:dyDescent="0.3">
      <c r="B776" s="161"/>
      <c r="C776" s="162"/>
      <c r="D776" s="163"/>
      <c r="E776" s="162"/>
      <c r="F776" s="162"/>
      <c r="G776" s="162"/>
      <c r="H776" s="162"/>
      <c r="I776" s="162"/>
      <c r="J776" s="162"/>
      <c r="K776" s="162"/>
      <c r="L776" s="163"/>
    </row>
    <row r="777" spans="2:12" ht="19.2" customHeight="1" x14ac:dyDescent="0.3">
      <c r="B777" s="161"/>
      <c r="C777" s="162"/>
      <c r="D777" s="163"/>
      <c r="E777" s="162"/>
      <c r="F777" s="162"/>
      <c r="G777" s="162"/>
      <c r="H777" s="162"/>
      <c r="I777" s="162"/>
      <c r="J777" s="162"/>
      <c r="K777" s="162"/>
      <c r="L777" s="163"/>
    </row>
    <row r="778" spans="2:12" ht="19.2" customHeight="1" x14ac:dyDescent="0.3">
      <c r="B778" s="161"/>
      <c r="C778" s="162"/>
      <c r="D778" s="163"/>
      <c r="E778" s="162"/>
      <c r="F778" s="162"/>
      <c r="G778" s="162"/>
      <c r="H778" s="162"/>
      <c r="I778" s="162"/>
      <c r="J778" s="162"/>
      <c r="K778" s="162"/>
      <c r="L778" s="163"/>
    </row>
    <row r="779" spans="2:12" ht="19.2" customHeight="1" x14ac:dyDescent="0.3">
      <c r="B779" s="161"/>
      <c r="C779" s="162"/>
      <c r="D779" s="163"/>
      <c r="E779" s="162"/>
      <c r="F779" s="162"/>
      <c r="G779" s="162"/>
      <c r="H779" s="162"/>
      <c r="I779" s="162"/>
      <c r="J779" s="162"/>
      <c r="K779" s="162"/>
      <c r="L779" s="163"/>
    </row>
    <row r="780" spans="2:12" ht="19.2" customHeight="1" x14ac:dyDescent="0.3">
      <c r="B780" s="161"/>
      <c r="C780" s="162"/>
      <c r="D780" s="163"/>
      <c r="E780" s="162"/>
      <c r="F780" s="162"/>
      <c r="G780" s="162"/>
      <c r="H780" s="162"/>
      <c r="I780" s="162"/>
      <c r="J780" s="162"/>
      <c r="K780" s="162"/>
      <c r="L780" s="163"/>
    </row>
    <row r="781" spans="2:12" ht="19.2" customHeight="1" x14ac:dyDescent="0.3">
      <c r="B781" s="161"/>
      <c r="C781" s="162"/>
      <c r="D781" s="163"/>
      <c r="E781" s="162"/>
      <c r="F781" s="162"/>
      <c r="G781" s="162"/>
      <c r="H781" s="162"/>
      <c r="I781" s="162"/>
      <c r="J781" s="162"/>
      <c r="K781" s="162"/>
      <c r="L781" s="163"/>
    </row>
    <row r="782" spans="2:12" ht="19.2" customHeight="1" x14ac:dyDescent="0.3">
      <c r="B782" s="161"/>
      <c r="C782" s="162"/>
      <c r="D782" s="163"/>
      <c r="E782" s="162"/>
      <c r="F782" s="162"/>
      <c r="G782" s="162"/>
      <c r="H782" s="162"/>
      <c r="I782" s="162"/>
      <c r="J782" s="162"/>
      <c r="K782" s="162"/>
      <c r="L782" s="163"/>
    </row>
    <row r="783" spans="2:12" ht="19.2" customHeight="1" x14ac:dyDescent="0.3">
      <c r="B783" s="161"/>
      <c r="C783" s="162"/>
      <c r="D783" s="163"/>
      <c r="E783" s="162"/>
      <c r="F783" s="162"/>
      <c r="G783" s="162"/>
      <c r="H783" s="162"/>
      <c r="I783" s="162"/>
      <c r="J783" s="162"/>
      <c r="K783" s="162"/>
      <c r="L783" s="163"/>
    </row>
    <row r="784" spans="2:12" ht="19.2" customHeight="1" x14ac:dyDescent="0.3">
      <c r="B784" s="161"/>
      <c r="C784" s="162"/>
      <c r="D784" s="163"/>
      <c r="E784" s="162"/>
      <c r="F784" s="162"/>
      <c r="G784" s="162"/>
      <c r="H784" s="162"/>
      <c r="I784" s="162"/>
      <c r="J784" s="162"/>
      <c r="K784" s="162"/>
      <c r="L784" s="163"/>
    </row>
    <row r="785" spans="2:12" ht="19.2" customHeight="1" x14ac:dyDescent="0.3">
      <c r="B785" s="161"/>
      <c r="C785" s="162"/>
      <c r="D785" s="163"/>
      <c r="E785" s="162"/>
      <c r="F785" s="162"/>
      <c r="G785" s="162"/>
      <c r="H785" s="162"/>
      <c r="I785" s="162"/>
      <c r="J785" s="162"/>
      <c r="K785" s="162"/>
      <c r="L785" s="163"/>
    </row>
    <row r="786" spans="2:12" ht="19.2" customHeight="1" x14ac:dyDescent="0.3">
      <c r="B786" s="161"/>
      <c r="C786" s="162"/>
      <c r="D786" s="163"/>
      <c r="E786" s="162"/>
      <c r="F786" s="162"/>
      <c r="G786" s="162"/>
      <c r="H786" s="162"/>
      <c r="I786" s="162"/>
      <c r="J786" s="162"/>
      <c r="K786" s="162"/>
      <c r="L786" s="163"/>
    </row>
    <row r="787" spans="2:12" ht="19.2" customHeight="1" x14ac:dyDescent="0.3">
      <c r="B787" s="161"/>
      <c r="C787" s="162"/>
      <c r="D787" s="163"/>
      <c r="E787" s="162"/>
      <c r="F787" s="162"/>
      <c r="G787" s="162"/>
      <c r="H787" s="162"/>
      <c r="I787" s="162"/>
      <c r="J787" s="162"/>
      <c r="K787" s="162"/>
      <c r="L787" s="163"/>
    </row>
    <row r="788" spans="2:12" ht="19.2" customHeight="1" x14ac:dyDescent="0.3">
      <c r="B788" s="161"/>
      <c r="C788" s="162"/>
      <c r="D788" s="163"/>
      <c r="E788" s="162"/>
      <c r="F788" s="162"/>
      <c r="G788" s="162"/>
      <c r="H788" s="162"/>
      <c r="I788" s="162"/>
      <c r="J788" s="162"/>
      <c r="K788" s="162"/>
      <c r="L788" s="163"/>
    </row>
    <row r="789" spans="2:12" ht="19.2" customHeight="1" x14ac:dyDescent="0.3">
      <c r="B789" s="161"/>
      <c r="C789" s="162"/>
      <c r="D789" s="163"/>
      <c r="E789" s="162"/>
      <c r="F789" s="162"/>
      <c r="G789" s="162"/>
      <c r="H789" s="162"/>
      <c r="I789" s="162"/>
      <c r="J789" s="162"/>
      <c r="K789" s="162"/>
      <c r="L789" s="163"/>
    </row>
    <row r="790" spans="2:12" ht="19.2" customHeight="1" x14ac:dyDescent="0.3">
      <c r="B790" s="161"/>
      <c r="C790" s="162"/>
      <c r="D790" s="163"/>
      <c r="E790" s="162"/>
      <c r="F790" s="162"/>
      <c r="G790" s="162"/>
      <c r="H790" s="162"/>
      <c r="I790" s="162"/>
      <c r="J790" s="162"/>
      <c r="K790" s="162"/>
      <c r="L790" s="163"/>
    </row>
    <row r="791" spans="2:12" ht="19.2" customHeight="1" x14ac:dyDescent="0.3">
      <c r="B791" s="161"/>
      <c r="C791" s="162"/>
      <c r="D791" s="163"/>
      <c r="E791" s="162"/>
      <c r="F791" s="162"/>
      <c r="G791" s="162"/>
      <c r="H791" s="162"/>
      <c r="I791" s="162"/>
      <c r="J791" s="162"/>
      <c r="K791" s="162"/>
      <c r="L791" s="163"/>
    </row>
    <row r="792" spans="2:12" ht="19.2" customHeight="1" x14ac:dyDescent="0.3">
      <c r="B792" s="161"/>
      <c r="C792" s="162"/>
      <c r="D792" s="163"/>
      <c r="E792" s="162"/>
      <c r="F792" s="162"/>
      <c r="G792" s="162"/>
      <c r="H792" s="162"/>
      <c r="I792" s="162"/>
      <c r="J792" s="162"/>
      <c r="K792" s="162"/>
      <c r="L792" s="163"/>
    </row>
    <row r="793" spans="2:12" ht="19.2" customHeight="1" x14ac:dyDescent="0.3">
      <c r="B793" s="161"/>
      <c r="C793" s="162"/>
      <c r="D793" s="163"/>
      <c r="E793" s="162"/>
      <c r="F793" s="162"/>
      <c r="G793" s="162"/>
      <c r="H793" s="162"/>
      <c r="I793" s="162"/>
      <c r="J793" s="162"/>
      <c r="K793" s="162"/>
      <c r="L793" s="163"/>
    </row>
    <row r="794" spans="2:12" ht="19.2" customHeight="1" x14ac:dyDescent="0.3">
      <c r="B794" s="161"/>
      <c r="C794" s="162"/>
      <c r="D794" s="163"/>
      <c r="E794" s="162"/>
      <c r="F794" s="162"/>
      <c r="G794" s="162"/>
      <c r="H794" s="162"/>
      <c r="I794" s="162"/>
      <c r="J794" s="162"/>
      <c r="K794" s="162"/>
      <c r="L794" s="163"/>
    </row>
    <row r="795" spans="2:12" ht="19.2" customHeight="1" x14ac:dyDescent="0.3">
      <c r="B795" s="161"/>
      <c r="C795" s="162"/>
      <c r="D795" s="163"/>
      <c r="E795" s="162"/>
      <c r="F795" s="162"/>
      <c r="G795" s="162"/>
      <c r="H795" s="162"/>
      <c r="I795" s="162"/>
      <c r="J795" s="162"/>
      <c r="K795" s="162"/>
      <c r="L795" s="163"/>
    </row>
    <row r="796" spans="2:12" ht="19.2" customHeight="1" x14ac:dyDescent="0.3">
      <c r="B796" s="161"/>
      <c r="C796" s="162"/>
      <c r="D796" s="163"/>
      <c r="E796" s="162"/>
      <c r="F796" s="162"/>
      <c r="G796" s="162"/>
      <c r="H796" s="162"/>
      <c r="I796" s="162"/>
      <c r="J796" s="162"/>
      <c r="K796" s="162"/>
      <c r="L796" s="163"/>
    </row>
    <row r="797" spans="2:12" ht="19.2" customHeight="1" x14ac:dyDescent="0.3">
      <c r="B797" s="161"/>
      <c r="C797" s="162"/>
      <c r="D797" s="163"/>
      <c r="E797" s="162"/>
      <c r="F797" s="162"/>
      <c r="G797" s="162"/>
      <c r="H797" s="162"/>
      <c r="I797" s="162"/>
      <c r="J797" s="162"/>
      <c r="K797" s="162"/>
      <c r="L797" s="163"/>
    </row>
    <row r="798" spans="2:12" ht="19.2" customHeight="1" x14ac:dyDescent="0.3">
      <c r="B798" s="161"/>
      <c r="C798" s="162"/>
      <c r="D798" s="163"/>
      <c r="E798" s="162"/>
      <c r="F798" s="162"/>
      <c r="G798" s="162"/>
      <c r="H798" s="162"/>
      <c r="I798" s="162"/>
      <c r="J798" s="162"/>
      <c r="K798" s="162"/>
      <c r="L798" s="163"/>
    </row>
    <row r="799" spans="2:12" ht="19.2" customHeight="1" x14ac:dyDescent="0.3">
      <c r="B799" s="161"/>
      <c r="C799" s="162"/>
      <c r="D799" s="163"/>
      <c r="E799" s="162"/>
      <c r="F799" s="162"/>
      <c r="G799" s="162"/>
      <c r="H799" s="162"/>
      <c r="I799" s="162"/>
      <c r="J799" s="162"/>
      <c r="K799" s="162"/>
      <c r="L799" s="163"/>
    </row>
    <row r="800" spans="2:12" ht="19.2" customHeight="1" x14ac:dyDescent="0.3">
      <c r="B800" s="161"/>
      <c r="C800" s="162"/>
      <c r="D800" s="163"/>
      <c r="E800" s="162"/>
      <c r="F800" s="162"/>
      <c r="G800" s="162"/>
      <c r="H800" s="162"/>
      <c r="I800" s="162"/>
      <c r="J800" s="162"/>
      <c r="K800" s="162"/>
      <c r="L800" s="163"/>
    </row>
    <row r="801" spans="2:12" ht="19.2" customHeight="1" x14ac:dyDescent="0.3">
      <c r="B801" s="161"/>
      <c r="C801" s="162"/>
      <c r="D801" s="163"/>
      <c r="E801" s="162"/>
      <c r="F801" s="162"/>
      <c r="G801" s="162"/>
      <c r="H801" s="162"/>
      <c r="I801" s="162"/>
      <c r="J801" s="162"/>
      <c r="K801" s="162"/>
      <c r="L801" s="163"/>
    </row>
    <row r="802" spans="2:12" ht="19.2" customHeight="1" x14ac:dyDescent="0.3">
      <c r="B802" s="161"/>
      <c r="C802" s="162"/>
      <c r="D802" s="163"/>
      <c r="E802" s="162"/>
      <c r="F802" s="162"/>
      <c r="G802" s="162"/>
      <c r="H802" s="162"/>
      <c r="I802" s="162"/>
      <c r="J802" s="162"/>
      <c r="K802" s="162"/>
      <c r="L802" s="163"/>
    </row>
    <row r="803" spans="2:12" ht="19.2" customHeight="1" x14ac:dyDescent="0.3">
      <c r="B803" s="161"/>
      <c r="C803" s="162"/>
      <c r="D803" s="163"/>
      <c r="E803" s="162"/>
      <c r="F803" s="162"/>
      <c r="G803" s="162"/>
      <c r="H803" s="162"/>
      <c r="I803" s="162"/>
      <c r="J803" s="162"/>
      <c r="K803" s="162"/>
      <c r="L803" s="163"/>
    </row>
    <row r="804" spans="2:12" ht="19.2" customHeight="1" x14ac:dyDescent="0.3">
      <c r="B804" s="161"/>
      <c r="C804" s="162"/>
      <c r="D804" s="163"/>
      <c r="E804" s="162"/>
      <c r="F804" s="162"/>
      <c r="G804" s="162"/>
      <c r="H804" s="162"/>
      <c r="I804" s="162"/>
      <c r="J804" s="162"/>
      <c r="K804" s="162"/>
      <c r="L804" s="163"/>
    </row>
    <row r="805" spans="2:12" ht="19.2" customHeight="1" x14ac:dyDescent="0.3">
      <c r="B805" s="161"/>
      <c r="C805" s="162"/>
      <c r="D805" s="163"/>
      <c r="E805" s="162"/>
      <c r="F805" s="162"/>
      <c r="G805" s="162"/>
      <c r="H805" s="162"/>
      <c r="I805" s="162"/>
      <c r="J805" s="162"/>
      <c r="K805" s="162"/>
      <c r="L805" s="163"/>
    </row>
    <row r="806" spans="2:12" ht="19.2" customHeight="1" x14ac:dyDescent="0.3">
      <c r="B806" s="161"/>
      <c r="C806" s="162"/>
      <c r="D806" s="163"/>
      <c r="E806" s="162"/>
      <c r="F806" s="162"/>
      <c r="G806" s="162"/>
      <c r="H806" s="162"/>
      <c r="I806" s="162"/>
      <c r="J806" s="162"/>
      <c r="K806" s="162"/>
      <c r="L806" s="163"/>
    </row>
    <row r="807" spans="2:12" ht="19.2" customHeight="1" x14ac:dyDescent="0.3">
      <c r="B807" s="161"/>
      <c r="C807" s="162"/>
      <c r="D807" s="163"/>
      <c r="E807" s="162"/>
      <c r="F807" s="162"/>
      <c r="G807" s="162"/>
      <c r="H807" s="162"/>
      <c r="I807" s="162"/>
      <c r="J807" s="162"/>
      <c r="K807" s="162"/>
      <c r="L807" s="163"/>
    </row>
    <row r="808" spans="2:12" ht="19.2" customHeight="1" x14ac:dyDescent="0.3">
      <c r="B808" s="161"/>
      <c r="C808" s="162"/>
      <c r="D808" s="163"/>
      <c r="E808" s="162"/>
      <c r="F808" s="162"/>
      <c r="G808" s="162"/>
      <c r="H808" s="162"/>
      <c r="I808" s="162"/>
      <c r="J808" s="162"/>
      <c r="K808" s="162"/>
      <c r="L808" s="163"/>
    </row>
    <row r="809" spans="2:12" ht="19.2" customHeight="1" x14ac:dyDescent="0.3">
      <c r="B809" s="161"/>
      <c r="C809" s="162"/>
      <c r="D809" s="163"/>
      <c r="E809" s="162"/>
      <c r="F809" s="162"/>
      <c r="G809" s="162"/>
      <c r="H809" s="162"/>
      <c r="I809" s="162"/>
      <c r="J809" s="162"/>
      <c r="K809" s="162"/>
      <c r="L809" s="163"/>
    </row>
    <row r="810" spans="2:12" ht="19.2" customHeight="1" x14ac:dyDescent="0.3">
      <c r="B810" s="161"/>
      <c r="C810" s="162"/>
      <c r="D810" s="163"/>
      <c r="E810" s="162"/>
      <c r="F810" s="162"/>
      <c r="G810" s="162"/>
      <c r="H810" s="162"/>
      <c r="I810" s="162"/>
      <c r="J810" s="162"/>
      <c r="K810" s="162"/>
      <c r="L810" s="163"/>
    </row>
    <row r="811" spans="2:12" ht="19.2" customHeight="1" x14ac:dyDescent="0.3">
      <c r="B811" s="161"/>
      <c r="C811" s="162"/>
      <c r="D811" s="163"/>
      <c r="E811" s="162"/>
      <c r="F811" s="162"/>
      <c r="G811" s="162"/>
      <c r="H811" s="162"/>
      <c r="I811" s="162"/>
      <c r="J811" s="162"/>
      <c r="K811" s="162"/>
      <c r="L811" s="163"/>
    </row>
    <row r="812" spans="2:12" ht="19.2" customHeight="1" x14ac:dyDescent="0.3">
      <c r="B812" s="161"/>
      <c r="C812" s="162"/>
      <c r="D812" s="163"/>
      <c r="E812" s="162"/>
      <c r="F812" s="162"/>
      <c r="G812" s="162"/>
      <c r="H812" s="162"/>
      <c r="I812" s="162"/>
      <c r="J812" s="162"/>
      <c r="K812" s="162"/>
      <c r="L812" s="163"/>
    </row>
    <row r="813" spans="2:12" ht="19.2" customHeight="1" x14ac:dyDescent="0.3">
      <c r="B813" s="161"/>
      <c r="C813" s="162"/>
      <c r="D813" s="163"/>
      <c r="E813" s="162"/>
      <c r="F813" s="162"/>
      <c r="G813" s="162"/>
      <c r="H813" s="162"/>
      <c r="I813" s="162"/>
      <c r="J813" s="162"/>
      <c r="K813" s="162"/>
      <c r="L813" s="163"/>
    </row>
    <row r="814" spans="2:12" ht="19.2" customHeight="1" x14ac:dyDescent="0.3">
      <c r="B814" s="161"/>
      <c r="C814" s="162"/>
      <c r="D814" s="163"/>
      <c r="E814" s="162"/>
      <c r="F814" s="162"/>
      <c r="G814" s="162"/>
      <c r="H814" s="162"/>
      <c r="I814" s="162"/>
      <c r="J814" s="162"/>
      <c r="K814" s="162"/>
      <c r="L814" s="163"/>
    </row>
    <row r="815" spans="2:12" ht="19.2" customHeight="1" x14ac:dyDescent="0.3">
      <c r="B815" s="161"/>
      <c r="C815" s="162"/>
      <c r="D815" s="163"/>
      <c r="E815" s="162"/>
      <c r="F815" s="162"/>
      <c r="G815" s="162"/>
      <c r="H815" s="162"/>
      <c r="I815" s="162"/>
      <c r="J815" s="162"/>
      <c r="K815" s="162"/>
      <c r="L815" s="163"/>
    </row>
    <row r="816" spans="2:12" ht="19.2" customHeight="1" x14ac:dyDescent="0.3">
      <c r="B816" s="161"/>
      <c r="C816" s="162"/>
      <c r="D816" s="163"/>
      <c r="E816" s="162"/>
      <c r="F816" s="162"/>
      <c r="G816" s="162"/>
      <c r="H816" s="162"/>
      <c r="I816" s="162"/>
      <c r="J816" s="162"/>
      <c r="K816" s="162"/>
      <c r="L816" s="163"/>
    </row>
    <row r="817" spans="2:12" ht="19.2" customHeight="1" x14ac:dyDescent="0.3">
      <c r="B817" s="161"/>
      <c r="C817" s="162"/>
      <c r="D817" s="163"/>
      <c r="E817" s="162"/>
      <c r="F817" s="162"/>
      <c r="G817" s="162"/>
      <c r="H817" s="162"/>
      <c r="I817" s="162"/>
      <c r="J817" s="162"/>
      <c r="K817" s="162"/>
      <c r="L817" s="163"/>
    </row>
    <row r="818" spans="2:12" ht="19.2" customHeight="1" x14ac:dyDescent="0.3">
      <c r="B818" s="161"/>
      <c r="C818" s="162"/>
      <c r="D818" s="163"/>
      <c r="E818" s="162"/>
      <c r="F818" s="162"/>
      <c r="G818" s="162"/>
      <c r="H818" s="162"/>
      <c r="I818" s="162"/>
      <c r="J818" s="162"/>
      <c r="K818" s="162"/>
      <c r="L818" s="163"/>
    </row>
    <row r="819" spans="2:12" ht="19.2" customHeight="1" x14ac:dyDescent="0.3">
      <c r="B819" s="161"/>
      <c r="C819" s="162"/>
      <c r="D819" s="163"/>
      <c r="E819" s="162"/>
      <c r="F819" s="162"/>
      <c r="G819" s="162"/>
      <c r="H819" s="162"/>
      <c r="I819" s="162"/>
      <c r="J819" s="162"/>
      <c r="K819" s="162"/>
      <c r="L819" s="163"/>
    </row>
    <row r="820" spans="2:12" ht="19.2" customHeight="1" x14ac:dyDescent="0.3">
      <c r="B820" s="161"/>
      <c r="C820" s="162"/>
      <c r="D820" s="163"/>
      <c r="E820" s="162"/>
      <c r="F820" s="162"/>
      <c r="G820" s="162"/>
      <c r="H820" s="162"/>
      <c r="I820" s="162"/>
      <c r="J820" s="162"/>
      <c r="K820" s="162"/>
      <c r="L820" s="163"/>
    </row>
    <row r="821" spans="2:12" ht="19.2" customHeight="1" x14ac:dyDescent="0.3">
      <c r="B821" s="161"/>
      <c r="C821" s="162"/>
      <c r="D821" s="163"/>
      <c r="E821" s="162"/>
      <c r="F821" s="162"/>
      <c r="G821" s="162"/>
      <c r="H821" s="162"/>
      <c r="I821" s="162"/>
      <c r="J821" s="162"/>
      <c r="K821" s="162"/>
      <c r="L821" s="163"/>
    </row>
    <row r="822" spans="2:12" ht="19.2" customHeight="1" x14ac:dyDescent="0.3">
      <c r="B822" s="161"/>
      <c r="C822" s="162"/>
      <c r="D822" s="163"/>
      <c r="E822" s="162"/>
      <c r="F822" s="162"/>
      <c r="G822" s="162"/>
      <c r="H822" s="162"/>
      <c r="I822" s="162"/>
      <c r="J822" s="162"/>
      <c r="K822" s="162"/>
      <c r="L822" s="163"/>
    </row>
    <row r="823" spans="2:12" ht="19.2" customHeight="1" x14ac:dyDescent="0.3">
      <c r="B823" s="161"/>
      <c r="C823" s="162"/>
      <c r="D823" s="163"/>
      <c r="E823" s="162"/>
      <c r="F823" s="162"/>
      <c r="G823" s="162"/>
      <c r="H823" s="162"/>
      <c r="I823" s="162"/>
      <c r="J823" s="162"/>
      <c r="K823" s="162"/>
      <c r="L823" s="163"/>
    </row>
    <row r="824" spans="2:12" ht="19.2" customHeight="1" x14ac:dyDescent="0.3">
      <c r="B824" s="161"/>
      <c r="C824" s="162"/>
      <c r="D824" s="163"/>
      <c r="E824" s="162"/>
      <c r="F824" s="162"/>
      <c r="G824" s="162"/>
      <c r="H824" s="162"/>
      <c r="I824" s="162"/>
      <c r="J824" s="162"/>
      <c r="K824" s="162"/>
      <c r="L824" s="163"/>
    </row>
    <row r="825" spans="2:12" ht="19.2" customHeight="1" x14ac:dyDescent="0.3">
      <c r="B825" s="161"/>
      <c r="C825" s="162"/>
      <c r="D825" s="163"/>
      <c r="E825" s="162"/>
      <c r="F825" s="162"/>
      <c r="G825" s="162"/>
      <c r="H825" s="162"/>
      <c r="I825" s="162"/>
      <c r="J825" s="162"/>
      <c r="K825" s="162"/>
      <c r="L825" s="163"/>
    </row>
    <row r="826" spans="2:12" ht="19.2" customHeight="1" x14ac:dyDescent="0.3">
      <c r="B826" s="161"/>
      <c r="C826" s="162"/>
      <c r="D826" s="163"/>
      <c r="E826" s="162"/>
      <c r="F826" s="162"/>
      <c r="G826" s="162"/>
      <c r="H826" s="162"/>
      <c r="I826" s="162"/>
      <c r="J826" s="162"/>
      <c r="K826" s="162"/>
      <c r="L826" s="163"/>
    </row>
    <row r="827" spans="2:12" ht="19.2" customHeight="1" x14ac:dyDescent="0.3">
      <c r="B827" s="161"/>
      <c r="C827" s="162"/>
      <c r="D827" s="163"/>
      <c r="E827" s="162"/>
      <c r="F827" s="162"/>
      <c r="G827" s="162"/>
      <c r="H827" s="162"/>
      <c r="I827" s="162"/>
      <c r="J827" s="162"/>
      <c r="K827" s="162"/>
      <c r="L827" s="163"/>
    </row>
    <row r="828" spans="2:12" ht="19.2" customHeight="1" x14ac:dyDescent="0.3">
      <c r="B828" s="161"/>
      <c r="C828" s="162"/>
      <c r="D828" s="163"/>
      <c r="E828" s="162"/>
      <c r="F828" s="162"/>
      <c r="G828" s="162"/>
      <c r="H828" s="162"/>
      <c r="I828" s="162"/>
      <c r="J828" s="162"/>
      <c r="K828" s="162"/>
      <c r="L828" s="163"/>
    </row>
    <row r="829" spans="2:12" ht="19.2" customHeight="1" x14ac:dyDescent="0.3">
      <c r="B829" s="161"/>
      <c r="C829" s="162"/>
      <c r="D829" s="163"/>
      <c r="E829" s="162"/>
      <c r="F829" s="162"/>
      <c r="G829" s="162"/>
      <c r="H829" s="162"/>
      <c r="I829" s="162"/>
      <c r="J829" s="162"/>
      <c r="K829" s="162"/>
      <c r="L829" s="163"/>
    </row>
    <row r="830" spans="2:12" ht="19.2" customHeight="1" x14ac:dyDescent="0.3">
      <c r="B830" s="161"/>
      <c r="C830" s="162"/>
      <c r="D830" s="163"/>
      <c r="E830" s="162"/>
      <c r="F830" s="162"/>
      <c r="G830" s="162"/>
      <c r="H830" s="162"/>
      <c r="I830" s="162"/>
      <c r="J830" s="162"/>
      <c r="K830" s="162"/>
      <c r="L830" s="163"/>
    </row>
    <row r="831" spans="2:12" ht="19.2" customHeight="1" x14ac:dyDescent="0.3">
      <c r="B831" s="161"/>
      <c r="C831" s="162"/>
      <c r="D831" s="163"/>
      <c r="E831" s="162"/>
      <c r="F831" s="162"/>
      <c r="G831" s="162"/>
      <c r="H831" s="162"/>
      <c r="I831" s="162"/>
      <c r="J831" s="162"/>
      <c r="K831" s="162"/>
      <c r="L831" s="163"/>
    </row>
    <row r="832" spans="2:12" ht="19.2" customHeight="1" x14ac:dyDescent="0.3">
      <c r="B832" s="161"/>
      <c r="C832" s="162"/>
      <c r="D832" s="163"/>
      <c r="E832" s="162"/>
      <c r="F832" s="162"/>
      <c r="G832" s="162"/>
      <c r="H832" s="162"/>
      <c r="I832" s="162"/>
      <c r="J832" s="162"/>
      <c r="K832" s="162"/>
      <c r="L832" s="163"/>
    </row>
    <row r="833" spans="2:12" ht="19.2" customHeight="1" x14ac:dyDescent="0.3">
      <c r="B833" s="161"/>
      <c r="C833" s="162"/>
      <c r="D833" s="163"/>
      <c r="E833" s="162"/>
      <c r="F833" s="162"/>
      <c r="G833" s="162"/>
      <c r="H833" s="162"/>
      <c r="I833" s="162"/>
      <c r="J833" s="162"/>
      <c r="K833" s="162"/>
      <c r="L833" s="163"/>
    </row>
    <row r="834" spans="2:12" ht="19.2" customHeight="1" x14ac:dyDescent="0.3">
      <c r="B834" s="161"/>
      <c r="C834" s="162"/>
      <c r="D834" s="163"/>
      <c r="E834" s="162"/>
      <c r="F834" s="162"/>
      <c r="G834" s="162"/>
      <c r="H834" s="162"/>
      <c r="I834" s="162"/>
      <c r="J834" s="162"/>
      <c r="K834" s="162"/>
      <c r="L834" s="163"/>
    </row>
    <row r="835" spans="2:12" ht="19.2" customHeight="1" x14ac:dyDescent="0.3">
      <c r="B835" s="161"/>
      <c r="C835" s="162"/>
      <c r="D835" s="163"/>
      <c r="E835" s="162"/>
      <c r="F835" s="162"/>
      <c r="G835" s="162"/>
      <c r="H835" s="162"/>
      <c r="I835" s="162"/>
      <c r="J835" s="162"/>
      <c r="K835" s="162"/>
      <c r="L835" s="163"/>
    </row>
    <row r="836" spans="2:12" ht="19.2" customHeight="1" x14ac:dyDescent="0.3">
      <c r="B836" s="161"/>
      <c r="C836" s="162"/>
      <c r="D836" s="163"/>
      <c r="E836" s="162"/>
      <c r="F836" s="162"/>
      <c r="G836" s="162"/>
      <c r="H836" s="162"/>
      <c r="I836" s="162"/>
      <c r="J836" s="162"/>
      <c r="K836" s="162"/>
      <c r="L836" s="163"/>
    </row>
    <row r="837" spans="2:12" ht="19.2" customHeight="1" x14ac:dyDescent="0.3">
      <c r="B837" s="161"/>
      <c r="C837" s="162"/>
      <c r="D837" s="163"/>
      <c r="E837" s="162"/>
      <c r="F837" s="162"/>
      <c r="G837" s="162"/>
      <c r="H837" s="162"/>
      <c r="I837" s="162"/>
      <c r="J837" s="162"/>
      <c r="K837" s="162"/>
      <c r="L837" s="163"/>
    </row>
    <row r="838" spans="2:12" ht="19.2" customHeight="1" x14ac:dyDescent="0.3">
      <c r="B838" s="161"/>
      <c r="C838" s="162"/>
      <c r="D838" s="163"/>
      <c r="E838" s="162"/>
      <c r="F838" s="162"/>
      <c r="G838" s="162"/>
      <c r="H838" s="162"/>
      <c r="I838" s="162"/>
      <c r="J838" s="162"/>
      <c r="K838" s="162"/>
      <c r="L838" s="163"/>
    </row>
    <row r="839" spans="2:12" ht="19.2" customHeight="1" x14ac:dyDescent="0.3">
      <c r="B839" s="161"/>
      <c r="C839" s="162"/>
      <c r="D839" s="163"/>
      <c r="E839" s="162"/>
      <c r="F839" s="162"/>
      <c r="G839" s="162"/>
      <c r="H839" s="162"/>
      <c r="I839" s="162"/>
      <c r="J839" s="162"/>
      <c r="K839" s="162"/>
      <c r="L839" s="163"/>
    </row>
    <row r="840" spans="2:12" ht="19.2" customHeight="1" x14ac:dyDescent="0.3">
      <c r="B840" s="161"/>
      <c r="C840" s="162"/>
      <c r="D840" s="163"/>
      <c r="E840" s="162"/>
      <c r="F840" s="162"/>
      <c r="G840" s="162"/>
      <c r="H840" s="162"/>
      <c r="I840" s="162"/>
      <c r="J840" s="162"/>
      <c r="K840" s="162"/>
      <c r="L840" s="163"/>
    </row>
    <row r="841" spans="2:12" ht="19.2" customHeight="1" x14ac:dyDescent="0.3">
      <c r="B841" s="161"/>
      <c r="C841" s="162"/>
      <c r="D841" s="163"/>
      <c r="E841" s="162"/>
      <c r="F841" s="162"/>
      <c r="G841" s="162"/>
      <c r="H841" s="162"/>
      <c r="I841" s="162"/>
      <c r="J841" s="162"/>
      <c r="K841" s="162"/>
      <c r="L841" s="163"/>
    </row>
    <row r="842" spans="2:12" ht="19.2" customHeight="1" x14ac:dyDescent="0.3">
      <c r="B842" s="161"/>
      <c r="C842" s="162"/>
      <c r="D842" s="163"/>
      <c r="E842" s="162"/>
      <c r="F842" s="162"/>
      <c r="G842" s="162"/>
      <c r="H842" s="162"/>
      <c r="I842" s="162"/>
      <c r="J842" s="162"/>
      <c r="K842" s="162"/>
      <c r="L842" s="163"/>
    </row>
    <row r="843" spans="2:12" ht="19.2" customHeight="1" x14ac:dyDescent="0.3">
      <c r="B843" s="161"/>
      <c r="C843" s="162"/>
      <c r="D843" s="163"/>
      <c r="E843" s="162"/>
      <c r="F843" s="162"/>
      <c r="G843" s="162"/>
      <c r="H843" s="162"/>
      <c r="I843" s="162"/>
      <c r="J843" s="162"/>
      <c r="K843" s="162"/>
      <c r="L843" s="163"/>
    </row>
    <row r="844" spans="2:12" ht="19.2" customHeight="1" x14ac:dyDescent="0.3">
      <c r="B844" s="161"/>
      <c r="C844" s="162"/>
      <c r="D844" s="163"/>
      <c r="E844" s="162"/>
      <c r="F844" s="162"/>
      <c r="G844" s="162"/>
      <c r="H844" s="162"/>
      <c r="I844" s="162"/>
      <c r="J844" s="162"/>
      <c r="K844" s="162"/>
      <c r="L844" s="163"/>
    </row>
    <row r="845" spans="2:12" ht="19.2" customHeight="1" x14ac:dyDescent="0.3">
      <c r="B845" s="161"/>
      <c r="C845" s="162"/>
      <c r="D845" s="163"/>
      <c r="E845" s="162"/>
      <c r="F845" s="162"/>
      <c r="G845" s="162"/>
      <c r="H845" s="162"/>
      <c r="I845" s="162"/>
      <c r="J845" s="162"/>
      <c r="K845" s="162"/>
      <c r="L845" s="163"/>
    </row>
    <row r="846" spans="2:12" ht="19.2" customHeight="1" x14ac:dyDescent="0.3">
      <c r="B846" s="161"/>
      <c r="C846" s="162"/>
      <c r="D846" s="163"/>
      <c r="E846" s="162"/>
      <c r="F846" s="162"/>
      <c r="G846" s="162"/>
      <c r="H846" s="162"/>
      <c r="I846" s="162"/>
      <c r="J846" s="162"/>
      <c r="K846" s="162"/>
      <c r="L846" s="163"/>
    </row>
    <row r="847" spans="2:12" ht="19.2" customHeight="1" x14ac:dyDescent="0.3">
      <c r="B847" s="161"/>
      <c r="C847" s="162"/>
      <c r="D847" s="163"/>
      <c r="E847" s="162"/>
      <c r="F847" s="162"/>
      <c r="G847" s="162"/>
      <c r="H847" s="162"/>
      <c r="I847" s="162"/>
      <c r="J847" s="162"/>
      <c r="K847" s="162"/>
      <c r="L847" s="163"/>
    </row>
    <row r="848" spans="2:12" ht="19.2" customHeight="1" x14ac:dyDescent="0.3">
      <c r="B848" s="161"/>
      <c r="C848" s="162"/>
      <c r="D848" s="163"/>
      <c r="E848" s="162"/>
      <c r="F848" s="162"/>
      <c r="G848" s="162"/>
      <c r="H848" s="162"/>
      <c r="I848" s="162"/>
      <c r="J848" s="162"/>
      <c r="K848" s="162"/>
      <c r="L848" s="163"/>
    </row>
    <row r="849" spans="2:12" ht="19.2" customHeight="1" x14ac:dyDescent="0.3">
      <c r="B849" s="161"/>
      <c r="C849" s="162"/>
      <c r="D849" s="163"/>
      <c r="E849" s="162"/>
      <c r="F849" s="162"/>
      <c r="G849" s="162"/>
      <c r="H849" s="162"/>
      <c r="I849" s="162"/>
      <c r="J849" s="162"/>
      <c r="K849" s="162"/>
      <c r="L849" s="163"/>
    </row>
    <row r="850" spans="2:12" ht="19.2" customHeight="1" x14ac:dyDescent="0.3">
      <c r="B850" s="161"/>
      <c r="C850" s="162"/>
      <c r="D850" s="163"/>
      <c r="E850" s="162"/>
      <c r="F850" s="162"/>
      <c r="G850" s="162"/>
      <c r="H850" s="162"/>
      <c r="I850" s="162"/>
      <c r="J850" s="162"/>
      <c r="K850" s="162"/>
      <c r="L850" s="163"/>
    </row>
    <row r="851" spans="2:12" ht="19.2" customHeight="1" x14ac:dyDescent="0.3">
      <c r="B851" s="161"/>
      <c r="C851" s="162"/>
      <c r="D851" s="163"/>
      <c r="E851" s="162"/>
      <c r="F851" s="162"/>
      <c r="G851" s="162"/>
      <c r="H851" s="162"/>
      <c r="I851" s="162"/>
      <c r="J851" s="162"/>
      <c r="K851" s="162"/>
      <c r="L851" s="163"/>
    </row>
    <row r="852" spans="2:12" ht="19.2" customHeight="1" x14ac:dyDescent="0.3">
      <c r="B852" s="161"/>
      <c r="C852" s="162"/>
      <c r="D852" s="163"/>
      <c r="E852" s="162"/>
      <c r="F852" s="162"/>
      <c r="G852" s="162"/>
      <c r="H852" s="162"/>
      <c r="I852" s="162"/>
      <c r="J852" s="162"/>
      <c r="K852" s="162"/>
      <c r="L852" s="163"/>
    </row>
    <row r="853" spans="2:12" ht="19.2" customHeight="1" x14ac:dyDescent="0.3">
      <c r="B853" s="161"/>
      <c r="C853" s="162"/>
      <c r="D853" s="163"/>
      <c r="E853" s="162"/>
      <c r="F853" s="162"/>
      <c r="G853" s="162"/>
      <c r="H853" s="162"/>
      <c r="I853" s="162"/>
      <c r="J853" s="162"/>
      <c r="K853" s="162"/>
      <c r="L853" s="163"/>
    </row>
    <row r="854" spans="2:12" ht="19.2" customHeight="1" x14ac:dyDescent="0.3">
      <c r="B854" s="161"/>
      <c r="C854" s="162"/>
      <c r="D854" s="163"/>
      <c r="E854" s="162"/>
      <c r="F854" s="162"/>
      <c r="G854" s="162"/>
      <c r="H854" s="162"/>
      <c r="I854" s="162"/>
      <c r="J854" s="162"/>
      <c r="K854" s="162"/>
      <c r="L854" s="163"/>
    </row>
    <row r="855" spans="2:12" ht="19.2" customHeight="1" x14ac:dyDescent="0.3">
      <c r="B855" s="161"/>
      <c r="C855" s="162"/>
      <c r="D855" s="163"/>
      <c r="E855" s="162"/>
      <c r="F855" s="162"/>
      <c r="G855" s="162"/>
      <c r="H855" s="162"/>
      <c r="I855" s="162"/>
      <c r="J855" s="162"/>
      <c r="K855" s="162"/>
      <c r="L855" s="163"/>
    </row>
    <row r="856" spans="2:12" ht="19.2" customHeight="1" x14ac:dyDescent="0.3">
      <c r="B856" s="161"/>
      <c r="C856" s="162"/>
      <c r="D856" s="163"/>
      <c r="E856" s="162"/>
      <c r="F856" s="162"/>
      <c r="G856" s="162"/>
      <c r="H856" s="162"/>
      <c r="I856" s="162"/>
      <c r="J856" s="162"/>
      <c r="K856" s="162"/>
      <c r="L856" s="163"/>
    </row>
    <row r="857" spans="2:12" ht="19.2" customHeight="1" x14ac:dyDescent="0.3">
      <c r="B857" s="161"/>
      <c r="C857" s="162"/>
      <c r="D857" s="163"/>
      <c r="E857" s="162"/>
      <c r="F857" s="162"/>
      <c r="G857" s="162"/>
      <c r="H857" s="162"/>
      <c r="I857" s="162"/>
      <c r="J857" s="162"/>
      <c r="K857" s="162"/>
      <c r="L857" s="163"/>
    </row>
    <row r="858" spans="2:12" ht="19.2" customHeight="1" x14ac:dyDescent="0.3">
      <c r="B858" s="161"/>
      <c r="C858" s="162"/>
      <c r="D858" s="163"/>
      <c r="E858" s="162"/>
      <c r="F858" s="162"/>
      <c r="G858" s="162"/>
      <c r="H858" s="162"/>
      <c r="I858" s="162"/>
      <c r="J858" s="162"/>
      <c r="K858" s="162"/>
      <c r="L858" s="163"/>
    </row>
    <row r="859" spans="2:12" ht="19.2" customHeight="1" x14ac:dyDescent="0.3">
      <c r="B859" s="161"/>
      <c r="C859" s="162"/>
      <c r="D859" s="163"/>
      <c r="E859" s="162"/>
      <c r="F859" s="162"/>
      <c r="G859" s="162"/>
      <c r="H859" s="162"/>
      <c r="I859" s="162"/>
      <c r="J859" s="162"/>
      <c r="K859" s="162"/>
      <c r="L859" s="163"/>
    </row>
    <row r="860" spans="2:12" ht="19.2" customHeight="1" x14ac:dyDescent="0.3">
      <c r="B860" s="161"/>
      <c r="C860" s="162"/>
      <c r="D860" s="163"/>
      <c r="E860" s="162"/>
      <c r="F860" s="162"/>
      <c r="G860" s="162"/>
      <c r="H860" s="162"/>
      <c r="I860" s="162"/>
      <c r="J860" s="162"/>
      <c r="K860" s="162"/>
      <c r="L860" s="163"/>
    </row>
    <row r="861" spans="2:12" ht="19.2" customHeight="1" x14ac:dyDescent="0.3">
      <c r="B861" s="161"/>
      <c r="C861" s="162"/>
      <c r="D861" s="163"/>
      <c r="E861" s="162"/>
      <c r="F861" s="162"/>
      <c r="G861" s="162"/>
      <c r="H861" s="162"/>
      <c r="I861" s="162"/>
      <c r="J861" s="162"/>
      <c r="K861" s="162"/>
      <c r="L861" s="163"/>
    </row>
    <row r="862" spans="2:12" ht="19.2" customHeight="1" x14ac:dyDescent="0.3">
      <c r="B862" s="161"/>
      <c r="C862" s="162"/>
      <c r="D862" s="163"/>
      <c r="E862" s="162"/>
      <c r="F862" s="162"/>
      <c r="G862" s="162"/>
      <c r="H862" s="162"/>
      <c r="I862" s="162"/>
      <c r="J862" s="162"/>
      <c r="K862" s="162"/>
      <c r="L862" s="163"/>
    </row>
    <row r="863" spans="2:12" ht="19.2" customHeight="1" x14ac:dyDescent="0.3">
      <c r="B863" s="161"/>
      <c r="C863" s="162"/>
      <c r="D863" s="163"/>
      <c r="E863" s="162"/>
      <c r="F863" s="162"/>
      <c r="G863" s="162"/>
      <c r="H863" s="162"/>
      <c r="I863" s="162"/>
      <c r="J863" s="162"/>
      <c r="K863" s="162"/>
      <c r="L863" s="163"/>
    </row>
    <row r="864" spans="2:12" ht="19.2" customHeight="1" x14ac:dyDescent="0.3">
      <c r="B864" s="161"/>
      <c r="C864" s="162"/>
      <c r="D864" s="163"/>
      <c r="E864" s="162"/>
      <c r="F864" s="162"/>
      <c r="G864" s="162"/>
      <c r="H864" s="162"/>
      <c r="I864" s="162"/>
      <c r="J864" s="162"/>
      <c r="K864" s="162"/>
      <c r="L864" s="163"/>
    </row>
    <row r="865" spans="2:12" ht="19.2" customHeight="1" x14ac:dyDescent="0.3">
      <c r="B865" s="161"/>
      <c r="C865" s="162"/>
      <c r="D865" s="163"/>
      <c r="E865" s="162"/>
      <c r="F865" s="162"/>
      <c r="G865" s="162"/>
      <c r="H865" s="162"/>
      <c r="I865" s="162"/>
      <c r="J865" s="162"/>
      <c r="K865" s="162"/>
      <c r="L865" s="163"/>
    </row>
    <row r="866" spans="2:12" ht="19.2" customHeight="1" x14ac:dyDescent="0.3">
      <c r="B866" s="161"/>
      <c r="C866" s="162"/>
      <c r="D866" s="163"/>
      <c r="E866" s="162"/>
      <c r="F866" s="162"/>
      <c r="G866" s="162"/>
      <c r="H866" s="162"/>
      <c r="I866" s="162"/>
      <c r="J866" s="162"/>
      <c r="K866" s="162"/>
      <c r="L866" s="163"/>
    </row>
    <row r="867" spans="2:12" ht="19.2" customHeight="1" x14ac:dyDescent="0.3">
      <c r="B867" s="161"/>
      <c r="C867" s="162"/>
      <c r="D867" s="163"/>
      <c r="E867" s="162"/>
      <c r="F867" s="162"/>
      <c r="G867" s="162"/>
      <c r="H867" s="162"/>
      <c r="I867" s="162"/>
      <c r="J867" s="162"/>
      <c r="K867" s="162"/>
      <c r="L867" s="163"/>
    </row>
    <row r="868" spans="2:12" ht="19.2" customHeight="1" x14ac:dyDescent="0.3">
      <c r="B868" s="161"/>
      <c r="C868" s="162"/>
      <c r="D868" s="163"/>
      <c r="E868" s="162"/>
      <c r="F868" s="162"/>
      <c r="G868" s="162"/>
      <c r="H868" s="162"/>
      <c r="I868" s="162"/>
      <c r="J868" s="162"/>
      <c r="K868" s="162"/>
      <c r="L868" s="163"/>
    </row>
    <row r="869" spans="2:12" ht="19.2" customHeight="1" x14ac:dyDescent="0.3">
      <c r="B869" s="161"/>
      <c r="C869" s="162"/>
      <c r="D869" s="163"/>
      <c r="E869" s="162"/>
      <c r="F869" s="162"/>
      <c r="G869" s="162"/>
      <c r="H869" s="162"/>
      <c r="I869" s="162"/>
      <c r="J869" s="162"/>
      <c r="K869" s="162"/>
      <c r="L869" s="163"/>
    </row>
    <row r="870" spans="2:12" ht="19.2" customHeight="1" x14ac:dyDescent="0.3">
      <c r="B870" s="161"/>
      <c r="C870" s="162"/>
      <c r="D870" s="163"/>
      <c r="E870" s="162"/>
      <c r="F870" s="162"/>
      <c r="G870" s="162"/>
      <c r="H870" s="162"/>
      <c r="I870" s="162"/>
      <c r="J870" s="162"/>
      <c r="K870" s="162"/>
      <c r="L870" s="163"/>
    </row>
    <row r="871" spans="2:12" ht="19.2" customHeight="1" x14ac:dyDescent="0.3">
      <c r="B871" s="161"/>
      <c r="C871" s="162"/>
      <c r="D871" s="163"/>
      <c r="E871" s="162"/>
      <c r="F871" s="162"/>
      <c r="G871" s="162"/>
      <c r="H871" s="162"/>
      <c r="I871" s="162"/>
      <c r="J871" s="162"/>
      <c r="K871" s="162"/>
      <c r="L871" s="163"/>
    </row>
    <row r="872" spans="2:12" ht="19.2" customHeight="1" x14ac:dyDescent="0.3">
      <c r="B872" s="161"/>
      <c r="C872" s="162"/>
      <c r="D872" s="163"/>
      <c r="E872" s="162"/>
      <c r="F872" s="162"/>
      <c r="G872" s="162"/>
      <c r="H872" s="162"/>
      <c r="I872" s="162"/>
      <c r="J872" s="162"/>
      <c r="K872" s="162"/>
      <c r="L872" s="163"/>
    </row>
    <row r="873" spans="2:12" ht="19.2" customHeight="1" x14ac:dyDescent="0.3">
      <c r="B873" s="161"/>
      <c r="C873" s="162"/>
      <c r="D873" s="163"/>
      <c r="E873" s="162"/>
      <c r="F873" s="162"/>
      <c r="G873" s="162"/>
      <c r="H873" s="162"/>
      <c r="I873" s="162"/>
      <c r="J873" s="162"/>
      <c r="K873" s="162"/>
      <c r="L873" s="163"/>
    </row>
    <row r="874" spans="2:12" ht="19.2" customHeight="1" x14ac:dyDescent="0.3">
      <c r="B874" s="161"/>
      <c r="C874" s="162"/>
      <c r="D874" s="163"/>
      <c r="E874" s="162"/>
      <c r="F874" s="162"/>
      <c r="G874" s="162"/>
      <c r="H874" s="162"/>
      <c r="I874" s="162"/>
      <c r="J874" s="162"/>
      <c r="K874" s="162"/>
      <c r="L874" s="163"/>
    </row>
    <row r="875" spans="2:12" ht="19.2" customHeight="1" x14ac:dyDescent="0.3">
      <c r="B875" s="161"/>
      <c r="C875" s="162"/>
      <c r="D875" s="163"/>
      <c r="E875" s="162"/>
      <c r="F875" s="162"/>
      <c r="G875" s="162"/>
      <c r="H875" s="162"/>
      <c r="I875" s="162"/>
      <c r="J875" s="162"/>
      <c r="K875" s="162"/>
      <c r="L875" s="163"/>
    </row>
    <row r="876" spans="2:12" ht="19.2" customHeight="1" x14ac:dyDescent="0.3">
      <c r="B876" s="161"/>
      <c r="C876" s="162"/>
      <c r="D876" s="163"/>
      <c r="E876" s="162"/>
      <c r="F876" s="162"/>
      <c r="G876" s="162"/>
      <c r="H876" s="162"/>
      <c r="I876" s="162"/>
      <c r="J876" s="162"/>
      <c r="K876" s="162"/>
      <c r="L876" s="163"/>
    </row>
    <row r="877" spans="2:12" ht="19.2" customHeight="1" x14ac:dyDescent="0.3">
      <c r="B877" s="161"/>
      <c r="C877" s="162"/>
      <c r="D877" s="163"/>
      <c r="E877" s="162"/>
      <c r="F877" s="162"/>
      <c r="G877" s="162"/>
      <c r="H877" s="162"/>
      <c r="I877" s="162"/>
      <c r="J877" s="162"/>
      <c r="K877" s="162"/>
      <c r="L877" s="163"/>
    </row>
    <row r="878" spans="2:12" ht="19.2" customHeight="1" x14ac:dyDescent="0.3">
      <c r="B878" s="161"/>
      <c r="C878" s="162"/>
      <c r="D878" s="163"/>
      <c r="E878" s="162"/>
      <c r="F878" s="162"/>
      <c r="G878" s="162"/>
      <c r="H878" s="162"/>
      <c r="I878" s="162"/>
      <c r="J878" s="162"/>
      <c r="K878" s="162"/>
      <c r="L878" s="163"/>
    </row>
    <row r="879" spans="2:12" ht="19.2" customHeight="1" x14ac:dyDescent="0.3">
      <c r="B879" s="161"/>
      <c r="C879" s="162"/>
      <c r="D879" s="163"/>
      <c r="E879" s="162"/>
      <c r="F879" s="162"/>
      <c r="G879" s="162"/>
      <c r="H879" s="162"/>
      <c r="I879" s="162"/>
      <c r="J879" s="162"/>
      <c r="K879" s="162"/>
      <c r="L879" s="163"/>
    </row>
    <row r="880" spans="2:12" ht="19.2" customHeight="1" x14ac:dyDescent="0.3">
      <c r="B880" s="161"/>
      <c r="C880" s="162"/>
      <c r="D880" s="163"/>
      <c r="E880" s="162"/>
      <c r="F880" s="162"/>
      <c r="G880" s="162"/>
      <c r="H880" s="162"/>
      <c r="I880" s="162"/>
      <c r="J880" s="162"/>
      <c r="K880" s="162"/>
      <c r="L880" s="163"/>
    </row>
    <row r="881" spans="2:12" ht="19.2" customHeight="1" x14ac:dyDescent="0.3">
      <c r="B881" s="161"/>
      <c r="C881" s="162"/>
      <c r="D881" s="163"/>
      <c r="E881" s="162"/>
      <c r="F881" s="162"/>
      <c r="G881" s="162"/>
      <c r="H881" s="162"/>
      <c r="I881" s="162"/>
      <c r="J881" s="162"/>
      <c r="K881" s="162"/>
      <c r="L881" s="163"/>
    </row>
    <row r="882" spans="2:12" ht="19.2" customHeight="1" x14ac:dyDescent="0.3">
      <c r="B882" s="161"/>
      <c r="C882" s="162"/>
      <c r="D882" s="163"/>
      <c r="E882" s="162"/>
      <c r="F882" s="162"/>
      <c r="G882" s="162"/>
      <c r="H882" s="162"/>
      <c r="I882" s="162"/>
      <c r="J882" s="162"/>
      <c r="K882" s="162"/>
      <c r="L882" s="163"/>
    </row>
    <row r="883" spans="2:12" ht="19.2" customHeight="1" x14ac:dyDescent="0.3">
      <c r="B883" s="161"/>
      <c r="C883" s="162"/>
      <c r="D883" s="163"/>
      <c r="E883" s="162"/>
      <c r="F883" s="162"/>
      <c r="G883" s="162"/>
      <c r="H883" s="162"/>
      <c r="I883" s="162"/>
      <c r="J883" s="162"/>
      <c r="K883" s="162"/>
      <c r="L883" s="163"/>
    </row>
    <row r="884" spans="2:12" ht="19.2" customHeight="1" x14ac:dyDescent="0.3">
      <c r="B884" s="161"/>
      <c r="C884" s="162"/>
      <c r="D884" s="163"/>
      <c r="E884" s="162"/>
      <c r="F884" s="162"/>
      <c r="G884" s="162"/>
      <c r="H884" s="162"/>
      <c r="I884" s="162"/>
      <c r="J884" s="162"/>
      <c r="K884" s="162"/>
      <c r="L884" s="163"/>
    </row>
    <row r="885" spans="2:12" ht="19.2" customHeight="1" x14ac:dyDescent="0.3">
      <c r="B885" s="161"/>
      <c r="C885" s="162"/>
      <c r="D885" s="163"/>
      <c r="E885" s="162"/>
      <c r="F885" s="162"/>
      <c r="G885" s="162"/>
      <c r="H885" s="162"/>
      <c r="I885" s="162"/>
      <c r="J885" s="162"/>
      <c r="K885" s="162"/>
      <c r="L885" s="163"/>
    </row>
    <row r="886" spans="2:12" ht="19.2" customHeight="1" x14ac:dyDescent="0.3">
      <c r="B886" s="161"/>
      <c r="C886" s="162"/>
      <c r="D886" s="163"/>
      <c r="E886" s="162"/>
      <c r="F886" s="162"/>
      <c r="G886" s="162"/>
      <c r="H886" s="162"/>
      <c r="I886" s="162"/>
      <c r="J886" s="162"/>
      <c r="K886" s="162"/>
      <c r="L886" s="163"/>
    </row>
    <row r="887" spans="2:12" ht="19.2" customHeight="1" x14ac:dyDescent="0.3">
      <c r="B887" s="161"/>
      <c r="C887" s="162"/>
      <c r="D887" s="163"/>
      <c r="E887" s="162"/>
      <c r="F887" s="162"/>
      <c r="G887" s="162"/>
      <c r="H887" s="162"/>
      <c r="I887" s="162"/>
      <c r="J887" s="162"/>
      <c r="K887" s="162"/>
      <c r="L887" s="163"/>
    </row>
    <row r="888" spans="2:12" ht="19.2" customHeight="1" x14ac:dyDescent="0.3">
      <c r="B888" s="161"/>
      <c r="C888" s="162"/>
      <c r="D888" s="163"/>
      <c r="E888" s="162"/>
      <c r="F888" s="162"/>
      <c r="G888" s="162"/>
      <c r="H888" s="162"/>
      <c r="I888" s="162"/>
      <c r="J888" s="162"/>
      <c r="K888" s="162"/>
      <c r="L888" s="163"/>
    </row>
    <row r="889" spans="2:12" ht="19.2" customHeight="1" x14ac:dyDescent="0.3">
      <c r="B889" s="161"/>
      <c r="C889" s="162"/>
      <c r="D889" s="163"/>
      <c r="E889" s="162"/>
      <c r="F889" s="162"/>
      <c r="G889" s="162"/>
      <c r="H889" s="162"/>
      <c r="I889" s="162"/>
      <c r="J889" s="162"/>
      <c r="K889" s="162"/>
      <c r="L889" s="163"/>
    </row>
    <row r="890" spans="2:12" ht="19.2" customHeight="1" x14ac:dyDescent="0.3">
      <c r="B890" s="161"/>
      <c r="C890" s="162"/>
      <c r="D890" s="163"/>
      <c r="E890" s="162"/>
      <c r="F890" s="162"/>
      <c r="G890" s="162"/>
      <c r="H890" s="162"/>
      <c r="I890" s="162"/>
      <c r="J890" s="162"/>
      <c r="K890" s="162"/>
      <c r="L890" s="163"/>
    </row>
    <row r="891" spans="2:12" ht="19.2" customHeight="1" x14ac:dyDescent="0.3">
      <c r="B891" s="161"/>
      <c r="C891" s="162"/>
      <c r="D891" s="163"/>
      <c r="E891" s="162"/>
      <c r="F891" s="162"/>
      <c r="G891" s="162"/>
      <c r="H891" s="162"/>
      <c r="I891" s="162"/>
      <c r="J891" s="162"/>
      <c r="K891" s="162"/>
      <c r="L891" s="163"/>
    </row>
    <row r="892" spans="2:12" ht="19.2" customHeight="1" x14ac:dyDescent="0.3">
      <c r="B892" s="161"/>
      <c r="C892" s="162"/>
      <c r="D892" s="163"/>
      <c r="E892" s="162"/>
      <c r="F892" s="162"/>
      <c r="G892" s="162"/>
      <c r="H892" s="162"/>
      <c r="I892" s="162"/>
      <c r="J892" s="162"/>
      <c r="K892" s="162"/>
      <c r="L892" s="163"/>
    </row>
    <row r="893" spans="2:12" ht="19.2" customHeight="1" x14ac:dyDescent="0.3">
      <c r="B893" s="161"/>
      <c r="C893" s="162"/>
      <c r="D893" s="163"/>
      <c r="E893" s="162"/>
      <c r="F893" s="162"/>
      <c r="G893" s="162"/>
      <c r="H893" s="162"/>
      <c r="I893" s="162"/>
      <c r="J893" s="162"/>
      <c r="K893" s="162"/>
      <c r="L893" s="163"/>
    </row>
    <row r="894" spans="2:12" ht="19.2" customHeight="1" x14ac:dyDescent="0.3">
      <c r="B894" s="161"/>
      <c r="C894" s="162"/>
      <c r="D894" s="163"/>
      <c r="E894" s="162"/>
      <c r="F894" s="162"/>
      <c r="G894" s="162"/>
      <c r="H894" s="162"/>
      <c r="I894" s="162"/>
      <c r="J894" s="162"/>
      <c r="K894" s="162"/>
      <c r="L894" s="163"/>
    </row>
    <row r="895" spans="2:12" ht="19.2" customHeight="1" x14ac:dyDescent="0.3">
      <c r="B895" s="161"/>
      <c r="C895" s="162"/>
      <c r="D895" s="163"/>
      <c r="E895" s="162"/>
      <c r="F895" s="162"/>
      <c r="G895" s="162"/>
      <c r="H895" s="162"/>
      <c r="I895" s="162"/>
      <c r="J895" s="162"/>
      <c r="K895" s="162"/>
      <c r="L895" s="163"/>
    </row>
    <row r="896" spans="2:12" ht="19.2" customHeight="1" x14ac:dyDescent="0.3">
      <c r="B896" s="161"/>
      <c r="C896" s="162"/>
      <c r="D896" s="163"/>
      <c r="E896" s="162"/>
      <c r="F896" s="162"/>
      <c r="G896" s="162"/>
      <c r="H896" s="162"/>
      <c r="I896" s="162"/>
      <c r="J896" s="162"/>
      <c r="K896" s="162"/>
      <c r="L896" s="163"/>
    </row>
    <row r="897" spans="2:12" ht="19.2" customHeight="1" x14ac:dyDescent="0.3">
      <c r="B897" s="161"/>
      <c r="C897" s="162"/>
      <c r="D897" s="163"/>
      <c r="E897" s="162"/>
      <c r="F897" s="162"/>
      <c r="G897" s="162"/>
      <c r="H897" s="162"/>
      <c r="I897" s="162"/>
      <c r="J897" s="162"/>
      <c r="K897" s="162"/>
      <c r="L897" s="163"/>
    </row>
    <row r="898" spans="2:12" ht="19.2" customHeight="1" x14ac:dyDescent="0.3">
      <c r="B898" s="161"/>
      <c r="C898" s="162"/>
      <c r="D898" s="163"/>
      <c r="E898" s="162"/>
      <c r="F898" s="162"/>
      <c r="G898" s="162"/>
      <c r="H898" s="162"/>
      <c r="I898" s="162"/>
      <c r="J898" s="162"/>
      <c r="K898" s="162"/>
      <c r="L898" s="163"/>
    </row>
    <row r="899" spans="2:12" ht="19.2" customHeight="1" x14ac:dyDescent="0.3">
      <c r="B899" s="161"/>
      <c r="C899" s="162"/>
      <c r="D899" s="163"/>
      <c r="E899" s="162"/>
      <c r="F899" s="162"/>
      <c r="G899" s="162"/>
      <c r="H899" s="162"/>
      <c r="I899" s="162"/>
      <c r="J899" s="162"/>
      <c r="K899" s="162"/>
      <c r="L899" s="163"/>
    </row>
    <row r="900" spans="2:12" ht="19.2" customHeight="1" x14ac:dyDescent="0.3">
      <c r="B900" s="161"/>
      <c r="C900" s="162"/>
      <c r="D900" s="163"/>
      <c r="E900" s="162"/>
      <c r="F900" s="162"/>
      <c r="G900" s="162"/>
      <c r="H900" s="162"/>
      <c r="I900" s="162"/>
      <c r="J900" s="162"/>
      <c r="K900" s="162"/>
      <c r="L900" s="163"/>
    </row>
    <row r="901" spans="2:12" ht="19.2" customHeight="1" x14ac:dyDescent="0.3">
      <c r="B901" s="161"/>
      <c r="C901" s="162"/>
      <c r="D901" s="163"/>
      <c r="E901" s="162"/>
      <c r="F901" s="162"/>
      <c r="G901" s="162"/>
      <c r="H901" s="162"/>
      <c r="I901" s="162"/>
      <c r="J901" s="162"/>
      <c r="K901" s="162"/>
      <c r="L901" s="163"/>
    </row>
    <row r="902" spans="2:12" ht="19.2" customHeight="1" x14ac:dyDescent="0.3">
      <c r="B902" s="161"/>
      <c r="C902" s="162"/>
      <c r="D902" s="163"/>
      <c r="E902" s="162"/>
      <c r="F902" s="162"/>
      <c r="G902" s="162"/>
      <c r="H902" s="162"/>
      <c r="I902" s="162"/>
      <c r="J902" s="162"/>
      <c r="K902" s="162"/>
      <c r="L902" s="163"/>
    </row>
    <row r="903" spans="2:12" ht="19.2" customHeight="1" x14ac:dyDescent="0.3">
      <c r="B903" s="161"/>
      <c r="C903" s="162"/>
      <c r="D903" s="163"/>
      <c r="E903" s="162"/>
      <c r="F903" s="162"/>
      <c r="G903" s="162"/>
      <c r="H903" s="162"/>
      <c r="I903" s="162"/>
      <c r="J903" s="162"/>
      <c r="K903" s="162"/>
      <c r="L903" s="163"/>
    </row>
    <row r="904" spans="2:12" ht="19.2" customHeight="1" x14ac:dyDescent="0.3">
      <c r="B904" s="161"/>
      <c r="C904" s="162"/>
      <c r="D904" s="163"/>
      <c r="E904" s="162"/>
      <c r="F904" s="162"/>
      <c r="G904" s="162"/>
      <c r="H904" s="162"/>
      <c r="I904" s="162"/>
      <c r="J904" s="162"/>
      <c r="K904" s="162"/>
      <c r="L904" s="163"/>
    </row>
    <row r="905" spans="2:12" ht="19.2" customHeight="1" x14ac:dyDescent="0.3">
      <c r="B905" s="161"/>
      <c r="C905" s="162"/>
      <c r="D905" s="163"/>
      <c r="E905" s="162"/>
      <c r="F905" s="162"/>
      <c r="G905" s="162"/>
      <c r="H905" s="162"/>
      <c r="I905" s="162"/>
      <c r="J905" s="162"/>
      <c r="K905" s="162"/>
      <c r="L905" s="163"/>
    </row>
    <row r="906" spans="2:12" ht="19.2" customHeight="1" x14ac:dyDescent="0.3">
      <c r="B906" s="161"/>
      <c r="C906" s="162"/>
      <c r="D906" s="163"/>
      <c r="E906" s="162"/>
      <c r="F906" s="162"/>
      <c r="G906" s="162"/>
      <c r="H906" s="162"/>
      <c r="I906" s="162"/>
      <c r="J906" s="162"/>
      <c r="K906" s="162"/>
      <c r="L906" s="163"/>
    </row>
    <row r="907" spans="2:12" ht="19.2" customHeight="1" x14ac:dyDescent="0.3">
      <c r="B907" s="161"/>
      <c r="C907" s="162"/>
      <c r="D907" s="163"/>
      <c r="E907" s="162"/>
      <c r="F907" s="162"/>
      <c r="G907" s="162"/>
      <c r="H907" s="162"/>
      <c r="I907" s="162"/>
      <c r="J907" s="162"/>
      <c r="K907" s="162"/>
      <c r="L907" s="163"/>
    </row>
    <row r="908" spans="2:12" ht="19.2" customHeight="1" x14ac:dyDescent="0.3">
      <c r="B908" s="161"/>
      <c r="C908" s="162"/>
      <c r="D908" s="163"/>
      <c r="E908" s="162"/>
      <c r="F908" s="162"/>
      <c r="G908" s="162"/>
      <c r="H908" s="162"/>
      <c r="I908" s="162"/>
      <c r="J908" s="162"/>
      <c r="K908" s="162"/>
      <c r="L908" s="163"/>
    </row>
    <row r="909" spans="2:12" ht="19.2" customHeight="1" x14ac:dyDescent="0.3">
      <c r="B909" s="161"/>
      <c r="C909" s="162"/>
      <c r="D909" s="163"/>
      <c r="E909" s="162"/>
      <c r="F909" s="162"/>
      <c r="G909" s="162"/>
      <c r="H909" s="162"/>
      <c r="I909" s="162"/>
      <c r="J909" s="162"/>
      <c r="K909" s="162"/>
      <c r="L909" s="163"/>
    </row>
    <row r="910" spans="2:12" ht="19.2" customHeight="1" x14ac:dyDescent="0.3">
      <c r="B910" s="161"/>
      <c r="C910" s="162"/>
      <c r="D910" s="163"/>
      <c r="E910" s="162"/>
      <c r="F910" s="162"/>
      <c r="G910" s="162"/>
      <c r="H910" s="162"/>
      <c r="I910" s="162"/>
      <c r="J910" s="162"/>
      <c r="K910" s="162"/>
      <c r="L910" s="163"/>
    </row>
    <row r="911" spans="2:12" ht="19.2" customHeight="1" x14ac:dyDescent="0.3">
      <c r="B911" s="161"/>
      <c r="C911" s="162"/>
      <c r="D911" s="163"/>
      <c r="E911" s="162"/>
      <c r="F911" s="162"/>
      <c r="G911" s="162"/>
      <c r="H911" s="162"/>
      <c r="I911" s="162"/>
      <c r="J911" s="162"/>
      <c r="K911" s="162"/>
      <c r="L911" s="163"/>
    </row>
    <row r="912" spans="2:12" ht="19.2" customHeight="1" x14ac:dyDescent="0.3">
      <c r="B912" s="161"/>
      <c r="C912" s="162"/>
      <c r="D912" s="163"/>
      <c r="E912" s="162"/>
      <c r="F912" s="162"/>
      <c r="G912" s="162"/>
      <c r="H912" s="162"/>
      <c r="I912" s="162"/>
      <c r="J912" s="162"/>
      <c r="K912" s="162"/>
      <c r="L912" s="163"/>
    </row>
    <row r="913" spans="2:12" ht="19.2" customHeight="1" x14ac:dyDescent="0.3">
      <c r="B913" s="161"/>
      <c r="C913" s="162"/>
      <c r="D913" s="163"/>
      <c r="E913" s="162"/>
      <c r="F913" s="162"/>
      <c r="G913" s="162"/>
      <c r="H913" s="162"/>
      <c r="I913" s="162"/>
      <c r="J913" s="162"/>
      <c r="K913" s="162"/>
      <c r="L913" s="163"/>
    </row>
    <row r="914" spans="2:12" ht="19.2" customHeight="1" x14ac:dyDescent="0.3">
      <c r="B914" s="161"/>
      <c r="C914" s="162"/>
      <c r="D914" s="163"/>
      <c r="E914" s="162"/>
      <c r="F914" s="162"/>
      <c r="G914" s="162"/>
      <c r="H914" s="162"/>
      <c r="I914" s="162"/>
      <c r="J914" s="162"/>
      <c r="K914" s="162"/>
      <c r="L914" s="163"/>
    </row>
    <row r="915" spans="2:12" ht="19.2" customHeight="1" x14ac:dyDescent="0.3">
      <c r="B915" s="161"/>
      <c r="C915" s="162"/>
      <c r="D915" s="163"/>
      <c r="E915" s="162"/>
      <c r="F915" s="162"/>
      <c r="G915" s="162"/>
      <c r="H915" s="162"/>
      <c r="I915" s="162"/>
      <c r="J915" s="162"/>
      <c r="K915" s="162"/>
      <c r="L915" s="163"/>
    </row>
    <row r="916" spans="2:12" ht="19.2" customHeight="1" x14ac:dyDescent="0.3">
      <c r="B916" s="161"/>
      <c r="C916" s="162"/>
      <c r="D916" s="163"/>
      <c r="E916" s="162"/>
      <c r="F916" s="162"/>
      <c r="G916" s="162"/>
      <c r="H916" s="162"/>
      <c r="I916" s="162"/>
      <c r="J916" s="162"/>
      <c r="K916" s="162"/>
      <c r="L916" s="163"/>
    </row>
    <row r="917" spans="2:12" ht="19.2" customHeight="1" x14ac:dyDescent="0.3">
      <c r="B917" s="161"/>
      <c r="C917" s="162"/>
      <c r="D917" s="163"/>
      <c r="E917" s="162"/>
      <c r="F917" s="162"/>
      <c r="G917" s="162"/>
      <c r="H917" s="162"/>
      <c r="I917" s="162"/>
      <c r="J917" s="162"/>
      <c r="K917" s="162"/>
      <c r="L917" s="163"/>
    </row>
    <row r="918" spans="2:12" ht="19.2" customHeight="1" x14ac:dyDescent="0.3">
      <c r="B918" s="161"/>
      <c r="C918" s="162"/>
      <c r="D918" s="163"/>
      <c r="E918" s="162"/>
      <c r="F918" s="162"/>
      <c r="G918" s="162"/>
      <c r="H918" s="162"/>
      <c r="I918" s="162"/>
      <c r="J918" s="162"/>
      <c r="K918" s="162"/>
      <c r="L918" s="163"/>
    </row>
    <row r="919" spans="2:12" ht="19.2" customHeight="1" x14ac:dyDescent="0.3">
      <c r="B919" s="161"/>
      <c r="C919" s="162"/>
      <c r="D919" s="163"/>
      <c r="E919" s="162"/>
      <c r="F919" s="162"/>
      <c r="G919" s="162"/>
      <c r="H919" s="162"/>
      <c r="I919" s="162"/>
      <c r="J919" s="162"/>
      <c r="K919" s="162"/>
      <c r="L919" s="163"/>
    </row>
    <row r="920" spans="2:12" ht="19.2" customHeight="1" x14ac:dyDescent="0.3">
      <c r="B920" s="161"/>
      <c r="C920" s="162"/>
      <c r="D920" s="163"/>
      <c r="E920" s="162"/>
      <c r="F920" s="162"/>
      <c r="G920" s="162"/>
      <c r="H920" s="162"/>
      <c r="I920" s="162"/>
      <c r="J920" s="162"/>
      <c r="K920" s="162"/>
      <c r="L920" s="163"/>
    </row>
    <row r="921" spans="2:12" ht="19.2" customHeight="1" x14ac:dyDescent="0.3">
      <c r="B921" s="161"/>
      <c r="C921" s="162"/>
      <c r="D921" s="163"/>
      <c r="E921" s="162"/>
      <c r="F921" s="162"/>
      <c r="G921" s="162"/>
      <c r="H921" s="162"/>
      <c r="I921" s="162"/>
      <c r="J921" s="162"/>
      <c r="K921" s="162"/>
      <c r="L921" s="163"/>
    </row>
    <row r="922" spans="2:12" ht="19.2" customHeight="1" x14ac:dyDescent="0.3">
      <c r="B922" s="161"/>
      <c r="C922" s="162"/>
      <c r="D922" s="163"/>
      <c r="E922" s="162"/>
      <c r="F922" s="162"/>
      <c r="G922" s="162"/>
      <c r="H922" s="162"/>
      <c r="I922" s="162"/>
      <c r="J922" s="162"/>
      <c r="K922" s="162"/>
      <c r="L922" s="163"/>
    </row>
    <row r="923" spans="2:12" ht="19.2" customHeight="1" x14ac:dyDescent="0.3">
      <c r="B923" s="161"/>
      <c r="C923" s="162"/>
      <c r="D923" s="163"/>
      <c r="E923" s="162"/>
      <c r="F923" s="162"/>
      <c r="G923" s="162"/>
      <c r="H923" s="162"/>
      <c r="I923" s="162"/>
      <c r="J923" s="162"/>
      <c r="K923" s="162"/>
      <c r="L923" s="163"/>
    </row>
    <row r="924" spans="2:12" ht="19.2" customHeight="1" x14ac:dyDescent="0.3">
      <c r="B924" s="161"/>
      <c r="C924" s="162"/>
      <c r="D924" s="163"/>
      <c r="E924" s="162"/>
      <c r="F924" s="162"/>
      <c r="G924" s="162"/>
      <c r="H924" s="162"/>
      <c r="I924" s="162"/>
      <c r="J924" s="162"/>
      <c r="K924" s="162"/>
      <c r="L924" s="163"/>
    </row>
    <row r="925" spans="2:12" ht="19.2" customHeight="1" x14ac:dyDescent="0.3">
      <c r="B925" s="161"/>
      <c r="C925" s="162"/>
      <c r="D925" s="163"/>
      <c r="E925" s="162"/>
      <c r="F925" s="162"/>
      <c r="G925" s="162"/>
      <c r="H925" s="162"/>
      <c r="I925" s="162"/>
      <c r="J925" s="162"/>
      <c r="K925" s="162"/>
      <c r="L925" s="163"/>
    </row>
    <row r="926" spans="2:12" ht="19.2" customHeight="1" x14ac:dyDescent="0.3">
      <c r="B926" s="161"/>
      <c r="C926" s="162"/>
      <c r="D926" s="163"/>
      <c r="E926" s="162"/>
      <c r="F926" s="162"/>
      <c r="G926" s="162"/>
      <c r="H926" s="162"/>
      <c r="I926" s="162"/>
      <c r="J926" s="162"/>
      <c r="K926" s="162"/>
      <c r="L926" s="163"/>
    </row>
    <row r="927" spans="2:12" ht="19.2" customHeight="1" x14ac:dyDescent="0.3">
      <c r="B927" s="161"/>
      <c r="C927" s="162"/>
      <c r="D927" s="163"/>
      <c r="E927" s="162"/>
      <c r="F927" s="162"/>
      <c r="G927" s="162"/>
      <c r="H927" s="162"/>
      <c r="I927" s="162"/>
      <c r="J927" s="162"/>
      <c r="K927" s="162"/>
      <c r="L927" s="163"/>
    </row>
    <row r="928" spans="2:12" ht="19.2" customHeight="1" x14ac:dyDescent="0.3">
      <c r="B928" s="161"/>
      <c r="C928" s="162"/>
      <c r="D928" s="163"/>
      <c r="E928" s="162"/>
      <c r="F928" s="162"/>
      <c r="G928" s="162"/>
      <c r="H928" s="162"/>
      <c r="I928" s="162"/>
      <c r="J928" s="162"/>
      <c r="K928" s="162"/>
      <c r="L928" s="163"/>
    </row>
    <row r="929" spans="2:12" ht="19.2" customHeight="1" x14ac:dyDescent="0.3">
      <c r="B929" s="161"/>
      <c r="C929" s="162"/>
      <c r="D929" s="163"/>
      <c r="E929" s="162"/>
      <c r="F929" s="162"/>
      <c r="G929" s="162"/>
      <c r="H929" s="162"/>
      <c r="I929" s="162"/>
      <c r="J929" s="162"/>
      <c r="K929" s="162"/>
      <c r="L929" s="163"/>
    </row>
    <row r="930" spans="2:12" ht="19.2" customHeight="1" x14ac:dyDescent="0.3">
      <c r="B930" s="161"/>
      <c r="C930" s="162"/>
      <c r="D930" s="163"/>
      <c r="E930" s="162"/>
      <c r="F930" s="162"/>
      <c r="G930" s="162"/>
      <c r="H930" s="162"/>
      <c r="I930" s="162"/>
      <c r="J930" s="162"/>
      <c r="K930" s="162"/>
      <c r="L930" s="163"/>
    </row>
    <row r="931" spans="2:12" ht="19.2" customHeight="1" x14ac:dyDescent="0.3">
      <c r="B931" s="161"/>
      <c r="C931" s="162"/>
      <c r="D931" s="163"/>
      <c r="E931" s="162"/>
      <c r="F931" s="162"/>
      <c r="G931" s="162"/>
      <c r="H931" s="162"/>
      <c r="I931" s="162"/>
      <c r="J931" s="162"/>
      <c r="K931" s="162"/>
      <c r="L931" s="163"/>
    </row>
    <row r="932" spans="2:12" ht="19.2" customHeight="1" x14ac:dyDescent="0.3">
      <c r="B932" s="161"/>
      <c r="C932" s="162"/>
      <c r="D932" s="163"/>
      <c r="E932" s="162"/>
      <c r="F932" s="162"/>
      <c r="G932" s="162"/>
      <c r="H932" s="162"/>
      <c r="I932" s="162"/>
      <c r="J932" s="162"/>
      <c r="K932" s="162"/>
      <c r="L932" s="163"/>
    </row>
    <row r="933" spans="2:12" ht="19.2" customHeight="1" x14ac:dyDescent="0.3">
      <c r="B933" s="161"/>
      <c r="C933" s="162"/>
      <c r="D933" s="163"/>
      <c r="E933" s="162"/>
      <c r="F933" s="162"/>
      <c r="G933" s="162"/>
      <c r="H933" s="162"/>
      <c r="I933" s="162"/>
      <c r="J933" s="162"/>
      <c r="K933" s="162"/>
      <c r="L933" s="163"/>
    </row>
    <row r="934" spans="2:12" ht="19.2" customHeight="1" x14ac:dyDescent="0.3">
      <c r="B934" s="161"/>
      <c r="C934" s="162"/>
      <c r="D934" s="163"/>
      <c r="E934" s="162"/>
      <c r="F934" s="162"/>
      <c r="G934" s="162"/>
      <c r="H934" s="162"/>
      <c r="I934" s="162"/>
      <c r="J934" s="162"/>
      <c r="K934" s="162"/>
      <c r="L934" s="163"/>
    </row>
    <row r="935" spans="2:12" ht="19.2" customHeight="1" x14ac:dyDescent="0.3">
      <c r="B935" s="161"/>
      <c r="C935" s="162"/>
      <c r="D935" s="163"/>
      <c r="E935" s="162"/>
      <c r="F935" s="162"/>
      <c r="G935" s="162"/>
      <c r="H935" s="162"/>
      <c r="I935" s="162"/>
      <c r="J935" s="162"/>
      <c r="K935" s="162"/>
      <c r="L935" s="163"/>
    </row>
    <row r="936" spans="2:12" ht="19.2" customHeight="1" x14ac:dyDescent="0.3">
      <c r="B936" s="161"/>
      <c r="C936" s="162"/>
      <c r="D936" s="163"/>
      <c r="E936" s="162"/>
      <c r="F936" s="162"/>
      <c r="G936" s="162"/>
      <c r="H936" s="162"/>
      <c r="I936" s="162"/>
      <c r="J936" s="162"/>
      <c r="K936" s="162"/>
      <c r="L936" s="163"/>
    </row>
    <row r="937" spans="2:12" ht="19.2" customHeight="1" x14ac:dyDescent="0.3">
      <c r="B937" s="161"/>
      <c r="C937" s="162"/>
      <c r="D937" s="163"/>
      <c r="E937" s="162"/>
      <c r="F937" s="162"/>
      <c r="G937" s="162"/>
      <c r="H937" s="162"/>
      <c r="I937" s="162"/>
      <c r="J937" s="162"/>
      <c r="K937" s="162"/>
      <c r="L937" s="163"/>
    </row>
    <row r="938" spans="2:12" ht="19.2" customHeight="1" x14ac:dyDescent="0.3">
      <c r="B938" s="161"/>
      <c r="C938" s="162"/>
      <c r="D938" s="163"/>
      <c r="E938" s="162"/>
      <c r="F938" s="162"/>
      <c r="G938" s="162"/>
      <c r="H938" s="162"/>
      <c r="I938" s="162"/>
      <c r="J938" s="162"/>
      <c r="K938" s="162"/>
      <c r="L938" s="163"/>
    </row>
    <row r="939" spans="2:12" ht="19.2" customHeight="1" x14ac:dyDescent="0.3">
      <c r="B939" s="161"/>
      <c r="C939" s="162"/>
      <c r="D939" s="163"/>
      <c r="E939" s="162"/>
      <c r="F939" s="162"/>
      <c r="G939" s="162"/>
      <c r="H939" s="162"/>
      <c r="I939" s="162"/>
      <c r="J939" s="162"/>
      <c r="K939" s="162"/>
      <c r="L939" s="163"/>
    </row>
    <row r="940" spans="2:12" ht="19.2" customHeight="1" x14ac:dyDescent="0.3">
      <c r="B940" s="161"/>
      <c r="C940" s="162"/>
      <c r="D940" s="163"/>
      <c r="E940" s="162"/>
      <c r="F940" s="162"/>
      <c r="G940" s="162"/>
      <c r="H940" s="162"/>
      <c r="I940" s="162"/>
      <c r="J940" s="162"/>
      <c r="K940" s="162"/>
      <c r="L940" s="163"/>
    </row>
    <row r="941" spans="2:12" ht="19.2" customHeight="1" x14ac:dyDescent="0.3">
      <c r="B941" s="161"/>
      <c r="C941" s="162"/>
      <c r="D941" s="163"/>
      <c r="E941" s="162"/>
      <c r="F941" s="162"/>
      <c r="G941" s="162"/>
      <c r="H941" s="162"/>
      <c r="I941" s="162"/>
      <c r="J941" s="162"/>
      <c r="K941" s="162"/>
      <c r="L941" s="163"/>
    </row>
    <row r="942" spans="2:12" ht="19.2" customHeight="1" x14ac:dyDescent="0.3">
      <c r="B942" s="161"/>
      <c r="C942" s="162"/>
      <c r="D942" s="163"/>
      <c r="E942" s="162"/>
      <c r="F942" s="162"/>
      <c r="G942" s="162"/>
      <c r="H942" s="162"/>
      <c r="I942" s="162"/>
      <c r="J942" s="162"/>
      <c r="K942" s="162"/>
      <c r="L942" s="163"/>
    </row>
    <row r="943" spans="2:12" ht="19.2" customHeight="1" x14ac:dyDescent="0.3">
      <c r="B943" s="161"/>
      <c r="C943" s="162"/>
      <c r="D943" s="163"/>
      <c r="E943" s="162"/>
      <c r="F943" s="162"/>
      <c r="G943" s="162"/>
      <c r="H943" s="162"/>
      <c r="I943" s="162"/>
      <c r="J943" s="162"/>
      <c r="K943" s="162"/>
      <c r="L943" s="163"/>
    </row>
    <row r="944" spans="2:12" ht="19.2" customHeight="1" x14ac:dyDescent="0.3">
      <c r="B944" s="161"/>
      <c r="C944" s="162"/>
      <c r="D944" s="163"/>
      <c r="E944" s="162"/>
      <c r="F944" s="162"/>
      <c r="G944" s="162"/>
      <c r="H944" s="162"/>
      <c r="I944" s="162"/>
      <c r="J944" s="162"/>
      <c r="K944" s="162"/>
      <c r="L944" s="163"/>
    </row>
    <row r="945" spans="2:12" ht="19.2" customHeight="1" x14ac:dyDescent="0.3">
      <c r="B945" s="161"/>
      <c r="C945" s="162"/>
      <c r="D945" s="163"/>
      <c r="E945" s="162"/>
      <c r="F945" s="162"/>
      <c r="G945" s="162"/>
      <c r="H945" s="162"/>
      <c r="I945" s="162"/>
      <c r="J945" s="162"/>
      <c r="K945" s="162"/>
      <c r="L945" s="163"/>
    </row>
    <row r="946" spans="2:12" ht="19.2" customHeight="1" x14ac:dyDescent="0.3">
      <c r="B946" s="161"/>
      <c r="C946" s="162"/>
      <c r="D946" s="163"/>
      <c r="E946" s="162"/>
      <c r="F946" s="162"/>
      <c r="G946" s="162"/>
      <c r="H946" s="162"/>
      <c r="I946" s="162"/>
      <c r="J946" s="162"/>
      <c r="K946" s="162"/>
      <c r="L946" s="163"/>
    </row>
    <row r="947" spans="2:12" ht="19.2" customHeight="1" x14ac:dyDescent="0.3">
      <c r="B947" s="161"/>
      <c r="C947" s="162"/>
      <c r="D947" s="163"/>
      <c r="E947" s="162"/>
      <c r="F947" s="162"/>
      <c r="G947" s="162"/>
      <c r="H947" s="162"/>
      <c r="I947" s="162"/>
      <c r="J947" s="162"/>
      <c r="K947" s="162"/>
      <c r="L947" s="163"/>
    </row>
    <row r="948" spans="2:12" ht="19.2" customHeight="1" x14ac:dyDescent="0.3">
      <c r="B948" s="161"/>
      <c r="C948" s="162"/>
      <c r="D948" s="163"/>
      <c r="E948" s="162"/>
      <c r="F948" s="162"/>
      <c r="G948" s="162"/>
      <c r="H948" s="162"/>
      <c r="I948" s="162"/>
      <c r="J948" s="162"/>
      <c r="K948" s="162"/>
      <c r="L948" s="163"/>
    </row>
    <row r="949" spans="2:12" ht="19.2" customHeight="1" x14ac:dyDescent="0.3">
      <c r="B949" s="161"/>
      <c r="C949" s="162"/>
      <c r="D949" s="163"/>
      <c r="E949" s="162"/>
      <c r="F949" s="162"/>
      <c r="G949" s="162"/>
      <c r="H949" s="162"/>
      <c r="I949" s="162"/>
      <c r="J949" s="162"/>
      <c r="K949" s="162"/>
      <c r="L949" s="163"/>
    </row>
    <row r="950" spans="2:12" ht="19.2" customHeight="1" x14ac:dyDescent="0.3">
      <c r="B950" s="161"/>
      <c r="C950" s="162"/>
      <c r="D950" s="163"/>
      <c r="E950" s="162"/>
      <c r="F950" s="162"/>
      <c r="G950" s="162"/>
      <c r="H950" s="162"/>
      <c r="I950" s="162"/>
      <c r="J950" s="162"/>
      <c r="K950" s="162"/>
      <c r="L950" s="163"/>
    </row>
    <row r="951" spans="2:12" ht="19.2" customHeight="1" x14ac:dyDescent="0.3">
      <c r="B951" s="161"/>
      <c r="C951" s="162"/>
      <c r="D951" s="163"/>
      <c r="E951" s="162"/>
      <c r="F951" s="162"/>
      <c r="G951" s="162"/>
      <c r="H951" s="162"/>
      <c r="I951" s="162"/>
      <c r="J951" s="162"/>
      <c r="K951" s="162"/>
      <c r="L951" s="163"/>
    </row>
    <row r="952" spans="2:12" ht="19.2" customHeight="1" x14ac:dyDescent="0.3">
      <c r="B952" s="161"/>
      <c r="C952" s="162"/>
      <c r="D952" s="163"/>
      <c r="E952" s="162"/>
      <c r="F952" s="162"/>
      <c r="G952" s="162"/>
      <c r="H952" s="162"/>
      <c r="I952" s="162"/>
      <c r="J952" s="162"/>
      <c r="K952" s="162"/>
      <c r="L952" s="163"/>
    </row>
    <row r="953" spans="2:12" ht="19.2" customHeight="1" x14ac:dyDescent="0.3">
      <c r="B953" s="161"/>
      <c r="C953" s="162"/>
      <c r="D953" s="163"/>
      <c r="E953" s="162"/>
      <c r="F953" s="162"/>
      <c r="G953" s="162"/>
      <c r="H953" s="162"/>
      <c r="I953" s="162"/>
      <c r="J953" s="162"/>
      <c r="K953" s="162"/>
      <c r="L953" s="163"/>
    </row>
    <row r="954" spans="2:12" ht="19.2" customHeight="1" x14ac:dyDescent="0.3">
      <c r="B954" s="161"/>
      <c r="C954" s="162"/>
      <c r="D954" s="163"/>
      <c r="E954" s="162"/>
      <c r="F954" s="162"/>
      <c r="G954" s="162"/>
      <c r="H954" s="162"/>
      <c r="I954" s="162"/>
      <c r="J954" s="162"/>
      <c r="K954" s="162"/>
      <c r="L954" s="163"/>
    </row>
    <row r="955" spans="2:12" ht="19.2" customHeight="1" x14ac:dyDescent="0.3">
      <c r="B955" s="161"/>
      <c r="C955" s="162"/>
      <c r="D955" s="163"/>
      <c r="E955" s="162"/>
      <c r="F955" s="162"/>
      <c r="G955" s="162"/>
      <c r="H955" s="162"/>
      <c r="I955" s="162"/>
      <c r="J955" s="162"/>
      <c r="K955" s="162"/>
      <c r="L955" s="163"/>
    </row>
    <row r="956" spans="2:12" ht="19.2" customHeight="1" x14ac:dyDescent="0.3">
      <c r="B956" s="161"/>
      <c r="C956" s="162"/>
      <c r="D956" s="163"/>
      <c r="E956" s="162"/>
      <c r="F956" s="162"/>
      <c r="G956" s="162"/>
      <c r="H956" s="162"/>
      <c r="I956" s="162"/>
      <c r="J956" s="162"/>
      <c r="K956" s="162"/>
      <c r="L956" s="163"/>
    </row>
    <row r="957" spans="2:12" ht="19.2" customHeight="1" x14ac:dyDescent="0.3">
      <c r="B957" s="161"/>
      <c r="C957" s="162"/>
      <c r="D957" s="163"/>
      <c r="E957" s="162"/>
      <c r="F957" s="162"/>
      <c r="G957" s="162"/>
      <c r="H957" s="162"/>
      <c r="I957" s="162"/>
      <c r="J957" s="162"/>
      <c r="K957" s="162"/>
      <c r="L957" s="163"/>
    </row>
    <row r="958" spans="2:12" ht="19.2" customHeight="1" x14ac:dyDescent="0.3">
      <c r="B958" s="161"/>
      <c r="C958" s="162"/>
      <c r="D958" s="163"/>
      <c r="E958" s="162"/>
      <c r="F958" s="162"/>
      <c r="G958" s="162"/>
      <c r="H958" s="162"/>
      <c r="I958" s="162"/>
      <c r="J958" s="162"/>
      <c r="K958" s="162"/>
      <c r="L958" s="163"/>
    </row>
    <row r="959" spans="2:12" ht="19.2" customHeight="1" x14ac:dyDescent="0.3">
      <c r="B959" s="161"/>
      <c r="C959" s="162"/>
      <c r="D959" s="163"/>
      <c r="E959" s="162"/>
      <c r="F959" s="162"/>
      <c r="G959" s="162"/>
      <c r="H959" s="162"/>
      <c r="I959" s="162"/>
      <c r="J959" s="162"/>
      <c r="K959" s="162"/>
      <c r="L959" s="163"/>
    </row>
    <row r="960" spans="2:12" ht="19.2" customHeight="1" x14ac:dyDescent="0.3">
      <c r="B960" s="161"/>
      <c r="C960" s="162"/>
      <c r="D960" s="163"/>
      <c r="E960" s="162"/>
      <c r="F960" s="162"/>
      <c r="G960" s="162"/>
      <c r="H960" s="162"/>
      <c r="I960" s="162"/>
      <c r="J960" s="162"/>
      <c r="K960" s="162"/>
      <c r="L960" s="163"/>
    </row>
    <row r="961" spans="2:12" ht="19.2" customHeight="1" x14ac:dyDescent="0.3">
      <c r="B961" s="161"/>
      <c r="C961" s="162"/>
      <c r="D961" s="163"/>
      <c r="E961" s="162"/>
      <c r="F961" s="162"/>
      <c r="G961" s="162"/>
      <c r="H961" s="162"/>
      <c r="I961" s="162"/>
      <c r="J961" s="162"/>
      <c r="K961" s="162"/>
      <c r="L961" s="163"/>
    </row>
    <row r="962" spans="2:12" ht="19.2" customHeight="1" x14ac:dyDescent="0.3">
      <c r="B962" s="161"/>
      <c r="C962" s="162"/>
      <c r="D962" s="163"/>
      <c r="E962" s="162"/>
      <c r="F962" s="162"/>
      <c r="G962" s="162"/>
      <c r="H962" s="162"/>
      <c r="I962" s="162"/>
      <c r="J962" s="162"/>
      <c r="K962" s="162"/>
      <c r="L962" s="163"/>
    </row>
    <row r="963" spans="2:12" ht="19.2" customHeight="1" x14ac:dyDescent="0.3">
      <c r="B963" s="161"/>
      <c r="C963" s="162"/>
      <c r="D963" s="163"/>
      <c r="E963" s="162"/>
      <c r="F963" s="162"/>
      <c r="G963" s="162"/>
      <c r="H963" s="162"/>
      <c r="I963" s="162"/>
      <c r="J963" s="162"/>
      <c r="K963" s="162"/>
      <c r="L963" s="163"/>
    </row>
    <row r="964" spans="2:12" ht="19.2" customHeight="1" x14ac:dyDescent="0.3">
      <c r="B964" s="161"/>
      <c r="C964" s="162"/>
      <c r="D964" s="163"/>
      <c r="E964" s="162"/>
      <c r="F964" s="162"/>
      <c r="G964" s="162"/>
      <c r="H964" s="162"/>
      <c r="I964" s="162"/>
      <c r="J964" s="162"/>
      <c r="K964" s="162"/>
      <c r="L964" s="163"/>
    </row>
    <row r="965" spans="2:12" ht="19.2" customHeight="1" x14ac:dyDescent="0.3">
      <c r="B965" s="161"/>
      <c r="C965" s="162"/>
      <c r="D965" s="163"/>
      <c r="E965" s="162"/>
      <c r="F965" s="162"/>
      <c r="G965" s="162"/>
      <c r="H965" s="162"/>
      <c r="I965" s="162"/>
      <c r="J965" s="162"/>
      <c r="K965" s="162"/>
      <c r="L965" s="163"/>
    </row>
    <row r="966" spans="2:12" ht="19.2" customHeight="1" x14ac:dyDescent="0.3">
      <c r="B966" s="161"/>
      <c r="C966" s="162"/>
      <c r="D966" s="163"/>
      <c r="E966" s="162"/>
      <c r="F966" s="162"/>
      <c r="G966" s="162"/>
      <c r="H966" s="162"/>
      <c r="I966" s="162"/>
      <c r="J966" s="162"/>
      <c r="K966" s="162"/>
      <c r="L966" s="163"/>
    </row>
    <row r="967" spans="2:12" ht="19.2" customHeight="1" x14ac:dyDescent="0.3">
      <c r="B967" s="161"/>
      <c r="C967" s="162"/>
      <c r="D967" s="163"/>
      <c r="E967" s="162"/>
      <c r="F967" s="162"/>
      <c r="G967" s="162"/>
      <c r="H967" s="162"/>
      <c r="I967" s="162"/>
      <c r="J967" s="162"/>
      <c r="K967" s="162"/>
      <c r="L967" s="163"/>
    </row>
    <row r="968" spans="2:12" ht="19.2" customHeight="1" x14ac:dyDescent="0.3">
      <c r="B968" s="161"/>
      <c r="C968" s="162"/>
      <c r="D968" s="163"/>
      <c r="E968" s="162"/>
      <c r="F968" s="162"/>
      <c r="G968" s="162"/>
      <c r="H968" s="162"/>
      <c r="I968" s="162"/>
      <c r="J968" s="162"/>
      <c r="K968" s="162"/>
      <c r="L968" s="163"/>
    </row>
    <row r="969" spans="2:12" ht="19.2" customHeight="1" x14ac:dyDescent="0.3">
      <c r="B969" s="161"/>
      <c r="C969" s="162"/>
      <c r="D969" s="163"/>
      <c r="E969" s="162"/>
      <c r="F969" s="162"/>
      <c r="G969" s="162"/>
      <c r="H969" s="162"/>
      <c r="I969" s="162"/>
      <c r="J969" s="162"/>
      <c r="K969" s="162"/>
      <c r="L969" s="163"/>
    </row>
    <row r="970" spans="2:12" ht="19.2" customHeight="1" x14ac:dyDescent="0.3">
      <c r="B970" s="161"/>
      <c r="C970" s="162"/>
      <c r="D970" s="163"/>
      <c r="E970" s="162"/>
      <c r="F970" s="162"/>
      <c r="G970" s="162"/>
      <c r="H970" s="162"/>
      <c r="I970" s="162"/>
      <c r="J970" s="162"/>
      <c r="K970" s="162"/>
      <c r="L970" s="163"/>
    </row>
    <row r="971" spans="2:12" ht="19.2" customHeight="1" x14ac:dyDescent="0.3">
      <c r="B971" s="161"/>
      <c r="C971" s="162"/>
      <c r="D971" s="163"/>
      <c r="E971" s="162"/>
      <c r="F971" s="162"/>
      <c r="G971" s="162"/>
      <c r="H971" s="162"/>
      <c r="I971" s="162"/>
      <c r="J971" s="162"/>
      <c r="K971" s="162"/>
      <c r="L971" s="163"/>
    </row>
    <row r="972" spans="2:12" ht="19.2" customHeight="1" x14ac:dyDescent="0.3">
      <c r="B972" s="161"/>
      <c r="C972" s="162"/>
      <c r="D972" s="163"/>
      <c r="E972" s="162"/>
      <c r="F972" s="162"/>
      <c r="G972" s="162"/>
      <c r="H972" s="162"/>
      <c r="I972" s="162"/>
      <c r="J972" s="162"/>
      <c r="K972" s="162"/>
      <c r="L972" s="163"/>
    </row>
    <row r="973" spans="2:12" ht="19.2" customHeight="1" x14ac:dyDescent="0.3">
      <c r="B973" s="161"/>
      <c r="C973" s="162"/>
      <c r="D973" s="163"/>
      <c r="E973" s="162"/>
      <c r="F973" s="162"/>
      <c r="G973" s="162"/>
      <c r="H973" s="162"/>
      <c r="I973" s="162"/>
      <c r="J973" s="162"/>
      <c r="K973" s="162"/>
      <c r="L973" s="163"/>
    </row>
    <row r="974" spans="2:12" ht="19.2" customHeight="1" x14ac:dyDescent="0.3">
      <c r="B974" s="161"/>
      <c r="C974" s="162"/>
      <c r="D974" s="163"/>
      <c r="E974" s="162"/>
      <c r="F974" s="162"/>
      <c r="G974" s="162"/>
      <c r="H974" s="162"/>
      <c r="I974" s="162"/>
      <c r="J974" s="162"/>
      <c r="K974" s="162"/>
      <c r="L974" s="163"/>
    </row>
    <row r="975" spans="2:12" ht="19.2" customHeight="1" x14ac:dyDescent="0.3">
      <c r="B975" s="161"/>
      <c r="C975" s="162"/>
      <c r="D975" s="163"/>
      <c r="E975" s="162"/>
      <c r="F975" s="162"/>
      <c r="G975" s="162"/>
      <c r="H975" s="162"/>
      <c r="I975" s="162"/>
      <c r="J975" s="162"/>
      <c r="K975" s="162"/>
      <c r="L975" s="163"/>
    </row>
    <row r="976" spans="2:12" ht="19.2" customHeight="1" x14ac:dyDescent="0.3">
      <c r="B976" s="161"/>
      <c r="C976" s="162"/>
      <c r="D976" s="163"/>
      <c r="E976" s="162"/>
      <c r="F976" s="162"/>
      <c r="G976" s="162"/>
      <c r="H976" s="162"/>
      <c r="I976" s="162"/>
      <c r="J976" s="162"/>
      <c r="K976" s="162"/>
      <c r="L976" s="163"/>
    </row>
    <row r="977" spans="2:12" ht="19.2" customHeight="1" x14ac:dyDescent="0.3">
      <c r="B977" s="161"/>
      <c r="C977" s="162"/>
      <c r="D977" s="163"/>
      <c r="E977" s="162"/>
      <c r="F977" s="162"/>
      <c r="G977" s="162"/>
      <c r="H977" s="162"/>
      <c r="I977" s="162"/>
      <c r="J977" s="162"/>
      <c r="K977" s="162"/>
      <c r="L977" s="163"/>
    </row>
    <row r="978" spans="2:12" ht="19.2" customHeight="1" x14ac:dyDescent="0.3">
      <c r="B978" s="161"/>
      <c r="C978" s="162"/>
      <c r="D978" s="163"/>
      <c r="E978" s="162"/>
      <c r="F978" s="162"/>
      <c r="G978" s="162"/>
      <c r="H978" s="162"/>
      <c r="I978" s="162"/>
      <c r="J978" s="162"/>
      <c r="K978" s="162"/>
      <c r="L978" s="163"/>
    </row>
    <row r="979" spans="2:12" ht="19.2" customHeight="1" x14ac:dyDescent="0.3">
      <c r="B979" s="161"/>
      <c r="C979" s="162"/>
      <c r="D979" s="163"/>
      <c r="E979" s="162"/>
      <c r="F979" s="162"/>
      <c r="G979" s="162"/>
      <c r="H979" s="162"/>
      <c r="I979" s="162"/>
      <c r="J979" s="162"/>
      <c r="K979" s="162"/>
      <c r="L979" s="163"/>
    </row>
    <row r="980" spans="2:12" ht="19.2" customHeight="1" x14ac:dyDescent="0.3">
      <c r="B980" s="161"/>
      <c r="C980" s="162"/>
      <c r="D980" s="163"/>
      <c r="E980" s="162"/>
      <c r="F980" s="162"/>
      <c r="G980" s="162"/>
      <c r="H980" s="162"/>
      <c r="I980" s="162"/>
      <c r="J980" s="162"/>
      <c r="K980" s="162"/>
      <c r="L980" s="163"/>
    </row>
    <row r="981" spans="2:12" ht="19.2" customHeight="1" x14ac:dyDescent="0.3">
      <c r="B981" s="161"/>
      <c r="C981" s="162"/>
      <c r="D981" s="163"/>
      <c r="E981" s="162"/>
      <c r="F981" s="162"/>
      <c r="G981" s="162"/>
      <c r="H981" s="162"/>
      <c r="I981" s="162"/>
      <c r="J981" s="162"/>
      <c r="K981" s="162"/>
      <c r="L981" s="163"/>
    </row>
    <row r="982" spans="2:12" ht="19.2" customHeight="1" x14ac:dyDescent="0.3">
      <c r="B982" s="161"/>
      <c r="C982" s="162"/>
      <c r="D982" s="163"/>
      <c r="E982" s="162"/>
      <c r="F982" s="162"/>
      <c r="G982" s="162"/>
      <c r="H982" s="162"/>
      <c r="I982" s="162"/>
      <c r="J982" s="162"/>
      <c r="K982" s="162"/>
      <c r="L982" s="163"/>
    </row>
    <row r="983" spans="2:12" ht="19.2" customHeight="1" x14ac:dyDescent="0.3">
      <c r="B983" s="161"/>
      <c r="C983" s="162"/>
      <c r="D983" s="163"/>
      <c r="E983" s="162"/>
      <c r="F983" s="162"/>
      <c r="G983" s="162"/>
      <c r="H983" s="162"/>
      <c r="I983" s="162"/>
      <c r="J983" s="162"/>
      <c r="K983" s="162"/>
      <c r="L983" s="163"/>
    </row>
    <row r="984" spans="2:12" ht="19.2" customHeight="1" x14ac:dyDescent="0.3">
      <c r="B984" s="161"/>
      <c r="C984" s="162"/>
      <c r="D984" s="163"/>
      <c r="E984" s="162"/>
      <c r="F984" s="162"/>
      <c r="G984" s="162"/>
      <c r="H984" s="162"/>
      <c r="I984" s="162"/>
      <c r="J984" s="162"/>
      <c r="K984" s="162"/>
      <c r="L984" s="163"/>
    </row>
    <row r="985" spans="2:12" ht="19.2" customHeight="1" x14ac:dyDescent="0.3">
      <c r="B985" s="161"/>
      <c r="C985" s="162"/>
      <c r="D985" s="163"/>
      <c r="E985" s="162"/>
      <c r="F985" s="162"/>
      <c r="G985" s="162"/>
      <c r="H985" s="162"/>
      <c r="I985" s="162"/>
      <c r="J985" s="162"/>
      <c r="K985" s="162"/>
      <c r="L985" s="163"/>
    </row>
    <row r="986" spans="2:12" ht="19.2" customHeight="1" x14ac:dyDescent="0.3">
      <c r="B986" s="161"/>
      <c r="C986" s="162"/>
      <c r="D986" s="163"/>
      <c r="E986" s="162"/>
      <c r="F986" s="162"/>
      <c r="G986" s="162"/>
      <c r="H986" s="162"/>
      <c r="I986" s="162"/>
      <c r="J986" s="162"/>
      <c r="K986" s="162"/>
      <c r="L986" s="163"/>
    </row>
    <row r="987" spans="2:12" ht="19.2" customHeight="1" x14ac:dyDescent="0.3">
      <c r="B987" s="161"/>
      <c r="C987" s="162"/>
      <c r="D987" s="163"/>
      <c r="E987" s="162"/>
      <c r="F987" s="162"/>
      <c r="G987" s="162"/>
      <c r="H987" s="162"/>
      <c r="I987" s="162"/>
      <c r="J987" s="162"/>
      <c r="K987" s="162"/>
      <c r="L987" s="163"/>
    </row>
    <row r="988" spans="2:12" ht="19.2" customHeight="1" x14ac:dyDescent="0.3">
      <c r="B988" s="161"/>
      <c r="C988" s="162"/>
      <c r="D988" s="163"/>
      <c r="E988" s="162"/>
      <c r="F988" s="162"/>
      <c r="G988" s="162"/>
      <c r="H988" s="162"/>
      <c r="I988" s="162"/>
      <c r="J988" s="162"/>
      <c r="K988" s="162"/>
      <c r="L988" s="163"/>
    </row>
    <row r="989" spans="2:12" ht="19.2" customHeight="1" x14ac:dyDescent="0.3">
      <c r="B989" s="161"/>
      <c r="C989" s="162"/>
      <c r="D989" s="163"/>
      <c r="E989" s="162"/>
      <c r="F989" s="162"/>
      <c r="G989" s="162"/>
      <c r="H989" s="162"/>
      <c r="I989" s="162"/>
      <c r="J989" s="162"/>
      <c r="K989" s="162"/>
      <c r="L989" s="163"/>
    </row>
    <row r="990" spans="2:12" ht="19.2" customHeight="1" x14ac:dyDescent="0.3">
      <c r="B990" s="161"/>
      <c r="C990" s="162"/>
      <c r="D990" s="163"/>
      <c r="E990" s="162"/>
      <c r="F990" s="162"/>
      <c r="G990" s="162"/>
      <c r="H990" s="162"/>
      <c r="I990" s="162"/>
      <c r="J990" s="162"/>
      <c r="K990" s="162"/>
      <c r="L990" s="163"/>
    </row>
    <row r="991" spans="2:12" ht="19.2" customHeight="1" x14ac:dyDescent="0.3">
      <c r="B991" s="161"/>
      <c r="C991" s="162"/>
      <c r="D991" s="163"/>
      <c r="E991" s="162"/>
      <c r="F991" s="162"/>
      <c r="G991" s="162"/>
      <c r="H991" s="162"/>
      <c r="I991" s="162"/>
      <c r="J991" s="162"/>
      <c r="K991" s="162"/>
      <c r="L991" s="163"/>
    </row>
    <row r="992" spans="2:12" ht="19.2" customHeight="1" x14ac:dyDescent="0.3">
      <c r="B992" s="161"/>
      <c r="C992" s="162"/>
      <c r="D992" s="163"/>
      <c r="E992" s="162"/>
      <c r="F992" s="162"/>
      <c r="G992" s="162"/>
      <c r="H992" s="162"/>
      <c r="I992" s="162"/>
      <c r="J992" s="162"/>
      <c r="K992" s="162"/>
      <c r="L992" s="163"/>
    </row>
    <row r="993" spans="2:12" ht="19.2" customHeight="1" x14ac:dyDescent="0.3">
      <c r="B993" s="161"/>
      <c r="C993" s="162"/>
      <c r="D993" s="163"/>
      <c r="E993" s="162"/>
      <c r="F993" s="162"/>
      <c r="G993" s="162"/>
      <c r="H993" s="162"/>
      <c r="I993" s="162"/>
      <c r="J993" s="162"/>
      <c r="K993" s="162"/>
      <c r="L993" s="163"/>
    </row>
    <row r="994" spans="2:12" ht="19.2" customHeight="1" x14ac:dyDescent="0.3">
      <c r="B994" s="161"/>
      <c r="C994" s="162"/>
      <c r="D994" s="163"/>
      <c r="E994" s="162"/>
      <c r="F994" s="162"/>
      <c r="G994" s="162"/>
      <c r="H994" s="162"/>
      <c r="I994" s="162"/>
      <c r="J994" s="162"/>
      <c r="K994" s="162"/>
      <c r="L994" s="163"/>
    </row>
    <row r="995" spans="2:12" ht="19.2" customHeight="1" x14ac:dyDescent="0.3">
      <c r="B995" s="161"/>
      <c r="C995" s="162"/>
      <c r="D995" s="163"/>
      <c r="E995" s="162"/>
      <c r="F995" s="162"/>
      <c r="G995" s="162"/>
      <c r="H995" s="162"/>
      <c r="I995" s="162"/>
      <c r="J995" s="162"/>
      <c r="K995" s="162"/>
      <c r="L995" s="163"/>
    </row>
    <row r="996" spans="2:12" ht="19.2" customHeight="1" x14ac:dyDescent="0.3">
      <c r="B996" s="161"/>
      <c r="C996" s="162"/>
      <c r="D996" s="163"/>
      <c r="E996" s="162"/>
      <c r="F996" s="162"/>
      <c r="G996" s="162"/>
      <c r="H996" s="162"/>
      <c r="I996" s="162"/>
      <c r="J996" s="162"/>
      <c r="K996" s="162"/>
      <c r="L996" s="163"/>
    </row>
    <row r="997" spans="2:12" ht="19.2" customHeight="1" x14ac:dyDescent="0.3">
      <c r="B997" s="161"/>
      <c r="C997" s="162"/>
      <c r="D997" s="163"/>
      <c r="E997" s="162"/>
      <c r="F997" s="162"/>
      <c r="G997" s="162"/>
      <c r="H997" s="162"/>
      <c r="I997" s="162"/>
      <c r="J997" s="162"/>
      <c r="K997" s="162"/>
      <c r="L997" s="163"/>
    </row>
    <row r="998" spans="2:12" ht="19.2" customHeight="1" x14ac:dyDescent="0.3">
      <c r="B998" s="161"/>
      <c r="C998" s="162"/>
      <c r="D998" s="163"/>
      <c r="E998" s="162"/>
      <c r="F998" s="162"/>
      <c r="G998" s="162"/>
      <c r="H998" s="162"/>
      <c r="I998" s="162"/>
      <c r="J998" s="162"/>
      <c r="K998" s="162"/>
      <c r="L998" s="163"/>
    </row>
    <row r="999" spans="2:12" ht="19.2" customHeight="1" x14ac:dyDescent="0.3">
      <c r="B999" s="161"/>
      <c r="C999" s="162"/>
      <c r="D999" s="163"/>
      <c r="E999" s="162"/>
      <c r="F999" s="162"/>
      <c r="G999" s="162"/>
      <c r="H999" s="162"/>
      <c r="I999" s="162"/>
      <c r="J999" s="162"/>
      <c r="K999" s="162"/>
      <c r="L999" s="163"/>
    </row>
    <row r="1000" spans="2:12" ht="19.2" customHeight="1" x14ac:dyDescent="0.3">
      <c r="B1000" s="161"/>
      <c r="C1000" s="162"/>
      <c r="D1000" s="163"/>
      <c r="E1000" s="162"/>
      <c r="F1000" s="162"/>
      <c r="G1000" s="162"/>
      <c r="H1000" s="162"/>
      <c r="I1000" s="162"/>
      <c r="J1000" s="162"/>
      <c r="K1000" s="162"/>
      <c r="L1000" s="163"/>
    </row>
    <row r="1001" spans="2:12" ht="19.2" customHeight="1" x14ac:dyDescent="0.3">
      <c r="B1001" s="161"/>
      <c r="C1001" s="162"/>
      <c r="D1001" s="163"/>
      <c r="E1001" s="162"/>
      <c r="F1001" s="162"/>
      <c r="G1001" s="162"/>
      <c r="H1001" s="162"/>
      <c r="I1001" s="162"/>
      <c r="J1001" s="162"/>
      <c r="K1001" s="162"/>
      <c r="L1001" s="163"/>
    </row>
    <row r="1002" spans="2:12" ht="19.2" customHeight="1" x14ac:dyDescent="0.3">
      <c r="B1002" s="161"/>
      <c r="C1002" s="162"/>
      <c r="D1002" s="163"/>
      <c r="E1002" s="162"/>
      <c r="F1002" s="162"/>
      <c r="G1002" s="162"/>
      <c r="H1002" s="162"/>
      <c r="I1002" s="162"/>
      <c r="J1002" s="162"/>
      <c r="K1002" s="162"/>
      <c r="L1002" s="163"/>
    </row>
    <row r="1003" spans="2:12" ht="19.2" customHeight="1" x14ac:dyDescent="0.3">
      <c r="B1003" s="161"/>
      <c r="C1003" s="162"/>
      <c r="D1003" s="163"/>
      <c r="E1003" s="162"/>
      <c r="F1003" s="162"/>
      <c r="G1003" s="162"/>
      <c r="H1003" s="162"/>
      <c r="I1003" s="162"/>
      <c r="J1003" s="162"/>
      <c r="K1003" s="162"/>
      <c r="L1003" s="163"/>
    </row>
    <row r="1004" spans="2:12" ht="19.2" customHeight="1" x14ac:dyDescent="0.3">
      <c r="B1004" s="161"/>
      <c r="C1004" s="162"/>
      <c r="D1004" s="163"/>
      <c r="E1004" s="162"/>
      <c r="F1004" s="162"/>
      <c r="G1004" s="162"/>
      <c r="H1004" s="162"/>
      <c r="I1004" s="162"/>
      <c r="J1004" s="162"/>
      <c r="K1004" s="162"/>
      <c r="L1004" s="163"/>
    </row>
    <row r="1005" spans="2:12" ht="19.2" customHeight="1" x14ac:dyDescent="0.3">
      <c r="B1005" s="161"/>
      <c r="C1005" s="162"/>
      <c r="D1005" s="163"/>
      <c r="E1005" s="162"/>
      <c r="F1005" s="162"/>
      <c r="G1005" s="162"/>
      <c r="H1005" s="162"/>
      <c r="I1005" s="162"/>
      <c r="J1005" s="162"/>
      <c r="K1005" s="162"/>
      <c r="L1005" s="163"/>
    </row>
    <row r="1006" spans="2:12" ht="19.2" customHeight="1" x14ac:dyDescent="0.3">
      <c r="B1006" s="161"/>
      <c r="C1006" s="162"/>
      <c r="D1006" s="163"/>
      <c r="E1006" s="162"/>
      <c r="F1006" s="162"/>
      <c r="G1006" s="162"/>
      <c r="H1006" s="162"/>
      <c r="I1006" s="162"/>
      <c r="J1006" s="162"/>
      <c r="K1006" s="162"/>
      <c r="L1006" s="163"/>
    </row>
    <row r="1007" spans="2:12" ht="19.2" customHeight="1" x14ac:dyDescent="0.3">
      <c r="B1007" s="161"/>
      <c r="C1007" s="162"/>
      <c r="D1007" s="163"/>
      <c r="E1007" s="162"/>
      <c r="F1007" s="162"/>
      <c r="G1007" s="162"/>
      <c r="H1007" s="162"/>
      <c r="I1007" s="162"/>
      <c r="J1007" s="162"/>
      <c r="K1007" s="162"/>
      <c r="L1007" s="163"/>
    </row>
    <row r="1008" spans="2:12" ht="19.2" customHeight="1" x14ac:dyDescent="0.3">
      <c r="B1008" s="161"/>
      <c r="C1008" s="162"/>
      <c r="D1008" s="163"/>
      <c r="E1008" s="162"/>
      <c r="F1008" s="162"/>
      <c r="G1008" s="162"/>
      <c r="H1008" s="162"/>
      <c r="I1008" s="162"/>
      <c r="J1008" s="162"/>
      <c r="K1008" s="162"/>
      <c r="L1008" s="163"/>
    </row>
    <row r="1009" spans="2:12" ht="19.2" customHeight="1" x14ac:dyDescent="0.3">
      <c r="B1009" s="161"/>
      <c r="C1009" s="162"/>
      <c r="D1009" s="163"/>
      <c r="E1009" s="162"/>
      <c r="F1009" s="162"/>
      <c r="G1009" s="162"/>
      <c r="H1009" s="162"/>
      <c r="I1009" s="162"/>
      <c r="J1009" s="162"/>
      <c r="K1009" s="162"/>
      <c r="L1009" s="163"/>
    </row>
    <row r="1010" spans="2:12" ht="19.2" customHeight="1" x14ac:dyDescent="0.3">
      <c r="B1010" s="161"/>
      <c r="C1010" s="162"/>
      <c r="D1010" s="163"/>
      <c r="E1010" s="162"/>
      <c r="F1010" s="162"/>
      <c r="G1010" s="162"/>
      <c r="H1010" s="162"/>
      <c r="I1010" s="162"/>
      <c r="J1010" s="162"/>
      <c r="K1010" s="162"/>
      <c r="L1010" s="163"/>
    </row>
    <row r="1011" spans="2:12" ht="19.2" customHeight="1" x14ac:dyDescent="0.3">
      <c r="B1011" s="161"/>
      <c r="C1011" s="162"/>
      <c r="D1011" s="163"/>
      <c r="E1011" s="162"/>
      <c r="F1011" s="162"/>
      <c r="G1011" s="162"/>
      <c r="H1011" s="162"/>
      <c r="I1011" s="162"/>
      <c r="J1011" s="162"/>
      <c r="K1011" s="162"/>
      <c r="L1011" s="163"/>
    </row>
    <row r="1012" spans="2:12" ht="19.2" customHeight="1" x14ac:dyDescent="0.3">
      <c r="B1012" s="161"/>
      <c r="C1012" s="162"/>
      <c r="D1012" s="163"/>
      <c r="E1012" s="162"/>
      <c r="F1012" s="162"/>
      <c r="G1012" s="162"/>
      <c r="H1012" s="162"/>
      <c r="I1012" s="162"/>
      <c r="J1012" s="162"/>
      <c r="K1012" s="162"/>
      <c r="L1012" s="163"/>
    </row>
    <row r="1013" spans="2:12" ht="19.2" customHeight="1" x14ac:dyDescent="0.3">
      <c r="B1013" s="161"/>
      <c r="C1013" s="162"/>
      <c r="D1013" s="163"/>
      <c r="E1013" s="162"/>
      <c r="F1013" s="162"/>
      <c r="G1013" s="162"/>
      <c r="H1013" s="162"/>
      <c r="I1013" s="162"/>
      <c r="J1013" s="162"/>
      <c r="K1013" s="162"/>
      <c r="L1013" s="163"/>
    </row>
    <row r="1014" spans="2:12" ht="19.2" customHeight="1" x14ac:dyDescent="0.3">
      <c r="B1014" s="161"/>
      <c r="C1014" s="162"/>
      <c r="D1014" s="163"/>
      <c r="E1014" s="162"/>
      <c r="F1014" s="162"/>
      <c r="G1014" s="162"/>
      <c r="H1014" s="162"/>
      <c r="I1014" s="162"/>
      <c r="J1014" s="162"/>
      <c r="K1014" s="162"/>
      <c r="L1014" s="163"/>
    </row>
    <row r="1015" spans="2:12" ht="19.2" customHeight="1" x14ac:dyDescent="0.3">
      <c r="B1015" s="161"/>
      <c r="C1015" s="162"/>
      <c r="D1015" s="163"/>
      <c r="E1015" s="162"/>
      <c r="F1015" s="162"/>
      <c r="G1015" s="162"/>
      <c r="H1015" s="162"/>
      <c r="I1015" s="162"/>
      <c r="J1015" s="162"/>
      <c r="K1015" s="162"/>
      <c r="L1015" s="163"/>
    </row>
    <row r="1016" spans="2:12" ht="19.2" customHeight="1" x14ac:dyDescent="0.3">
      <c r="B1016" s="161"/>
      <c r="C1016" s="162"/>
      <c r="D1016" s="163"/>
      <c r="E1016" s="162"/>
      <c r="F1016" s="162"/>
      <c r="G1016" s="162"/>
      <c r="H1016" s="162"/>
      <c r="I1016" s="162"/>
      <c r="J1016" s="162"/>
      <c r="K1016" s="162"/>
      <c r="L1016" s="163"/>
    </row>
    <row r="1017" spans="2:12" ht="19.2" customHeight="1" x14ac:dyDescent="0.3">
      <c r="B1017" s="161"/>
      <c r="C1017" s="162"/>
      <c r="D1017" s="163"/>
      <c r="E1017" s="162"/>
      <c r="F1017" s="162"/>
      <c r="G1017" s="162"/>
      <c r="H1017" s="162"/>
      <c r="I1017" s="162"/>
      <c r="J1017" s="162"/>
      <c r="K1017" s="162"/>
      <c r="L1017" s="163"/>
    </row>
    <row r="1018" spans="2:12" ht="19.2" customHeight="1" x14ac:dyDescent="0.3">
      <c r="B1018" s="161"/>
      <c r="C1018" s="162"/>
      <c r="D1018" s="163"/>
      <c r="E1018" s="162"/>
      <c r="F1018" s="162"/>
      <c r="G1018" s="162"/>
      <c r="H1018" s="162"/>
      <c r="I1018" s="162"/>
      <c r="J1018" s="162"/>
      <c r="K1018" s="162"/>
      <c r="L1018" s="163"/>
    </row>
    <row r="1019" spans="2:12" ht="19.2" customHeight="1" x14ac:dyDescent="0.3">
      <c r="B1019" s="161"/>
      <c r="C1019" s="162"/>
      <c r="D1019" s="163"/>
      <c r="E1019" s="162"/>
      <c r="F1019" s="162"/>
      <c r="G1019" s="162"/>
      <c r="H1019" s="162"/>
      <c r="I1019" s="162"/>
      <c r="J1019" s="162"/>
      <c r="K1019" s="162"/>
      <c r="L1019" s="163"/>
    </row>
    <row r="1020" spans="2:12" ht="19.2" customHeight="1" x14ac:dyDescent="0.3">
      <c r="B1020" s="161"/>
      <c r="C1020" s="162"/>
      <c r="D1020" s="163"/>
      <c r="E1020" s="162"/>
      <c r="F1020" s="162"/>
      <c r="G1020" s="162"/>
      <c r="H1020" s="162"/>
      <c r="I1020" s="162"/>
      <c r="J1020" s="162"/>
      <c r="K1020" s="162"/>
      <c r="L1020" s="163"/>
    </row>
    <row r="1021" spans="2:12" ht="19.2" customHeight="1" x14ac:dyDescent="0.3">
      <c r="B1021" s="161"/>
      <c r="C1021" s="162"/>
      <c r="D1021" s="163"/>
      <c r="E1021" s="162"/>
      <c r="F1021" s="162"/>
      <c r="G1021" s="162"/>
      <c r="H1021" s="162"/>
      <c r="I1021" s="162"/>
      <c r="J1021" s="162"/>
      <c r="K1021" s="162"/>
      <c r="L1021" s="163"/>
    </row>
    <row r="1022" spans="2:12" ht="19.2" customHeight="1" x14ac:dyDescent="0.3">
      <c r="B1022" s="161"/>
      <c r="C1022" s="162"/>
      <c r="D1022" s="163"/>
      <c r="E1022" s="162"/>
      <c r="F1022" s="162"/>
      <c r="G1022" s="162"/>
      <c r="H1022" s="162"/>
      <c r="I1022" s="162"/>
      <c r="J1022" s="162"/>
      <c r="K1022" s="162"/>
      <c r="L1022" s="163"/>
    </row>
    <row r="1023" spans="2:12" ht="19.2" customHeight="1" x14ac:dyDescent="0.3">
      <c r="B1023" s="161"/>
      <c r="C1023" s="162"/>
      <c r="D1023" s="163"/>
      <c r="E1023" s="162"/>
      <c r="F1023" s="162"/>
      <c r="G1023" s="162"/>
      <c r="H1023" s="162"/>
      <c r="I1023" s="162"/>
      <c r="J1023" s="162"/>
      <c r="K1023" s="162"/>
      <c r="L1023" s="163"/>
    </row>
    <row r="1024" spans="2:12" ht="19.2" customHeight="1" x14ac:dyDescent="0.3">
      <c r="B1024" s="161"/>
      <c r="C1024" s="162"/>
      <c r="D1024" s="163"/>
      <c r="E1024" s="162"/>
      <c r="F1024" s="162"/>
      <c r="G1024" s="162"/>
      <c r="H1024" s="162"/>
      <c r="I1024" s="162"/>
      <c r="J1024" s="162"/>
      <c r="K1024" s="162"/>
      <c r="L1024" s="163"/>
    </row>
    <row r="1025" spans="2:12" ht="19.2" customHeight="1" x14ac:dyDescent="0.3">
      <c r="B1025" s="161"/>
      <c r="C1025" s="162"/>
      <c r="D1025" s="163"/>
      <c r="E1025" s="162"/>
      <c r="F1025" s="162"/>
      <c r="G1025" s="162"/>
      <c r="H1025" s="162"/>
      <c r="I1025" s="162"/>
      <c r="J1025" s="162"/>
      <c r="K1025" s="162"/>
      <c r="L1025" s="163"/>
    </row>
    <row r="1026" spans="2:12" ht="19.2" customHeight="1" x14ac:dyDescent="0.3">
      <c r="B1026" s="161"/>
      <c r="C1026" s="162"/>
      <c r="D1026" s="163"/>
      <c r="E1026" s="162"/>
      <c r="F1026" s="162"/>
      <c r="G1026" s="162"/>
      <c r="H1026" s="162"/>
      <c r="I1026" s="162"/>
      <c r="J1026" s="162"/>
      <c r="K1026" s="162"/>
      <c r="L1026" s="163"/>
    </row>
    <row r="1027" spans="2:12" ht="19.2" customHeight="1" x14ac:dyDescent="0.3">
      <c r="B1027" s="161"/>
      <c r="C1027" s="162"/>
      <c r="D1027" s="163"/>
      <c r="E1027" s="162"/>
      <c r="F1027" s="162"/>
      <c r="G1027" s="162"/>
      <c r="H1027" s="162"/>
      <c r="I1027" s="162"/>
      <c r="J1027" s="162"/>
      <c r="K1027" s="162"/>
      <c r="L1027" s="163"/>
    </row>
    <row r="1028" spans="2:12" ht="19.2" customHeight="1" x14ac:dyDescent="0.3">
      <c r="B1028" s="161"/>
      <c r="C1028" s="162"/>
      <c r="D1028" s="163"/>
      <c r="E1028" s="162"/>
      <c r="F1028" s="162"/>
      <c r="G1028" s="162"/>
      <c r="H1028" s="162"/>
      <c r="I1028" s="162"/>
      <c r="J1028" s="162"/>
      <c r="K1028" s="162"/>
      <c r="L1028" s="163"/>
    </row>
    <row r="1029" spans="2:12" ht="19.2" customHeight="1" x14ac:dyDescent="0.3">
      <c r="B1029" s="161"/>
      <c r="C1029" s="162"/>
      <c r="D1029" s="163"/>
      <c r="E1029" s="162"/>
      <c r="F1029" s="162"/>
      <c r="G1029" s="162"/>
      <c r="H1029" s="162"/>
      <c r="I1029" s="162"/>
      <c r="J1029" s="162"/>
      <c r="K1029" s="162"/>
      <c r="L1029" s="163"/>
    </row>
    <row r="1030" spans="2:12" ht="19.2" customHeight="1" x14ac:dyDescent="0.3">
      <c r="B1030" s="161"/>
      <c r="C1030" s="162"/>
      <c r="D1030" s="163"/>
      <c r="E1030" s="162"/>
      <c r="F1030" s="162"/>
      <c r="G1030" s="162"/>
      <c r="H1030" s="162"/>
      <c r="I1030" s="162"/>
      <c r="J1030" s="162"/>
      <c r="K1030" s="162"/>
      <c r="L1030" s="163"/>
    </row>
    <row r="1031" spans="2:12" ht="19.2" customHeight="1" x14ac:dyDescent="0.3">
      <c r="B1031" s="161"/>
      <c r="C1031" s="162"/>
      <c r="D1031" s="163"/>
      <c r="E1031" s="162"/>
      <c r="F1031" s="162"/>
      <c r="G1031" s="162"/>
      <c r="H1031" s="162"/>
      <c r="I1031" s="162"/>
      <c r="J1031" s="162"/>
      <c r="K1031" s="162"/>
      <c r="L1031" s="163"/>
    </row>
    <row r="1032" spans="2:12" ht="19.2" customHeight="1" x14ac:dyDescent="0.3">
      <c r="B1032" s="161"/>
      <c r="C1032" s="162"/>
      <c r="D1032" s="163"/>
      <c r="E1032" s="162"/>
      <c r="F1032" s="162"/>
      <c r="G1032" s="162"/>
      <c r="H1032" s="162"/>
      <c r="I1032" s="162"/>
      <c r="J1032" s="162"/>
      <c r="K1032" s="162"/>
      <c r="L1032" s="163"/>
    </row>
    <row r="1033" spans="2:12" ht="19.2" customHeight="1" x14ac:dyDescent="0.3">
      <c r="B1033" s="161"/>
      <c r="C1033" s="162"/>
      <c r="D1033" s="163"/>
      <c r="E1033" s="162"/>
      <c r="F1033" s="162"/>
      <c r="G1033" s="162"/>
      <c r="H1033" s="162"/>
      <c r="I1033" s="162"/>
      <c r="J1033" s="162"/>
      <c r="K1033" s="162"/>
      <c r="L1033" s="163"/>
    </row>
    <row r="1034" spans="2:12" ht="19.2" customHeight="1" x14ac:dyDescent="0.3">
      <c r="B1034" s="161"/>
      <c r="C1034" s="162"/>
      <c r="D1034" s="163"/>
      <c r="E1034" s="162"/>
      <c r="F1034" s="162"/>
      <c r="G1034" s="162"/>
      <c r="H1034" s="162"/>
      <c r="I1034" s="162"/>
      <c r="J1034" s="162"/>
      <c r="K1034" s="162"/>
      <c r="L1034" s="163"/>
    </row>
    <row r="1035" spans="2:12" ht="19.2" customHeight="1" x14ac:dyDescent="0.3">
      <c r="B1035" s="161"/>
      <c r="C1035" s="162"/>
      <c r="D1035" s="163"/>
      <c r="E1035" s="162"/>
      <c r="F1035" s="162"/>
      <c r="G1035" s="162"/>
      <c r="H1035" s="162"/>
      <c r="I1035" s="162"/>
      <c r="J1035" s="162"/>
      <c r="K1035" s="162"/>
      <c r="L1035" s="163"/>
    </row>
    <row r="1036" spans="2:12" ht="19.2" customHeight="1" x14ac:dyDescent="0.3">
      <c r="B1036" s="161"/>
      <c r="C1036" s="162"/>
      <c r="D1036" s="163"/>
      <c r="E1036" s="162"/>
      <c r="F1036" s="162"/>
      <c r="G1036" s="162"/>
      <c r="H1036" s="162"/>
      <c r="I1036" s="162"/>
      <c r="J1036" s="162"/>
      <c r="K1036" s="162"/>
      <c r="L1036" s="163"/>
    </row>
    <row r="1037" spans="2:12" ht="19.2" customHeight="1" x14ac:dyDescent="0.3">
      <c r="B1037" s="161"/>
      <c r="C1037" s="162"/>
      <c r="D1037" s="163"/>
      <c r="E1037" s="162"/>
      <c r="F1037" s="162"/>
      <c r="G1037" s="162"/>
      <c r="H1037" s="162"/>
      <c r="I1037" s="162"/>
      <c r="J1037" s="162"/>
      <c r="K1037" s="162"/>
      <c r="L1037" s="163"/>
    </row>
    <row r="1038" spans="2:12" ht="19.2" customHeight="1" x14ac:dyDescent="0.3">
      <c r="B1038" s="161"/>
      <c r="C1038" s="162"/>
      <c r="D1038" s="163"/>
      <c r="E1038" s="162"/>
      <c r="F1038" s="162"/>
      <c r="G1038" s="162"/>
      <c r="H1038" s="162"/>
      <c r="I1038" s="162"/>
      <c r="J1038" s="162"/>
      <c r="K1038" s="162"/>
      <c r="L1038" s="163"/>
    </row>
    <row r="1039" spans="2:12" ht="19.2" customHeight="1" x14ac:dyDescent="0.3">
      <c r="B1039" s="161"/>
      <c r="C1039" s="162"/>
      <c r="D1039" s="163"/>
      <c r="E1039" s="162"/>
      <c r="F1039" s="162"/>
      <c r="G1039" s="162"/>
      <c r="H1039" s="162"/>
      <c r="I1039" s="162"/>
      <c r="J1039" s="162"/>
      <c r="K1039" s="162"/>
      <c r="L1039" s="163"/>
    </row>
    <row r="1040" spans="2:12" ht="19.2" customHeight="1" x14ac:dyDescent="0.3">
      <c r="B1040" s="161"/>
      <c r="C1040" s="162"/>
      <c r="D1040" s="163"/>
      <c r="E1040" s="162"/>
      <c r="F1040" s="162"/>
      <c r="G1040" s="162"/>
      <c r="H1040" s="162"/>
      <c r="I1040" s="162"/>
      <c r="J1040" s="162"/>
      <c r="K1040" s="162"/>
      <c r="L1040" s="163"/>
    </row>
    <row r="1041" spans="2:12" ht="19.2" customHeight="1" x14ac:dyDescent="0.3">
      <c r="B1041" s="161"/>
      <c r="C1041" s="162"/>
      <c r="D1041" s="163"/>
      <c r="E1041" s="162"/>
      <c r="F1041" s="162"/>
      <c r="G1041" s="162"/>
      <c r="H1041" s="162"/>
      <c r="I1041" s="162"/>
      <c r="J1041" s="162"/>
      <c r="K1041" s="162"/>
      <c r="L1041" s="163"/>
    </row>
    <row r="1042" spans="2:12" ht="19.2" customHeight="1" x14ac:dyDescent="0.3">
      <c r="B1042" s="161"/>
      <c r="C1042" s="162"/>
      <c r="D1042" s="163"/>
      <c r="E1042" s="162"/>
      <c r="F1042" s="162"/>
      <c r="G1042" s="162"/>
      <c r="H1042" s="162"/>
      <c r="I1042" s="162"/>
      <c r="J1042" s="162"/>
      <c r="K1042" s="162"/>
      <c r="L1042" s="163"/>
    </row>
    <row r="1043" spans="2:12" ht="19.2" customHeight="1" x14ac:dyDescent="0.3">
      <c r="B1043" s="161"/>
      <c r="C1043" s="162"/>
      <c r="D1043" s="163"/>
      <c r="E1043" s="162"/>
      <c r="F1043" s="162"/>
      <c r="G1043" s="162"/>
      <c r="H1043" s="162"/>
      <c r="I1043" s="162"/>
      <c r="J1043" s="162"/>
      <c r="K1043" s="162"/>
      <c r="L1043" s="163"/>
    </row>
    <row r="1044" spans="2:12" ht="19.2" customHeight="1" x14ac:dyDescent="0.3">
      <c r="B1044" s="161"/>
      <c r="C1044" s="162"/>
      <c r="D1044" s="163"/>
      <c r="E1044" s="162"/>
      <c r="F1044" s="162"/>
      <c r="G1044" s="162"/>
      <c r="H1044" s="162"/>
      <c r="I1044" s="162"/>
      <c r="J1044" s="162"/>
      <c r="K1044" s="162"/>
      <c r="L1044" s="163"/>
    </row>
    <row r="1045" spans="2:12" ht="19.2" customHeight="1" x14ac:dyDescent="0.3">
      <c r="B1045" s="161"/>
      <c r="C1045" s="162"/>
      <c r="D1045" s="163"/>
      <c r="E1045" s="162"/>
      <c r="F1045" s="162"/>
      <c r="G1045" s="162"/>
      <c r="H1045" s="162"/>
      <c r="I1045" s="162"/>
      <c r="J1045" s="162"/>
      <c r="K1045" s="162"/>
      <c r="L1045" s="163"/>
    </row>
    <row r="1046" spans="2:12" ht="19.2" customHeight="1" x14ac:dyDescent="0.3">
      <c r="B1046" s="161"/>
      <c r="C1046" s="162"/>
      <c r="D1046" s="163"/>
      <c r="E1046" s="162"/>
      <c r="F1046" s="162"/>
      <c r="G1046" s="162"/>
      <c r="H1046" s="162"/>
      <c r="I1046" s="162"/>
      <c r="J1046" s="162"/>
      <c r="K1046" s="162"/>
      <c r="L1046" s="163"/>
    </row>
    <row r="1047" spans="2:12" ht="19.2" customHeight="1" x14ac:dyDescent="0.3">
      <c r="B1047" s="161"/>
      <c r="C1047" s="162"/>
      <c r="D1047" s="163"/>
      <c r="E1047" s="162"/>
      <c r="F1047" s="162"/>
      <c r="G1047" s="162"/>
      <c r="H1047" s="162"/>
      <c r="I1047" s="162"/>
      <c r="J1047" s="162"/>
      <c r="K1047" s="162"/>
      <c r="L1047" s="163"/>
    </row>
    <row r="1048" spans="2:12" ht="19.2" customHeight="1" x14ac:dyDescent="0.3">
      <c r="B1048" s="161"/>
      <c r="C1048" s="162"/>
      <c r="D1048" s="163"/>
      <c r="E1048" s="162"/>
      <c r="F1048" s="162"/>
      <c r="G1048" s="162"/>
      <c r="H1048" s="162"/>
      <c r="I1048" s="162"/>
      <c r="J1048" s="162"/>
      <c r="K1048" s="162"/>
      <c r="L1048" s="163"/>
    </row>
    <row r="1049" spans="2:12" ht="19.2" customHeight="1" x14ac:dyDescent="0.3">
      <c r="B1049" s="161"/>
      <c r="C1049" s="162"/>
      <c r="D1049" s="163"/>
      <c r="E1049" s="162"/>
      <c r="F1049" s="162"/>
      <c r="G1049" s="162"/>
      <c r="H1049" s="162"/>
      <c r="I1049" s="162"/>
      <c r="J1049" s="162"/>
      <c r="K1049" s="162"/>
      <c r="L1049" s="163"/>
    </row>
    <row r="1050" spans="2:12" ht="19.2" customHeight="1" x14ac:dyDescent="0.3">
      <c r="B1050" s="161"/>
      <c r="C1050" s="162"/>
      <c r="D1050" s="163"/>
      <c r="E1050" s="162"/>
      <c r="F1050" s="162"/>
      <c r="G1050" s="162"/>
      <c r="H1050" s="162"/>
      <c r="I1050" s="162"/>
      <c r="J1050" s="162"/>
      <c r="K1050" s="162"/>
      <c r="L1050" s="163"/>
    </row>
    <row r="1051" spans="2:12" ht="19.2" customHeight="1" x14ac:dyDescent="0.3">
      <c r="B1051" s="161"/>
      <c r="C1051" s="162"/>
      <c r="D1051" s="163"/>
      <c r="E1051" s="162"/>
      <c r="F1051" s="162"/>
      <c r="G1051" s="162"/>
      <c r="H1051" s="162"/>
      <c r="I1051" s="162"/>
      <c r="J1051" s="162"/>
      <c r="K1051" s="162"/>
      <c r="L1051" s="163"/>
    </row>
    <row r="1052" spans="2:12" ht="19.2" customHeight="1" x14ac:dyDescent="0.3">
      <c r="B1052" s="161"/>
      <c r="C1052" s="162"/>
      <c r="D1052" s="163"/>
      <c r="E1052" s="162"/>
      <c r="F1052" s="162"/>
      <c r="G1052" s="162"/>
      <c r="H1052" s="162"/>
      <c r="I1052" s="162"/>
      <c r="J1052" s="162"/>
      <c r="K1052" s="162"/>
      <c r="L1052" s="163"/>
    </row>
    <row r="1053" spans="2:12" ht="19.2" customHeight="1" x14ac:dyDescent="0.3">
      <c r="B1053" s="161"/>
      <c r="C1053" s="162"/>
      <c r="D1053" s="163"/>
      <c r="E1053" s="162"/>
      <c r="F1053" s="162"/>
      <c r="G1053" s="162"/>
      <c r="H1053" s="162"/>
      <c r="I1053" s="162"/>
      <c r="J1053" s="162"/>
      <c r="K1053" s="162"/>
      <c r="L1053" s="163"/>
    </row>
    <row r="1054" spans="2:12" ht="19.2" customHeight="1" x14ac:dyDescent="0.3">
      <c r="B1054" s="161"/>
      <c r="C1054" s="162"/>
      <c r="D1054" s="163"/>
      <c r="E1054" s="162"/>
      <c r="F1054" s="162"/>
      <c r="G1054" s="162"/>
      <c r="H1054" s="162"/>
      <c r="I1054" s="162"/>
      <c r="J1054" s="162"/>
      <c r="K1054" s="162"/>
      <c r="L1054" s="163"/>
    </row>
    <row r="1055" spans="2:12" ht="19.2" customHeight="1" x14ac:dyDescent="0.3">
      <c r="B1055" s="161"/>
      <c r="C1055" s="162"/>
      <c r="D1055" s="163"/>
      <c r="E1055" s="162"/>
      <c r="F1055" s="162"/>
      <c r="G1055" s="162"/>
      <c r="H1055" s="162"/>
      <c r="I1055" s="162"/>
      <c r="J1055" s="162"/>
      <c r="K1055" s="162"/>
      <c r="L1055" s="163"/>
    </row>
    <row r="1056" spans="2:12" ht="19.2" customHeight="1" x14ac:dyDescent="0.3">
      <c r="B1056" s="161"/>
      <c r="C1056" s="162"/>
      <c r="D1056" s="163"/>
      <c r="E1056" s="162"/>
      <c r="F1056" s="162"/>
      <c r="G1056" s="162"/>
      <c r="H1056" s="162"/>
      <c r="I1056" s="162"/>
      <c r="J1056" s="162"/>
      <c r="K1056" s="162"/>
      <c r="L1056" s="163"/>
    </row>
    <row r="1057" spans="2:12" ht="19.2" customHeight="1" x14ac:dyDescent="0.3">
      <c r="B1057" s="161"/>
      <c r="C1057" s="162"/>
      <c r="D1057" s="163"/>
      <c r="E1057" s="162"/>
      <c r="F1057" s="162"/>
      <c r="G1057" s="162"/>
      <c r="H1057" s="162"/>
      <c r="I1057" s="162"/>
      <c r="J1057" s="162"/>
      <c r="K1057" s="162"/>
      <c r="L1057" s="163"/>
    </row>
    <row r="1058" spans="2:12" ht="19.2" customHeight="1" x14ac:dyDescent="0.3">
      <c r="B1058" s="161"/>
      <c r="C1058" s="162"/>
      <c r="D1058" s="163"/>
      <c r="E1058" s="162"/>
      <c r="F1058" s="162"/>
      <c r="G1058" s="162"/>
      <c r="H1058" s="162"/>
      <c r="I1058" s="162"/>
      <c r="J1058" s="162"/>
      <c r="K1058" s="162"/>
      <c r="L1058" s="163"/>
    </row>
    <row r="1059" spans="2:12" ht="19.2" customHeight="1" x14ac:dyDescent="0.3">
      <c r="B1059" s="161"/>
      <c r="C1059" s="162"/>
      <c r="D1059" s="163"/>
      <c r="E1059" s="162"/>
      <c r="F1059" s="162"/>
      <c r="G1059" s="162"/>
      <c r="H1059" s="162"/>
      <c r="I1059" s="162"/>
      <c r="J1059" s="162"/>
      <c r="K1059" s="162"/>
      <c r="L1059" s="163"/>
    </row>
    <row r="1060" spans="2:12" ht="19.2" customHeight="1" x14ac:dyDescent="0.3">
      <c r="B1060" s="161"/>
      <c r="C1060" s="162"/>
      <c r="D1060" s="163"/>
      <c r="E1060" s="162"/>
      <c r="F1060" s="162"/>
      <c r="G1060" s="162"/>
      <c r="H1060" s="162"/>
      <c r="I1060" s="162"/>
      <c r="J1060" s="162"/>
      <c r="K1060" s="162"/>
      <c r="L1060" s="163"/>
    </row>
    <row r="1061" spans="2:12" ht="19.2" customHeight="1" x14ac:dyDescent="0.3">
      <c r="B1061" s="161"/>
      <c r="C1061" s="162"/>
      <c r="D1061" s="163"/>
      <c r="E1061" s="162"/>
      <c r="F1061" s="162"/>
      <c r="G1061" s="162"/>
      <c r="H1061" s="162"/>
      <c r="I1061" s="162"/>
      <c r="J1061" s="162"/>
      <c r="K1061" s="162"/>
      <c r="L1061" s="163"/>
    </row>
    <row r="1062" spans="2:12" ht="19.2" customHeight="1" x14ac:dyDescent="0.3">
      <c r="B1062" s="161"/>
      <c r="C1062" s="162"/>
      <c r="D1062" s="163"/>
      <c r="E1062" s="162"/>
      <c r="F1062" s="162"/>
      <c r="G1062" s="162"/>
      <c r="H1062" s="162"/>
      <c r="I1062" s="162"/>
      <c r="J1062" s="162"/>
      <c r="K1062" s="162"/>
      <c r="L1062" s="163"/>
    </row>
    <row r="1063" spans="2:12" ht="19.2" customHeight="1" x14ac:dyDescent="0.3">
      <c r="B1063" s="161"/>
      <c r="C1063" s="162"/>
      <c r="D1063" s="163"/>
      <c r="E1063" s="162"/>
      <c r="F1063" s="162"/>
      <c r="G1063" s="162"/>
      <c r="H1063" s="162"/>
      <c r="I1063" s="162"/>
      <c r="J1063" s="162"/>
      <c r="K1063" s="162"/>
      <c r="L1063" s="163"/>
    </row>
    <row r="1064" spans="2:12" ht="19.2" customHeight="1" x14ac:dyDescent="0.3">
      <c r="B1064" s="161"/>
      <c r="C1064" s="162"/>
      <c r="D1064" s="163"/>
      <c r="E1064" s="162"/>
      <c r="F1064" s="162"/>
      <c r="G1064" s="162"/>
      <c r="H1064" s="162"/>
      <c r="I1064" s="162"/>
      <c r="J1064" s="162"/>
      <c r="K1064" s="162"/>
      <c r="L1064" s="163"/>
    </row>
    <row r="1065" spans="2:12" ht="19.2" customHeight="1" x14ac:dyDescent="0.3">
      <c r="B1065" s="161"/>
      <c r="C1065" s="162"/>
      <c r="D1065" s="163"/>
      <c r="E1065" s="162"/>
      <c r="F1065" s="162"/>
      <c r="G1065" s="162"/>
      <c r="H1065" s="162"/>
      <c r="I1065" s="162"/>
      <c r="J1065" s="162"/>
      <c r="K1065" s="162"/>
      <c r="L1065" s="163"/>
    </row>
    <row r="1066" spans="2:12" ht="19.2" customHeight="1" x14ac:dyDescent="0.3">
      <c r="B1066" s="161"/>
      <c r="C1066" s="162"/>
      <c r="D1066" s="163"/>
      <c r="E1066" s="162"/>
      <c r="F1066" s="162"/>
      <c r="G1066" s="162"/>
      <c r="H1066" s="162"/>
      <c r="I1066" s="162"/>
      <c r="J1066" s="162"/>
      <c r="K1066" s="162"/>
      <c r="L1066" s="163"/>
    </row>
    <row r="1067" spans="2:12" ht="19.2" customHeight="1" x14ac:dyDescent="0.3">
      <c r="B1067" s="161"/>
      <c r="C1067" s="162"/>
      <c r="D1067" s="163"/>
      <c r="E1067" s="162"/>
      <c r="F1067" s="162"/>
      <c r="G1067" s="162"/>
      <c r="H1067" s="162"/>
      <c r="I1067" s="162"/>
      <c r="J1067" s="162"/>
      <c r="K1067" s="162"/>
      <c r="L1067" s="163"/>
    </row>
    <row r="1068" spans="2:12" ht="19.2" customHeight="1" x14ac:dyDescent="0.3">
      <c r="B1068" s="161"/>
      <c r="C1068" s="162"/>
      <c r="D1068" s="163"/>
      <c r="E1068" s="162"/>
      <c r="F1068" s="162"/>
      <c r="G1068" s="162"/>
      <c r="H1068" s="162"/>
      <c r="I1068" s="162"/>
      <c r="J1068" s="162"/>
      <c r="K1068" s="162"/>
      <c r="L1068" s="163"/>
    </row>
    <row r="1069" spans="2:12" ht="19.2" customHeight="1" x14ac:dyDescent="0.3">
      <c r="B1069" s="161"/>
      <c r="C1069" s="162"/>
      <c r="D1069" s="163"/>
      <c r="E1069" s="162"/>
      <c r="F1069" s="162"/>
      <c r="G1069" s="162"/>
      <c r="H1069" s="162"/>
      <c r="I1069" s="162"/>
      <c r="J1069" s="162"/>
      <c r="K1069" s="162"/>
      <c r="L1069" s="163"/>
    </row>
    <row r="1070" spans="2:12" ht="19.2" customHeight="1" x14ac:dyDescent="0.3">
      <c r="B1070" s="161"/>
      <c r="C1070" s="162"/>
      <c r="D1070" s="163"/>
      <c r="E1070" s="162"/>
      <c r="F1070" s="162"/>
      <c r="G1070" s="162"/>
      <c r="H1070" s="162"/>
      <c r="I1070" s="162"/>
      <c r="J1070" s="162"/>
      <c r="K1070" s="162"/>
      <c r="L1070" s="163"/>
    </row>
    <row r="1071" spans="2:12" ht="19.2" customHeight="1" x14ac:dyDescent="0.3">
      <c r="B1071" s="161"/>
      <c r="C1071" s="162"/>
      <c r="D1071" s="163"/>
      <c r="E1071" s="162"/>
      <c r="F1071" s="162"/>
      <c r="G1071" s="162"/>
      <c r="H1071" s="162"/>
      <c r="I1071" s="162"/>
      <c r="J1071" s="162"/>
      <c r="K1071" s="162"/>
      <c r="L1071" s="163"/>
    </row>
    <row r="1072" spans="2:12" ht="19.2" customHeight="1" x14ac:dyDescent="0.3">
      <c r="B1072" s="161"/>
      <c r="C1072" s="162"/>
      <c r="D1072" s="163"/>
      <c r="E1072" s="162"/>
      <c r="F1072" s="162"/>
      <c r="G1072" s="162"/>
      <c r="H1072" s="162"/>
      <c r="I1072" s="162"/>
      <c r="J1072" s="162"/>
      <c r="K1072" s="162"/>
      <c r="L1072" s="163"/>
    </row>
    <row r="1073" spans="2:12" ht="19.2" customHeight="1" x14ac:dyDescent="0.3">
      <c r="B1073" s="161"/>
      <c r="C1073" s="162"/>
      <c r="D1073" s="163"/>
      <c r="E1073" s="162"/>
      <c r="F1073" s="162"/>
      <c r="G1073" s="162"/>
      <c r="H1073" s="162"/>
      <c r="I1073" s="162"/>
      <c r="J1073" s="162"/>
      <c r="K1073" s="162"/>
      <c r="L1073" s="163"/>
    </row>
    <row r="1074" spans="2:12" ht="19.2" customHeight="1" x14ac:dyDescent="0.3">
      <c r="B1074" s="161"/>
      <c r="C1074" s="162"/>
      <c r="D1074" s="163"/>
      <c r="E1074" s="162"/>
      <c r="F1074" s="162"/>
      <c r="G1074" s="162"/>
      <c r="H1074" s="162"/>
      <c r="I1074" s="162"/>
      <c r="J1074" s="162"/>
      <c r="K1074" s="162"/>
      <c r="L1074" s="163"/>
    </row>
    <row r="1075" spans="2:12" ht="19.2" customHeight="1" x14ac:dyDescent="0.3">
      <c r="B1075" s="161"/>
      <c r="C1075" s="162"/>
      <c r="D1075" s="163"/>
      <c r="E1075" s="162"/>
      <c r="F1075" s="162"/>
      <c r="G1075" s="162"/>
      <c r="H1075" s="162"/>
      <c r="I1075" s="162"/>
      <c r="J1075" s="162"/>
      <c r="K1075" s="162"/>
      <c r="L1075" s="163"/>
    </row>
    <row r="1076" spans="2:12" ht="19.2" customHeight="1" x14ac:dyDescent="0.3">
      <c r="B1076" s="161"/>
      <c r="C1076" s="162"/>
      <c r="D1076" s="163"/>
      <c r="E1076" s="162"/>
      <c r="F1076" s="162"/>
      <c r="G1076" s="162"/>
      <c r="H1076" s="162"/>
      <c r="I1076" s="162"/>
      <c r="J1076" s="162"/>
      <c r="K1076" s="162"/>
      <c r="L1076" s="163"/>
    </row>
    <row r="1077" spans="2:12" ht="19.2" customHeight="1" x14ac:dyDescent="0.3">
      <c r="B1077" s="161"/>
      <c r="C1077" s="162"/>
      <c r="D1077" s="163"/>
      <c r="E1077" s="162"/>
      <c r="F1077" s="162"/>
      <c r="G1077" s="162"/>
      <c r="H1077" s="162"/>
      <c r="I1077" s="162"/>
      <c r="J1077" s="162"/>
      <c r="K1077" s="162"/>
      <c r="L1077" s="163"/>
    </row>
    <row r="1078" spans="2:12" ht="19.2" customHeight="1" x14ac:dyDescent="0.3">
      <c r="B1078" s="161"/>
      <c r="C1078" s="162"/>
      <c r="D1078" s="163"/>
      <c r="E1078" s="162"/>
      <c r="F1078" s="162"/>
      <c r="G1078" s="162"/>
      <c r="H1078" s="162"/>
      <c r="I1078" s="162"/>
      <c r="J1078" s="162"/>
      <c r="K1078" s="162"/>
      <c r="L1078" s="163"/>
    </row>
    <row r="1079" spans="2:12" ht="19.2" customHeight="1" x14ac:dyDescent="0.3">
      <c r="B1079" s="161"/>
      <c r="C1079" s="162"/>
      <c r="D1079" s="163"/>
      <c r="E1079" s="162"/>
      <c r="F1079" s="162"/>
      <c r="G1079" s="162"/>
      <c r="H1079" s="162"/>
      <c r="I1079" s="162"/>
      <c r="J1079" s="162"/>
      <c r="K1079" s="162"/>
      <c r="L1079" s="163"/>
    </row>
    <row r="1080" spans="2:12" ht="19.2" customHeight="1" x14ac:dyDescent="0.3">
      <c r="B1080" s="161"/>
      <c r="C1080" s="162"/>
      <c r="D1080" s="163"/>
      <c r="E1080" s="162"/>
      <c r="F1080" s="162"/>
      <c r="G1080" s="162"/>
      <c r="H1080" s="162"/>
      <c r="I1080" s="162"/>
      <c r="J1080" s="162"/>
      <c r="K1080" s="162"/>
      <c r="L1080" s="163"/>
    </row>
    <row r="1081" spans="2:12" ht="19.2" customHeight="1" x14ac:dyDescent="0.3">
      <c r="B1081" s="161"/>
      <c r="C1081" s="162"/>
      <c r="D1081" s="163"/>
      <c r="E1081" s="162"/>
      <c r="F1081" s="162"/>
      <c r="G1081" s="162"/>
      <c r="H1081" s="162"/>
      <c r="I1081" s="162"/>
      <c r="J1081" s="162"/>
      <c r="K1081" s="162"/>
      <c r="L1081" s="163"/>
    </row>
    <row r="1082" spans="2:12" ht="19.2" customHeight="1" x14ac:dyDescent="0.3">
      <c r="B1082" s="161"/>
      <c r="C1082" s="162"/>
      <c r="D1082" s="163"/>
      <c r="E1082" s="162"/>
      <c r="F1082" s="162"/>
      <c r="G1082" s="162"/>
      <c r="H1082" s="162"/>
      <c r="I1082" s="162"/>
      <c r="J1082" s="162"/>
      <c r="K1082" s="162"/>
      <c r="L1082" s="163"/>
    </row>
    <row r="1083" spans="2:12" ht="19.2" customHeight="1" x14ac:dyDescent="0.3">
      <c r="B1083" s="161"/>
      <c r="C1083" s="162"/>
      <c r="D1083" s="163"/>
      <c r="E1083" s="162"/>
      <c r="F1083" s="162"/>
      <c r="G1083" s="162"/>
      <c r="H1083" s="162"/>
      <c r="I1083" s="162"/>
      <c r="J1083" s="162"/>
      <c r="K1083" s="162"/>
      <c r="L1083" s="163"/>
    </row>
    <row r="1084" spans="2:12" ht="19.2" customHeight="1" x14ac:dyDescent="0.3">
      <c r="B1084" s="161"/>
      <c r="C1084" s="162"/>
      <c r="D1084" s="163"/>
      <c r="E1084" s="162"/>
      <c r="F1084" s="162"/>
      <c r="G1084" s="162"/>
      <c r="H1084" s="162"/>
      <c r="I1084" s="162"/>
      <c r="J1084" s="162"/>
      <c r="K1084" s="162"/>
      <c r="L1084" s="163"/>
    </row>
    <row r="1085" spans="2:12" ht="19.2" customHeight="1" x14ac:dyDescent="0.3">
      <c r="B1085" s="161"/>
      <c r="C1085" s="162"/>
      <c r="D1085" s="163"/>
      <c r="E1085" s="162"/>
      <c r="F1085" s="162"/>
      <c r="G1085" s="162"/>
      <c r="H1085" s="162"/>
      <c r="I1085" s="162"/>
      <c r="J1085" s="162"/>
      <c r="K1085" s="162"/>
      <c r="L1085" s="163"/>
    </row>
    <row r="1086" spans="2:12" ht="19.2" customHeight="1" x14ac:dyDescent="0.3">
      <c r="B1086" s="161"/>
      <c r="C1086" s="162"/>
      <c r="D1086" s="163"/>
      <c r="E1086" s="162"/>
      <c r="F1086" s="162"/>
      <c r="G1086" s="162"/>
      <c r="H1086" s="162"/>
      <c r="I1086" s="162"/>
      <c r="J1086" s="162"/>
      <c r="K1086" s="162"/>
      <c r="L1086" s="163"/>
    </row>
    <row r="1087" spans="2:12" ht="19.2" customHeight="1" x14ac:dyDescent="0.3">
      <c r="B1087" s="161"/>
      <c r="C1087" s="162"/>
      <c r="D1087" s="163"/>
      <c r="E1087" s="162"/>
      <c r="F1087" s="162"/>
      <c r="G1087" s="162"/>
      <c r="H1087" s="162"/>
      <c r="I1087" s="162"/>
      <c r="J1087" s="162"/>
      <c r="K1087" s="162"/>
      <c r="L1087" s="163"/>
    </row>
    <row r="1088" spans="2:12" ht="19.2" customHeight="1" x14ac:dyDescent="0.3">
      <c r="B1088" s="161"/>
      <c r="C1088" s="162"/>
      <c r="D1088" s="163"/>
      <c r="E1088" s="162"/>
      <c r="F1088" s="162"/>
      <c r="G1088" s="162"/>
      <c r="H1088" s="162"/>
      <c r="I1088" s="162"/>
      <c r="J1088" s="162"/>
      <c r="K1088" s="162"/>
      <c r="L1088" s="163"/>
    </row>
    <row r="1089" spans="2:12" ht="19.2" customHeight="1" x14ac:dyDescent="0.3">
      <c r="B1089" s="161"/>
      <c r="C1089" s="162"/>
      <c r="D1089" s="163"/>
      <c r="E1089" s="162"/>
      <c r="F1089" s="162"/>
      <c r="G1089" s="162"/>
      <c r="H1089" s="162"/>
      <c r="I1089" s="162"/>
      <c r="J1089" s="162"/>
      <c r="K1089" s="162"/>
      <c r="L1089" s="163"/>
    </row>
    <row r="1090" spans="2:12" ht="19.2" customHeight="1" x14ac:dyDescent="0.3">
      <c r="B1090" s="161"/>
      <c r="C1090" s="162"/>
      <c r="D1090" s="163"/>
      <c r="E1090" s="162"/>
      <c r="F1090" s="162"/>
      <c r="G1090" s="162"/>
      <c r="H1090" s="162"/>
      <c r="I1090" s="162"/>
      <c r="J1090" s="162"/>
      <c r="K1090" s="162"/>
      <c r="L1090" s="163"/>
    </row>
    <row r="1091" spans="2:12" ht="19.2" customHeight="1" x14ac:dyDescent="0.3">
      <c r="B1091" s="161"/>
      <c r="C1091" s="162"/>
      <c r="D1091" s="163"/>
      <c r="E1091" s="162"/>
      <c r="F1091" s="162"/>
      <c r="G1091" s="162"/>
      <c r="H1091" s="162"/>
      <c r="I1091" s="162"/>
      <c r="J1091" s="162"/>
      <c r="K1091" s="162"/>
      <c r="L1091" s="163"/>
    </row>
    <row r="1092" spans="2:12" ht="19.2" customHeight="1" x14ac:dyDescent="0.3">
      <c r="B1092" s="161"/>
      <c r="C1092" s="162"/>
      <c r="D1092" s="163"/>
      <c r="E1092" s="162"/>
      <c r="F1092" s="162"/>
      <c r="G1092" s="162"/>
      <c r="H1092" s="162"/>
      <c r="I1092" s="162"/>
      <c r="J1092" s="162"/>
      <c r="K1092" s="162"/>
      <c r="L1092" s="163"/>
    </row>
    <row r="1093" spans="2:12" ht="19.2" customHeight="1" x14ac:dyDescent="0.3">
      <c r="B1093" s="161"/>
      <c r="C1093" s="162"/>
      <c r="D1093" s="163"/>
      <c r="E1093" s="162"/>
      <c r="F1093" s="162"/>
      <c r="G1093" s="162"/>
      <c r="H1093" s="162"/>
      <c r="I1093" s="162"/>
      <c r="J1093" s="162"/>
      <c r="K1093" s="162"/>
      <c r="L1093" s="163"/>
    </row>
    <row r="1094" spans="2:12" ht="19.2" customHeight="1" x14ac:dyDescent="0.3">
      <c r="B1094" s="161"/>
      <c r="C1094" s="162"/>
      <c r="D1094" s="163"/>
      <c r="E1094" s="162"/>
      <c r="F1094" s="162"/>
      <c r="G1094" s="162"/>
      <c r="H1094" s="162"/>
      <c r="I1094" s="162"/>
      <c r="J1094" s="162"/>
      <c r="K1094" s="162"/>
      <c r="L1094" s="163"/>
    </row>
    <row r="1095" spans="2:12" ht="19.2" customHeight="1" x14ac:dyDescent="0.3">
      <c r="B1095" s="161"/>
      <c r="C1095" s="162"/>
      <c r="D1095" s="163"/>
      <c r="E1095" s="162"/>
      <c r="F1095" s="162"/>
      <c r="G1095" s="162"/>
      <c r="H1095" s="162"/>
      <c r="I1095" s="162"/>
      <c r="J1095" s="162"/>
      <c r="K1095" s="162"/>
      <c r="L1095" s="163"/>
    </row>
    <row r="1096" spans="2:12" ht="19.2" customHeight="1" x14ac:dyDescent="0.3">
      <c r="B1096" s="161"/>
      <c r="C1096" s="162"/>
      <c r="D1096" s="163"/>
      <c r="E1096" s="162"/>
      <c r="F1096" s="162"/>
      <c r="G1096" s="162"/>
      <c r="H1096" s="162"/>
      <c r="I1096" s="162"/>
      <c r="J1096" s="162"/>
      <c r="K1096" s="162"/>
      <c r="L1096" s="163"/>
    </row>
    <row r="1097" spans="2:12" ht="19.2" customHeight="1" x14ac:dyDescent="0.3">
      <c r="B1097" s="161"/>
      <c r="C1097" s="162"/>
      <c r="D1097" s="163"/>
      <c r="E1097" s="162"/>
      <c r="F1097" s="162"/>
      <c r="G1097" s="162"/>
      <c r="H1097" s="162"/>
      <c r="I1097" s="162"/>
      <c r="J1097" s="162"/>
      <c r="K1097" s="162"/>
      <c r="L1097" s="163"/>
    </row>
    <row r="1098" spans="2:12" ht="19.2" customHeight="1" x14ac:dyDescent="0.3">
      <c r="B1098" s="161"/>
      <c r="C1098" s="162"/>
      <c r="D1098" s="163"/>
      <c r="E1098" s="162"/>
      <c r="F1098" s="162"/>
      <c r="G1098" s="162"/>
      <c r="H1098" s="162"/>
      <c r="I1098" s="162"/>
      <c r="J1098" s="162"/>
      <c r="K1098" s="162"/>
      <c r="L1098" s="163"/>
    </row>
    <row r="1099" spans="2:12" ht="19.2" customHeight="1" x14ac:dyDescent="0.3">
      <c r="B1099" s="161"/>
      <c r="C1099" s="162"/>
      <c r="D1099" s="163"/>
      <c r="E1099" s="162"/>
      <c r="F1099" s="162"/>
      <c r="G1099" s="162"/>
      <c r="H1099" s="162"/>
      <c r="I1099" s="162"/>
      <c r="J1099" s="162"/>
      <c r="K1099" s="162"/>
      <c r="L1099" s="163"/>
    </row>
    <row r="1100" spans="2:12" ht="19.2" customHeight="1" x14ac:dyDescent="0.3">
      <c r="B1100" s="161"/>
      <c r="C1100" s="162"/>
      <c r="D1100" s="163"/>
      <c r="E1100" s="162"/>
      <c r="F1100" s="162"/>
      <c r="G1100" s="162"/>
      <c r="H1100" s="162"/>
      <c r="I1100" s="162"/>
      <c r="J1100" s="162"/>
      <c r="K1100" s="162"/>
      <c r="L1100" s="163"/>
    </row>
    <row r="1101" spans="2:12" ht="19.2" customHeight="1" x14ac:dyDescent="0.3">
      <c r="B1101" s="161"/>
      <c r="C1101" s="162"/>
      <c r="D1101" s="163"/>
      <c r="E1101" s="162"/>
      <c r="F1101" s="162"/>
      <c r="G1101" s="162"/>
      <c r="H1101" s="162"/>
      <c r="I1101" s="162"/>
      <c r="J1101" s="162"/>
      <c r="K1101" s="162"/>
      <c r="L1101" s="163"/>
    </row>
    <row r="1102" spans="2:12" ht="19.2" customHeight="1" x14ac:dyDescent="0.3">
      <c r="B1102" s="161"/>
      <c r="C1102" s="162"/>
      <c r="D1102" s="163"/>
      <c r="E1102" s="162"/>
      <c r="F1102" s="162"/>
      <c r="G1102" s="162"/>
      <c r="H1102" s="162"/>
      <c r="I1102" s="162"/>
      <c r="J1102" s="162"/>
      <c r="K1102" s="162"/>
      <c r="L1102" s="163"/>
    </row>
    <row r="1103" spans="2:12" ht="19.2" customHeight="1" x14ac:dyDescent="0.3">
      <c r="B1103" s="161"/>
      <c r="C1103" s="162"/>
      <c r="D1103" s="163"/>
      <c r="E1103" s="162"/>
      <c r="F1103" s="162"/>
      <c r="G1103" s="162"/>
      <c r="H1103" s="162"/>
      <c r="I1103" s="162"/>
      <c r="J1103" s="162"/>
      <c r="K1103" s="162"/>
      <c r="L1103" s="163"/>
    </row>
    <row r="1104" spans="2:12" ht="19.2" customHeight="1" x14ac:dyDescent="0.3">
      <c r="B1104" s="161"/>
      <c r="C1104" s="162"/>
      <c r="D1104" s="163"/>
      <c r="E1104" s="162"/>
      <c r="F1104" s="162"/>
      <c r="G1104" s="162"/>
      <c r="H1104" s="162"/>
      <c r="I1104" s="162"/>
      <c r="J1104" s="162"/>
      <c r="K1104" s="162"/>
      <c r="L1104" s="163"/>
    </row>
    <row r="1105" spans="2:12" ht="19.2" customHeight="1" x14ac:dyDescent="0.3">
      <c r="B1105" s="161"/>
      <c r="C1105" s="162"/>
      <c r="D1105" s="163"/>
      <c r="E1105" s="162"/>
      <c r="F1105" s="162"/>
      <c r="G1105" s="162"/>
      <c r="H1105" s="162"/>
      <c r="I1105" s="162"/>
      <c r="J1105" s="162"/>
      <c r="K1105" s="162"/>
      <c r="L1105" s="163"/>
    </row>
    <row r="1106" spans="2:12" ht="19.2" customHeight="1" x14ac:dyDescent="0.3">
      <c r="B1106" s="161"/>
      <c r="C1106" s="162"/>
      <c r="D1106" s="163"/>
      <c r="E1106" s="162"/>
      <c r="F1106" s="162"/>
      <c r="G1106" s="162"/>
      <c r="H1106" s="162"/>
      <c r="I1106" s="162"/>
      <c r="J1106" s="162"/>
      <c r="K1106" s="162"/>
      <c r="L1106" s="163"/>
    </row>
    <row r="1107" spans="2:12" ht="19.2" customHeight="1" x14ac:dyDescent="0.3">
      <c r="B1107" s="161"/>
      <c r="C1107" s="162"/>
      <c r="D1107" s="163"/>
      <c r="E1107" s="162"/>
      <c r="F1107" s="162"/>
      <c r="G1107" s="162"/>
      <c r="H1107" s="162"/>
      <c r="I1107" s="162"/>
      <c r="J1107" s="162"/>
      <c r="K1107" s="162"/>
      <c r="L1107" s="163"/>
    </row>
    <row r="1108" spans="2:12" ht="19.2" customHeight="1" x14ac:dyDescent="0.3">
      <c r="B1108" s="161"/>
      <c r="C1108" s="162"/>
      <c r="D1108" s="163"/>
      <c r="E1108" s="162"/>
      <c r="F1108" s="162"/>
      <c r="G1108" s="162"/>
      <c r="H1108" s="162"/>
      <c r="I1108" s="162"/>
      <c r="J1108" s="162"/>
      <c r="K1108" s="162"/>
      <c r="L1108" s="163"/>
    </row>
    <row r="1109" spans="2:12" ht="19.2" customHeight="1" x14ac:dyDescent="0.3">
      <c r="B1109" s="161"/>
      <c r="C1109" s="162"/>
      <c r="D1109" s="163"/>
      <c r="E1109" s="162"/>
      <c r="F1109" s="162"/>
      <c r="G1109" s="162"/>
      <c r="H1109" s="162"/>
      <c r="I1109" s="162"/>
      <c r="J1109" s="162"/>
      <c r="K1109" s="162"/>
      <c r="L1109" s="163"/>
    </row>
    <row r="1110" spans="2:12" ht="19.2" customHeight="1" x14ac:dyDescent="0.3">
      <c r="B1110" s="161"/>
      <c r="C1110" s="162"/>
      <c r="D1110" s="163"/>
      <c r="E1110" s="162"/>
      <c r="F1110" s="162"/>
      <c r="G1110" s="162"/>
      <c r="H1110" s="162"/>
      <c r="I1110" s="162"/>
      <c r="J1110" s="162"/>
      <c r="K1110" s="162"/>
      <c r="L1110" s="163"/>
    </row>
    <row r="1111" spans="2:12" ht="19.2" customHeight="1" x14ac:dyDescent="0.3">
      <c r="B1111" s="161"/>
      <c r="C1111" s="162"/>
      <c r="D1111" s="163"/>
      <c r="E1111" s="162"/>
      <c r="F1111" s="162"/>
      <c r="G1111" s="162"/>
      <c r="H1111" s="162"/>
      <c r="I1111" s="162"/>
      <c r="J1111" s="162"/>
      <c r="K1111" s="162"/>
      <c r="L1111" s="163"/>
    </row>
    <row r="1112" spans="2:12" ht="19.2" customHeight="1" x14ac:dyDescent="0.3">
      <c r="B1112" s="161"/>
      <c r="C1112" s="162"/>
      <c r="D1112" s="163"/>
      <c r="E1112" s="162"/>
      <c r="F1112" s="162"/>
      <c r="G1112" s="162"/>
      <c r="H1112" s="162"/>
      <c r="I1112" s="162"/>
      <c r="J1112" s="162"/>
      <c r="K1112" s="162"/>
      <c r="L1112" s="163"/>
    </row>
    <row r="1113" spans="2:12" ht="19.2" customHeight="1" x14ac:dyDescent="0.3">
      <c r="B1113" s="161"/>
      <c r="C1113" s="162"/>
      <c r="D1113" s="163"/>
      <c r="E1113" s="162"/>
      <c r="F1113" s="162"/>
      <c r="G1113" s="162"/>
      <c r="H1113" s="162"/>
      <c r="I1113" s="162"/>
      <c r="J1113" s="162"/>
      <c r="K1113" s="162"/>
      <c r="L1113" s="163"/>
    </row>
    <row r="1114" spans="2:12" ht="19.2" customHeight="1" x14ac:dyDescent="0.3">
      <c r="B1114" s="161"/>
      <c r="C1114" s="162"/>
      <c r="D1114" s="163"/>
      <c r="E1114" s="162"/>
      <c r="F1114" s="162"/>
      <c r="G1114" s="162"/>
      <c r="H1114" s="162"/>
      <c r="I1114" s="162"/>
      <c r="J1114" s="162"/>
      <c r="K1114" s="162"/>
      <c r="L1114" s="163"/>
    </row>
    <row r="1115" spans="2:12" ht="19.2" customHeight="1" x14ac:dyDescent="0.3">
      <c r="B1115" s="161"/>
      <c r="C1115" s="162"/>
      <c r="D1115" s="163"/>
      <c r="E1115" s="162"/>
      <c r="F1115" s="162"/>
      <c r="G1115" s="162"/>
      <c r="H1115" s="162"/>
      <c r="I1115" s="162"/>
      <c r="J1115" s="162"/>
      <c r="K1115" s="162"/>
      <c r="L1115" s="163"/>
    </row>
    <row r="1116" spans="2:12" ht="19.2" customHeight="1" x14ac:dyDescent="0.3">
      <c r="B1116" s="161"/>
      <c r="C1116" s="162"/>
      <c r="D1116" s="163"/>
      <c r="E1116" s="162"/>
      <c r="F1116" s="162"/>
      <c r="G1116" s="162"/>
      <c r="H1116" s="162"/>
      <c r="I1116" s="162"/>
      <c r="J1116" s="162"/>
      <c r="K1116" s="162"/>
      <c r="L1116" s="163"/>
    </row>
    <row r="1117" spans="2:12" ht="19.2" customHeight="1" x14ac:dyDescent="0.3">
      <c r="B1117" s="161"/>
      <c r="C1117" s="162"/>
      <c r="D1117" s="163"/>
      <c r="E1117" s="162"/>
      <c r="F1117" s="162"/>
      <c r="G1117" s="162"/>
      <c r="H1117" s="162"/>
      <c r="I1117" s="162"/>
      <c r="J1117" s="162"/>
      <c r="K1117" s="162"/>
      <c r="L1117" s="163"/>
    </row>
    <row r="1118" spans="2:12" ht="19.2" customHeight="1" x14ac:dyDescent="0.3">
      <c r="B1118" s="161"/>
      <c r="C1118" s="162"/>
      <c r="D1118" s="163"/>
      <c r="E1118" s="162"/>
      <c r="F1118" s="162"/>
      <c r="G1118" s="162"/>
      <c r="H1118" s="162"/>
      <c r="I1118" s="162"/>
      <c r="J1118" s="162"/>
      <c r="K1118" s="162"/>
      <c r="L1118" s="163"/>
    </row>
    <row r="1119" spans="2:12" ht="19.2" customHeight="1" x14ac:dyDescent="0.3">
      <c r="B1119" s="161"/>
      <c r="C1119" s="162"/>
      <c r="D1119" s="163"/>
      <c r="E1119" s="162"/>
      <c r="F1119" s="162"/>
      <c r="G1119" s="162"/>
      <c r="H1119" s="162"/>
      <c r="I1119" s="162"/>
      <c r="J1119" s="162"/>
      <c r="K1119" s="162"/>
      <c r="L1119" s="163"/>
    </row>
    <row r="1120" spans="2:12" ht="19.2" customHeight="1" x14ac:dyDescent="0.3">
      <c r="B1120" s="161"/>
      <c r="C1120" s="162"/>
      <c r="D1120" s="163"/>
      <c r="E1120" s="162"/>
      <c r="F1120" s="162"/>
      <c r="G1120" s="162"/>
      <c r="H1120" s="162"/>
      <c r="I1120" s="162"/>
      <c r="J1120" s="162"/>
      <c r="K1120" s="162"/>
      <c r="L1120" s="163"/>
    </row>
    <row r="1121" spans="2:12" ht="19.2" customHeight="1" x14ac:dyDescent="0.3">
      <c r="B1121" s="161"/>
      <c r="C1121" s="162"/>
      <c r="D1121" s="163"/>
      <c r="E1121" s="162"/>
      <c r="F1121" s="162"/>
      <c r="G1121" s="162"/>
      <c r="H1121" s="162"/>
      <c r="I1121" s="162"/>
      <c r="J1121" s="162"/>
      <c r="K1121" s="162"/>
      <c r="L1121" s="163"/>
    </row>
    <row r="1122" spans="2:12" ht="19.2" customHeight="1" x14ac:dyDescent="0.3">
      <c r="B1122" s="161"/>
      <c r="C1122" s="162"/>
      <c r="D1122" s="163"/>
      <c r="E1122" s="162"/>
      <c r="F1122" s="162"/>
      <c r="G1122" s="162"/>
      <c r="H1122" s="162"/>
      <c r="I1122" s="162"/>
      <c r="J1122" s="162"/>
      <c r="K1122" s="162"/>
      <c r="L1122" s="163"/>
    </row>
    <row r="1123" spans="2:12" ht="19.2" customHeight="1" x14ac:dyDescent="0.3">
      <c r="B1123" s="161"/>
      <c r="C1123" s="162"/>
      <c r="D1123" s="163"/>
      <c r="E1123" s="162"/>
      <c r="F1123" s="162"/>
      <c r="G1123" s="162"/>
      <c r="H1123" s="162"/>
      <c r="I1123" s="162"/>
      <c r="J1123" s="162"/>
      <c r="K1123" s="162"/>
      <c r="L1123" s="163"/>
    </row>
    <row r="1124" spans="2:12" ht="19.2" customHeight="1" x14ac:dyDescent="0.3">
      <c r="B1124" s="161"/>
      <c r="C1124" s="162"/>
      <c r="D1124" s="163"/>
      <c r="E1124" s="162"/>
      <c r="F1124" s="162"/>
      <c r="G1124" s="162"/>
      <c r="H1124" s="162"/>
      <c r="I1124" s="162"/>
      <c r="J1124" s="162"/>
      <c r="K1124" s="162"/>
      <c r="L1124" s="163"/>
    </row>
    <row r="1125" spans="2:12" ht="19.2" customHeight="1" x14ac:dyDescent="0.3">
      <c r="B1125" s="161"/>
      <c r="C1125" s="162"/>
      <c r="D1125" s="163"/>
      <c r="E1125" s="162"/>
      <c r="F1125" s="162"/>
      <c r="G1125" s="162"/>
      <c r="H1125" s="162"/>
      <c r="I1125" s="162"/>
      <c r="J1125" s="162"/>
      <c r="K1125" s="162"/>
      <c r="L1125" s="163"/>
    </row>
    <row r="1126" spans="2:12" ht="19.2" customHeight="1" x14ac:dyDescent="0.3">
      <c r="B1126" s="161"/>
      <c r="C1126" s="162"/>
      <c r="D1126" s="163"/>
      <c r="E1126" s="162"/>
      <c r="F1126" s="162"/>
      <c r="G1126" s="162"/>
      <c r="H1126" s="162"/>
      <c r="I1126" s="162"/>
      <c r="J1126" s="162"/>
      <c r="K1126" s="162"/>
      <c r="L1126" s="163"/>
    </row>
    <row r="1127" spans="2:12" ht="19.2" customHeight="1" x14ac:dyDescent="0.3">
      <c r="B1127" s="161"/>
      <c r="C1127" s="162"/>
      <c r="D1127" s="163"/>
      <c r="E1127" s="162"/>
      <c r="F1127" s="162"/>
      <c r="G1127" s="162"/>
      <c r="H1127" s="162"/>
      <c r="I1127" s="162"/>
      <c r="J1127" s="162"/>
      <c r="K1127" s="162"/>
      <c r="L1127" s="163"/>
    </row>
    <row r="1128" spans="2:12" ht="19.2" customHeight="1" x14ac:dyDescent="0.3">
      <c r="B1128" s="161"/>
      <c r="C1128" s="162"/>
      <c r="D1128" s="163"/>
      <c r="E1128" s="162"/>
      <c r="F1128" s="162"/>
      <c r="G1128" s="162"/>
      <c r="H1128" s="162"/>
      <c r="I1128" s="162"/>
      <c r="J1128" s="162"/>
      <c r="K1128" s="162"/>
      <c r="L1128" s="163"/>
    </row>
    <row r="1129" spans="2:12" ht="19.2" customHeight="1" x14ac:dyDescent="0.3">
      <c r="B1129" s="161"/>
      <c r="C1129" s="162"/>
      <c r="D1129" s="163"/>
      <c r="E1129" s="162"/>
      <c r="F1129" s="162"/>
      <c r="G1129" s="162"/>
      <c r="H1129" s="162"/>
      <c r="I1129" s="162"/>
      <c r="J1129" s="162"/>
      <c r="K1129" s="162"/>
      <c r="L1129" s="163"/>
    </row>
    <row r="1130" spans="2:12" ht="19.2" customHeight="1" x14ac:dyDescent="0.3">
      <c r="B1130" s="161"/>
      <c r="C1130" s="162"/>
      <c r="D1130" s="163"/>
      <c r="E1130" s="162"/>
      <c r="F1130" s="162"/>
      <c r="G1130" s="162"/>
      <c r="H1130" s="162"/>
      <c r="I1130" s="162"/>
      <c r="J1130" s="162"/>
      <c r="K1130" s="162"/>
      <c r="L1130" s="163"/>
    </row>
    <row r="1131" spans="2:12" ht="19.2" customHeight="1" x14ac:dyDescent="0.3">
      <c r="B1131" s="161"/>
      <c r="C1131" s="162"/>
      <c r="D1131" s="163"/>
      <c r="E1131" s="162"/>
      <c r="F1131" s="162"/>
      <c r="G1131" s="162"/>
      <c r="H1131" s="162"/>
      <c r="I1131" s="162"/>
      <c r="J1131" s="162"/>
      <c r="K1131" s="162"/>
      <c r="L1131" s="163"/>
    </row>
    <row r="1132" spans="2:12" ht="19.2" customHeight="1" x14ac:dyDescent="0.3">
      <c r="B1132" s="161"/>
      <c r="C1132" s="162"/>
      <c r="D1132" s="163"/>
      <c r="E1132" s="162"/>
      <c r="F1132" s="162"/>
      <c r="G1132" s="162"/>
      <c r="H1132" s="162"/>
      <c r="I1132" s="162"/>
      <c r="J1132" s="162"/>
      <c r="K1132" s="162"/>
      <c r="L1132" s="163"/>
    </row>
    <row r="1133" spans="2:12" ht="19.2" customHeight="1" x14ac:dyDescent="0.3">
      <c r="B1133" s="161"/>
      <c r="C1133" s="162"/>
      <c r="D1133" s="163"/>
      <c r="E1133" s="162"/>
      <c r="F1133" s="162"/>
      <c r="G1133" s="162"/>
      <c r="H1133" s="162"/>
      <c r="I1133" s="162"/>
      <c r="J1133" s="162"/>
      <c r="K1133" s="162"/>
      <c r="L1133" s="163"/>
    </row>
    <row r="1134" spans="2:12" ht="19.2" customHeight="1" x14ac:dyDescent="0.3">
      <c r="B1134" s="161"/>
      <c r="C1134" s="162"/>
      <c r="D1134" s="163"/>
      <c r="E1134" s="162"/>
      <c r="F1134" s="162"/>
      <c r="G1134" s="162"/>
      <c r="H1134" s="162"/>
      <c r="I1134" s="162"/>
      <c r="J1134" s="162"/>
      <c r="K1134" s="162"/>
      <c r="L1134" s="163"/>
    </row>
    <row r="1135" spans="2:12" ht="19.2" customHeight="1" x14ac:dyDescent="0.3">
      <c r="B1135" s="161"/>
      <c r="C1135" s="162"/>
      <c r="D1135" s="163"/>
      <c r="E1135" s="162"/>
      <c r="F1135" s="162"/>
      <c r="G1135" s="162"/>
      <c r="H1135" s="162"/>
      <c r="I1135" s="162"/>
      <c r="J1135" s="162"/>
      <c r="K1135" s="162"/>
      <c r="L1135" s="163"/>
    </row>
    <row r="1136" spans="2:12" ht="19.2" customHeight="1" x14ac:dyDescent="0.3">
      <c r="B1136" s="161"/>
      <c r="C1136" s="162"/>
      <c r="D1136" s="163"/>
      <c r="E1136" s="162"/>
      <c r="F1136" s="162"/>
      <c r="G1136" s="162"/>
      <c r="H1136" s="162"/>
      <c r="I1136" s="162"/>
      <c r="J1136" s="162"/>
      <c r="K1136" s="162"/>
      <c r="L1136" s="163"/>
    </row>
    <row r="1137" spans="2:12" ht="19.2" customHeight="1" x14ac:dyDescent="0.3">
      <c r="B1137" s="161"/>
      <c r="C1137" s="162"/>
      <c r="D1137" s="163"/>
      <c r="E1137" s="162"/>
      <c r="F1137" s="162"/>
      <c r="G1137" s="162"/>
      <c r="H1137" s="162"/>
      <c r="I1137" s="162"/>
      <c r="J1137" s="162"/>
      <c r="K1137" s="162"/>
      <c r="L1137" s="163"/>
    </row>
    <row r="1138" spans="2:12" ht="19.2" customHeight="1" x14ac:dyDescent="0.3">
      <c r="B1138" s="161"/>
      <c r="C1138" s="162"/>
      <c r="D1138" s="163"/>
      <c r="E1138" s="162"/>
      <c r="F1138" s="162"/>
      <c r="G1138" s="162"/>
      <c r="H1138" s="162"/>
      <c r="I1138" s="162"/>
      <c r="J1138" s="162"/>
      <c r="K1138" s="162"/>
      <c r="L1138" s="163"/>
    </row>
    <row r="1139" spans="2:12" ht="19.2" customHeight="1" x14ac:dyDescent="0.3">
      <c r="B1139" s="161"/>
      <c r="C1139" s="162"/>
      <c r="D1139" s="163"/>
      <c r="E1139" s="162"/>
      <c r="F1139" s="162"/>
      <c r="G1139" s="162"/>
      <c r="H1139" s="162"/>
      <c r="I1139" s="162"/>
      <c r="J1139" s="162"/>
      <c r="K1139" s="162"/>
      <c r="L1139" s="163"/>
    </row>
    <row r="1140" spans="2:12" ht="19.2" customHeight="1" x14ac:dyDescent="0.3">
      <c r="B1140" s="161"/>
      <c r="C1140" s="162"/>
      <c r="D1140" s="163"/>
      <c r="E1140" s="162"/>
      <c r="F1140" s="162"/>
      <c r="G1140" s="162"/>
      <c r="H1140" s="162"/>
      <c r="I1140" s="162"/>
      <c r="J1140" s="162"/>
      <c r="K1140" s="162"/>
      <c r="L1140" s="163"/>
    </row>
    <row r="1141" spans="2:12" ht="19.2" customHeight="1" x14ac:dyDescent="0.3">
      <c r="B1141" s="161"/>
      <c r="C1141" s="162"/>
      <c r="D1141" s="163"/>
      <c r="E1141" s="162"/>
      <c r="F1141" s="162"/>
      <c r="G1141" s="162"/>
      <c r="H1141" s="162"/>
      <c r="I1141" s="162"/>
      <c r="J1141" s="162"/>
      <c r="K1141" s="162"/>
      <c r="L1141" s="163"/>
    </row>
    <row r="1142" spans="2:12" ht="19.2" customHeight="1" x14ac:dyDescent="0.3">
      <c r="B1142" s="161"/>
      <c r="C1142" s="162"/>
      <c r="D1142" s="163"/>
      <c r="E1142" s="162"/>
      <c r="F1142" s="162"/>
      <c r="G1142" s="162"/>
      <c r="H1142" s="162"/>
      <c r="I1142" s="162"/>
      <c r="J1142" s="162"/>
      <c r="K1142" s="162"/>
      <c r="L1142" s="163"/>
    </row>
    <row r="1143" spans="2:12" ht="19.2" customHeight="1" x14ac:dyDescent="0.3">
      <c r="B1143" s="161"/>
      <c r="C1143" s="162"/>
      <c r="D1143" s="163"/>
      <c r="E1143" s="162"/>
      <c r="F1143" s="162"/>
      <c r="G1143" s="162"/>
      <c r="H1143" s="162"/>
      <c r="I1143" s="162"/>
      <c r="J1143" s="162"/>
      <c r="K1143" s="162"/>
      <c r="L1143" s="163"/>
    </row>
    <row r="1144" spans="2:12" ht="19.2" customHeight="1" x14ac:dyDescent="0.3">
      <c r="B1144" s="161"/>
      <c r="C1144" s="162"/>
      <c r="D1144" s="163"/>
      <c r="E1144" s="162"/>
      <c r="F1144" s="162"/>
      <c r="G1144" s="162"/>
      <c r="H1144" s="162"/>
      <c r="I1144" s="162"/>
      <c r="J1144" s="162"/>
      <c r="K1144" s="162"/>
      <c r="L1144" s="163"/>
    </row>
    <row r="1145" spans="2:12" ht="19.2" customHeight="1" x14ac:dyDescent="0.3">
      <c r="B1145" s="161"/>
      <c r="C1145" s="162"/>
      <c r="D1145" s="163"/>
      <c r="E1145" s="162"/>
      <c r="F1145" s="162"/>
      <c r="G1145" s="162"/>
      <c r="H1145" s="162"/>
      <c r="I1145" s="162"/>
      <c r="J1145" s="162"/>
      <c r="K1145" s="162"/>
      <c r="L1145" s="163"/>
    </row>
    <row r="1146" spans="2:12" ht="19.2" customHeight="1" x14ac:dyDescent="0.3">
      <c r="B1146" s="161"/>
      <c r="C1146" s="162"/>
      <c r="D1146" s="163"/>
      <c r="E1146" s="162"/>
      <c r="F1146" s="162"/>
      <c r="G1146" s="162"/>
      <c r="H1146" s="162"/>
      <c r="I1146" s="162"/>
      <c r="J1146" s="162"/>
      <c r="K1146" s="162"/>
      <c r="L1146" s="163"/>
    </row>
    <row r="1147" spans="2:12" ht="19.2" customHeight="1" x14ac:dyDescent="0.3">
      <c r="B1147" s="161"/>
      <c r="C1147" s="162"/>
      <c r="D1147" s="163"/>
      <c r="E1147" s="162"/>
      <c r="F1147" s="162"/>
      <c r="G1147" s="162"/>
      <c r="H1147" s="162"/>
      <c r="I1147" s="162"/>
      <c r="J1147" s="162"/>
      <c r="K1147" s="162"/>
      <c r="L1147" s="163"/>
    </row>
    <row r="1148" spans="2:12" ht="19.2" customHeight="1" x14ac:dyDescent="0.3">
      <c r="B1148" s="161"/>
      <c r="C1148" s="162"/>
      <c r="D1148" s="163"/>
      <c r="E1148" s="162"/>
      <c r="F1148" s="162"/>
      <c r="G1148" s="162"/>
      <c r="H1148" s="162"/>
      <c r="I1148" s="162"/>
      <c r="J1148" s="162"/>
      <c r="K1148" s="162"/>
      <c r="L1148" s="163"/>
    </row>
    <row r="1149" spans="2:12" ht="19.2" customHeight="1" x14ac:dyDescent="0.3">
      <c r="B1149" s="161"/>
      <c r="C1149" s="162"/>
      <c r="D1149" s="163"/>
      <c r="E1149" s="162"/>
      <c r="F1149" s="162"/>
      <c r="G1149" s="162"/>
      <c r="H1149" s="162"/>
      <c r="I1149" s="162"/>
      <c r="J1149" s="162"/>
      <c r="K1149" s="162"/>
      <c r="L1149" s="163"/>
    </row>
    <row r="1150" spans="2:12" ht="19.2" customHeight="1" x14ac:dyDescent="0.3">
      <c r="B1150" s="161"/>
      <c r="C1150" s="162"/>
      <c r="D1150" s="163"/>
      <c r="E1150" s="162"/>
      <c r="F1150" s="162"/>
      <c r="G1150" s="162"/>
      <c r="H1150" s="162"/>
      <c r="I1150" s="162"/>
      <c r="J1150" s="162"/>
      <c r="K1150" s="162"/>
      <c r="L1150" s="163"/>
    </row>
    <row r="1151" spans="2:12" ht="19.2" customHeight="1" x14ac:dyDescent="0.3">
      <c r="B1151" s="161"/>
      <c r="C1151" s="162"/>
      <c r="D1151" s="163"/>
      <c r="E1151" s="162"/>
      <c r="F1151" s="162"/>
      <c r="G1151" s="162"/>
      <c r="H1151" s="162"/>
      <c r="I1151" s="162"/>
      <c r="J1151" s="162"/>
      <c r="K1151" s="162"/>
      <c r="L1151" s="163"/>
    </row>
    <row r="1152" spans="2:12" ht="19.2" customHeight="1" x14ac:dyDescent="0.3">
      <c r="B1152" s="161"/>
      <c r="C1152" s="162"/>
      <c r="D1152" s="163"/>
      <c r="E1152" s="162"/>
      <c r="F1152" s="162"/>
      <c r="G1152" s="162"/>
      <c r="H1152" s="162"/>
      <c r="I1152" s="162"/>
      <c r="J1152" s="162"/>
      <c r="K1152" s="162"/>
      <c r="L1152" s="163"/>
    </row>
    <row r="1153" spans="2:12" ht="19.2" customHeight="1" x14ac:dyDescent="0.3">
      <c r="B1153" s="161"/>
      <c r="C1153" s="162"/>
      <c r="D1153" s="163"/>
      <c r="E1153" s="162"/>
      <c r="F1153" s="162"/>
      <c r="G1153" s="162"/>
      <c r="H1153" s="162"/>
      <c r="I1153" s="162"/>
      <c r="J1153" s="162"/>
      <c r="K1153" s="162"/>
      <c r="L1153" s="163"/>
    </row>
    <row r="1154" spans="2:12" ht="19.2" customHeight="1" x14ac:dyDescent="0.3">
      <c r="B1154" s="161"/>
      <c r="C1154" s="162"/>
      <c r="D1154" s="163"/>
      <c r="E1154" s="162"/>
      <c r="F1154" s="162"/>
      <c r="G1154" s="162"/>
      <c r="H1154" s="162"/>
      <c r="I1154" s="162"/>
      <c r="J1154" s="162"/>
      <c r="K1154" s="162"/>
      <c r="L1154" s="163"/>
    </row>
    <row r="1155" spans="2:12" ht="19.2" customHeight="1" x14ac:dyDescent="0.3">
      <c r="B1155" s="161"/>
      <c r="C1155" s="162"/>
      <c r="D1155" s="163"/>
      <c r="E1155" s="162"/>
      <c r="F1155" s="162"/>
      <c r="G1155" s="162"/>
      <c r="H1155" s="162"/>
      <c r="I1155" s="162"/>
      <c r="J1155" s="162"/>
      <c r="K1155" s="162"/>
      <c r="L1155" s="163"/>
    </row>
    <row r="1156" spans="2:12" ht="19.2" customHeight="1" x14ac:dyDescent="0.3">
      <c r="B1156" s="161"/>
      <c r="C1156" s="162"/>
      <c r="D1156" s="163"/>
      <c r="E1156" s="162"/>
      <c r="F1156" s="162"/>
      <c r="G1156" s="162"/>
      <c r="H1156" s="162"/>
      <c r="I1156" s="162"/>
      <c r="J1156" s="162"/>
      <c r="K1156" s="162"/>
      <c r="L1156" s="163"/>
    </row>
    <row r="1157" spans="2:12" ht="19.2" customHeight="1" x14ac:dyDescent="0.3">
      <c r="B1157" s="161"/>
      <c r="C1157" s="162"/>
      <c r="D1157" s="163"/>
      <c r="E1157" s="162"/>
      <c r="F1157" s="162"/>
      <c r="G1157" s="162"/>
      <c r="H1157" s="162"/>
      <c r="I1157" s="162"/>
      <c r="J1157" s="162"/>
      <c r="K1157" s="162"/>
      <c r="L1157" s="163"/>
    </row>
    <row r="1158" spans="2:12" ht="19.2" customHeight="1" x14ac:dyDescent="0.3">
      <c r="B1158" s="161"/>
      <c r="C1158" s="162"/>
      <c r="D1158" s="163"/>
      <c r="E1158" s="162"/>
      <c r="F1158" s="162"/>
      <c r="G1158" s="162"/>
      <c r="H1158" s="162"/>
      <c r="I1158" s="162"/>
      <c r="J1158" s="162"/>
      <c r="K1158" s="162"/>
      <c r="L1158" s="163"/>
    </row>
    <row r="1159" spans="2:12" ht="19.2" customHeight="1" x14ac:dyDescent="0.3">
      <c r="B1159" s="161"/>
      <c r="C1159" s="162"/>
      <c r="D1159" s="163"/>
      <c r="E1159" s="162"/>
      <c r="F1159" s="162"/>
      <c r="G1159" s="162"/>
      <c r="H1159" s="162"/>
      <c r="I1159" s="162"/>
      <c r="J1159" s="162"/>
      <c r="K1159" s="162"/>
      <c r="L1159" s="163"/>
    </row>
    <row r="1160" spans="2:12" ht="19.2" customHeight="1" x14ac:dyDescent="0.3">
      <c r="B1160" s="161"/>
      <c r="C1160" s="162"/>
      <c r="D1160" s="163"/>
      <c r="E1160" s="162"/>
      <c r="F1160" s="162"/>
      <c r="G1160" s="162"/>
      <c r="H1160" s="162"/>
      <c r="I1160" s="162"/>
      <c r="J1160" s="162"/>
      <c r="K1160" s="162"/>
      <c r="L1160" s="163"/>
    </row>
    <row r="1161" spans="2:12" ht="19.2" customHeight="1" x14ac:dyDescent="0.3">
      <c r="B1161" s="161"/>
      <c r="C1161" s="162"/>
      <c r="D1161" s="163"/>
      <c r="E1161" s="162"/>
      <c r="F1161" s="162"/>
      <c r="G1161" s="162"/>
      <c r="H1161" s="162"/>
      <c r="I1161" s="162"/>
      <c r="J1161" s="162"/>
      <c r="K1161" s="162"/>
      <c r="L1161" s="163"/>
    </row>
    <row r="1162" spans="2:12" ht="19.2" customHeight="1" x14ac:dyDescent="0.3">
      <c r="B1162" s="161"/>
      <c r="C1162" s="162"/>
      <c r="D1162" s="163"/>
      <c r="E1162" s="162"/>
      <c r="F1162" s="162"/>
      <c r="G1162" s="162"/>
      <c r="H1162" s="162"/>
      <c r="I1162" s="162"/>
      <c r="J1162" s="162"/>
      <c r="K1162" s="162"/>
      <c r="L1162" s="163"/>
    </row>
    <row r="1163" spans="2:12" ht="19.2" customHeight="1" x14ac:dyDescent="0.3">
      <c r="B1163" s="161"/>
      <c r="C1163" s="162"/>
      <c r="D1163" s="163"/>
      <c r="E1163" s="162"/>
      <c r="F1163" s="162"/>
      <c r="G1163" s="162"/>
      <c r="H1163" s="162"/>
      <c r="I1163" s="162"/>
      <c r="J1163" s="162"/>
      <c r="K1163" s="162"/>
      <c r="L1163" s="163"/>
    </row>
    <row r="1164" spans="2:12" ht="19.2" customHeight="1" x14ac:dyDescent="0.3">
      <c r="B1164" s="161"/>
      <c r="C1164" s="162"/>
      <c r="D1164" s="163"/>
      <c r="E1164" s="162"/>
      <c r="F1164" s="162"/>
      <c r="G1164" s="162"/>
      <c r="H1164" s="162"/>
      <c r="I1164" s="162"/>
      <c r="J1164" s="162"/>
      <c r="K1164" s="162"/>
      <c r="L1164" s="163"/>
    </row>
    <row r="1165" spans="2:12" ht="19.2" customHeight="1" x14ac:dyDescent="0.3">
      <c r="B1165" s="161"/>
      <c r="C1165" s="162"/>
      <c r="D1165" s="163"/>
      <c r="E1165" s="162"/>
      <c r="F1165" s="162"/>
      <c r="G1165" s="162"/>
      <c r="H1165" s="162"/>
      <c r="I1165" s="162"/>
      <c r="J1165" s="162"/>
      <c r="K1165" s="162"/>
      <c r="L1165" s="163"/>
    </row>
    <row r="1166" spans="2:12" ht="19.2" customHeight="1" x14ac:dyDescent="0.3">
      <c r="B1166" s="161"/>
      <c r="C1166" s="162"/>
      <c r="D1166" s="163"/>
      <c r="E1166" s="162"/>
      <c r="F1166" s="162"/>
      <c r="G1166" s="162"/>
      <c r="H1166" s="162"/>
      <c r="I1166" s="162"/>
      <c r="J1166" s="162"/>
      <c r="K1166" s="162"/>
      <c r="L1166" s="163"/>
    </row>
    <row r="1167" spans="2:12" ht="19.2" customHeight="1" x14ac:dyDescent="0.3">
      <c r="B1167" s="161"/>
      <c r="C1167" s="162"/>
      <c r="D1167" s="163"/>
      <c r="E1167" s="162"/>
      <c r="F1167" s="162"/>
      <c r="G1167" s="162"/>
      <c r="H1167" s="162"/>
      <c r="I1167" s="162"/>
      <c r="J1167" s="162"/>
      <c r="K1167" s="162"/>
      <c r="L1167" s="163"/>
    </row>
    <row r="1168" spans="2:12" ht="19.2" customHeight="1" x14ac:dyDescent="0.3">
      <c r="B1168" s="161"/>
      <c r="C1168" s="162"/>
      <c r="D1168" s="163"/>
      <c r="E1168" s="162"/>
      <c r="F1168" s="162"/>
      <c r="G1168" s="162"/>
      <c r="H1168" s="162"/>
      <c r="I1168" s="162"/>
      <c r="J1168" s="162"/>
      <c r="K1168" s="162"/>
      <c r="L1168" s="163"/>
    </row>
    <row r="1169" spans="2:12" ht="19.2" customHeight="1" x14ac:dyDescent="0.3">
      <c r="B1169" s="161"/>
      <c r="C1169" s="162"/>
      <c r="D1169" s="163"/>
      <c r="E1169" s="162"/>
      <c r="F1169" s="162"/>
      <c r="G1169" s="162"/>
      <c r="H1169" s="162"/>
      <c r="I1169" s="162"/>
      <c r="J1169" s="162"/>
      <c r="K1169" s="162"/>
      <c r="L1169" s="163"/>
    </row>
    <row r="1170" spans="2:12" ht="19.2" customHeight="1" x14ac:dyDescent="0.3">
      <c r="B1170" s="161"/>
      <c r="C1170" s="162"/>
      <c r="D1170" s="163"/>
      <c r="E1170" s="162"/>
      <c r="F1170" s="162"/>
      <c r="G1170" s="162"/>
      <c r="H1170" s="162"/>
      <c r="I1170" s="162"/>
      <c r="J1170" s="162"/>
      <c r="K1170" s="162"/>
      <c r="L1170" s="163"/>
    </row>
    <row r="1171" spans="2:12" ht="19.2" customHeight="1" x14ac:dyDescent="0.3">
      <c r="B1171" s="161"/>
      <c r="C1171" s="162"/>
      <c r="D1171" s="163"/>
      <c r="E1171" s="162"/>
      <c r="F1171" s="162"/>
      <c r="G1171" s="162"/>
      <c r="H1171" s="162"/>
      <c r="I1171" s="162"/>
      <c r="J1171" s="162"/>
      <c r="K1171" s="162"/>
      <c r="L1171" s="163"/>
    </row>
    <row r="1172" spans="2:12" ht="19.2" customHeight="1" x14ac:dyDescent="0.3">
      <c r="B1172" s="161"/>
      <c r="C1172" s="162"/>
      <c r="D1172" s="163"/>
      <c r="E1172" s="162"/>
      <c r="F1172" s="162"/>
      <c r="G1172" s="162"/>
      <c r="H1172" s="162"/>
      <c r="I1172" s="162"/>
      <c r="J1172" s="162"/>
      <c r="K1172" s="162"/>
      <c r="L1172" s="163"/>
    </row>
    <row r="1173" spans="2:12" ht="19.2" customHeight="1" x14ac:dyDescent="0.3">
      <c r="B1173" s="161"/>
      <c r="C1173" s="162"/>
      <c r="D1173" s="163"/>
      <c r="E1173" s="162"/>
      <c r="F1173" s="162"/>
      <c r="G1173" s="162"/>
      <c r="H1173" s="162"/>
      <c r="I1173" s="162"/>
      <c r="J1173" s="162"/>
      <c r="K1173" s="162"/>
      <c r="L1173" s="163"/>
    </row>
    <row r="1174" spans="2:12" ht="19.2" customHeight="1" x14ac:dyDescent="0.3">
      <c r="B1174" s="161"/>
      <c r="C1174" s="162"/>
      <c r="D1174" s="163"/>
      <c r="E1174" s="162"/>
      <c r="F1174" s="162"/>
      <c r="G1174" s="162"/>
      <c r="H1174" s="162"/>
      <c r="I1174" s="162"/>
      <c r="J1174" s="162"/>
      <c r="K1174" s="162"/>
      <c r="L1174" s="163"/>
    </row>
    <row r="1175" spans="2:12" ht="19.2" customHeight="1" x14ac:dyDescent="0.3">
      <c r="B1175" s="161"/>
      <c r="C1175" s="162"/>
      <c r="D1175" s="163"/>
      <c r="E1175" s="162"/>
      <c r="F1175" s="162"/>
      <c r="G1175" s="162"/>
      <c r="H1175" s="162"/>
      <c r="I1175" s="162"/>
      <c r="J1175" s="162"/>
      <c r="K1175" s="162"/>
      <c r="L1175" s="163"/>
    </row>
    <row r="1176" spans="2:12" ht="19.2" customHeight="1" x14ac:dyDescent="0.3">
      <c r="B1176" s="161"/>
      <c r="C1176" s="162"/>
      <c r="D1176" s="163"/>
      <c r="E1176" s="162"/>
      <c r="F1176" s="162"/>
      <c r="G1176" s="162"/>
      <c r="H1176" s="162"/>
      <c r="I1176" s="162"/>
      <c r="J1176" s="162"/>
      <c r="K1176" s="162"/>
      <c r="L1176" s="163"/>
    </row>
    <row r="1177" spans="2:12" ht="19.2" customHeight="1" x14ac:dyDescent="0.3">
      <c r="B1177" s="161"/>
      <c r="C1177" s="162"/>
      <c r="D1177" s="163"/>
      <c r="E1177" s="162"/>
      <c r="F1177" s="162"/>
      <c r="G1177" s="162"/>
      <c r="H1177" s="162"/>
      <c r="I1177" s="162"/>
      <c r="J1177" s="162"/>
      <c r="K1177" s="162"/>
      <c r="L1177" s="163"/>
    </row>
    <row r="1178" spans="2:12" ht="19.2" customHeight="1" x14ac:dyDescent="0.3">
      <c r="B1178" s="161"/>
      <c r="C1178" s="162"/>
      <c r="D1178" s="163"/>
      <c r="E1178" s="162"/>
      <c r="F1178" s="162"/>
      <c r="G1178" s="162"/>
      <c r="H1178" s="162"/>
      <c r="I1178" s="162"/>
      <c r="J1178" s="162"/>
      <c r="K1178" s="162"/>
      <c r="L1178" s="163"/>
    </row>
    <row r="1179" spans="2:12" ht="19.2" customHeight="1" x14ac:dyDescent="0.3">
      <c r="B1179" s="161"/>
      <c r="C1179" s="162"/>
      <c r="D1179" s="163"/>
      <c r="E1179" s="162"/>
      <c r="F1179" s="162"/>
      <c r="G1179" s="162"/>
      <c r="H1179" s="162"/>
      <c r="I1179" s="162"/>
      <c r="J1179" s="162"/>
      <c r="K1179" s="162"/>
      <c r="L1179" s="163"/>
    </row>
    <row r="1180" spans="2:12" ht="19.2" customHeight="1" x14ac:dyDescent="0.3">
      <c r="B1180" s="161"/>
      <c r="C1180" s="162"/>
      <c r="D1180" s="163"/>
      <c r="E1180" s="162"/>
      <c r="F1180" s="162"/>
      <c r="G1180" s="162"/>
      <c r="H1180" s="162"/>
      <c r="I1180" s="162"/>
      <c r="J1180" s="162"/>
      <c r="K1180" s="162"/>
      <c r="L1180" s="163"/>
    </row>
    <row r="1181" spans="2:12" ht="19.2" customHeight="1" x14ac:dyDescent="0.3">
      <c r="B1181" s="161"/>
      <c r="C1181" s="162"/>
      <c r="D1181" s="163"/>
      <c r="E1181" s="162"/>
      <c r="F1181" s="162"/>
      <c r="G1181" s="162"/>
      <c r="H1181" s="162"/>
      <c r="I1181" s="162"/>
      <c r="J1181" s="162"/>
      <c r="K1181" s="162"/>
      <c r="L1181" s="163"/>
    </row>
    <row r="1182" spans="2:12" ht="19.2" customHeight="1" x14ac:dyDescent="0.3">
      <c r="B1182" s="161"/>
      <c r="C1182" s="162"/>
      <c r="D1182" s="163"/>
      <c r="E1182" s="162"/>
      <c r="F1182" s="162"/>
      <c r="G1182" s="162"/>
      <c r="H1182" s="162"/>
      <c r="I1182" s="162"/>
      <c r="J1182" s="162"/>
      <c r="K1182" s="162"/>
      <c r="L1182" s="163"/>
    </row>
    <row r="1183" spans="2:12" ht="19.2" customHeight="1" x14ac:dyDescent="0.3">
      <c r="B1183" s="161"/>
      <c r="C1183" s="162"/>
      <c r="D1183" s="163"/>
      <c r="E1183" s="162"/>
      <c r="F1183" s="162"/>
      <c r="G1183" s="162"/>
      <c r="H1183" s="162"/>
      <c r="I1183" s="162"/>
      <c r="J1183" s="162"/>
      <c r="K1183" s="162"/>
      <c r="L1183" s="163"/>
    </row>
    <row r="1184" spans="2:12" ht="19.2" customHeight="1" x14ac:dyDescent="0.3">
      <c r="B1184" s="161"/>
      <c r="C1184" s="162"/>
      <c r="D1184" s="163"/>
      <c r="E1184" s="162"/>
      <c r="F1184" s="162"/>
      <c r="G1184" s="162"/>
      <c r="H1184" s="162"/>
      <c r="I1184" s="162"/>
      <c r="J1184" s="162"/>
      <c r="K1184" s="162"/>
      <c r="L1184" s="163"/>
    </row>
    <row r="1185" spans="2:12" ht="19.2" customHeight="1" x14ac:dyDescent="0.3">
      <c r="B1185" s="161"/>
      <c r="C1185" s="162"/>
      <c r="D1185" s="163"/>
      <c r="E1185" s="162"/>
      <c r="F1185" s="162"/>
      <c r="G1185" s="162"/>
      <c r="H1185" s="162"/>
      <c r="I1185" s="162"/>
      <c r="J1185" s="162"/>
      <c r="K1185" s="162"/>
      <c r="L1185" s="163"/>
    </row>
    <row r="1186" spans="2:12" ht="19.2" customHeight="1" x14ac:dyDescent="0.3">
      <c r="B1186" s="161"/>
      <c r="C1186" s="162"/>
      <c r="D1186" s="163"/>
      <c r="E1186" s="162"/>
      <c r="F1186" s="162"/>
      <c r="G1186" s="162"/>
      <c r="H1186" s="162"/>
      <c r="I1186" s="162"/>
      <c r="J1186" s="162"/>
      <c r="K1186" s="162"/>
      <c r="L1186" s="163"/>
    </row>
    <row r="1187" spans="2:12" ht="19.2" customHeight="1" x14ac:dyDescent="0.3">
      <c r="B1187" s="161"/>
      <c r="C1187" s="162"/>
      <c r="D1187" s="163"/>
      <c r="E1187" s="162"/>
      <c r="F1187" s="162"/>
      <c r="G1187" s="162"/>
      <c r="H1187" s="162"/>
      <c r="I1187" s="162"/>
      <c r="J1187" s="162"/>
      <c r="K1187" s="162"/>
      <c r="L1187" s="163"/>
    </row>
    <row r="1188" spans="2:12" ht="19.2" customHeight="1" x14ac:dyDescent="0.3">
      <c r="B1188" s="161"/>
      <c r="C1188" s="162"/>
      <c r="D1188" s="163"/>
      <c r="E1188" s="162"/>
      <c r="F1188" s="162"/>
      <c r="G1188" s="162"/>
      <c r="H1188" s="162"/>
      <c r="I1188" s="162"/>
      <c r="J1188" s="162"/>
      <c r="K1188" s="162"/>
      <c r="L1188" s="163"/>
    </row>
    <row r="1189" spans="2:12" ht="19.2" customHeight="1" x14ac:dyDescent="0.3">
      <c r="B1189" s="161"/>
      <c r="C1189" s="162"/>
      <c r="D1189" s="163"/>
      <c r="E1189" s="162"/>
      <c r="F1189" s="162"/>
      <c r="G1189" s="162"/>
      <c r="H1189" s="162"/>
      <c r="I1189" s="162"/>
      <c r="J1189" s="162"/>
      <c r="K1189" s="162"/>
      <c r="L1189" s="163"/>
    </row>
    <row r="1190" spans="2:12" ht="19.2" customHeight="1" x14ac:dyDescent="0.3">
      <c r="B1190" s="161"/>
      <c r="C1190" s="162"/>
      <c r="D1190" s="163"/>
      <c r="E1190" s="162"/>
      <c r="F1190" s="162"/>
      <c r="G1190" s="162"/>
      <c r="H1190" s="162"/>
      <c r="I1190" s="162"/>
      <c r="J1190" s="162"/>
      <c r="K1190" s="162"/>
      <c r="L1190" s="163"/>
    </row>
    <row r="1191" spans="2:12" ht="19.2" customHeight="1" x14ac:dyDescent="0.3">
      <c r="B1191" s="161"/>
      <c r="C1191" s="162"/>
      <c r="D1191" s="163"/>
      <c r="E1191" s="162"/>
      <c r="F1191" s="162"/>
      <c r="G1191" s="162"/>
      <c r="H1191" s="162"/>
      <c r="I1191" s="162"/>
      <c r="J1191" s="162"/>
      <c r="K1191" s="162"/>
      <c r="L1191" s="163"/>
    </row>
    <row r="1192" spans="2:12" ht="19.2" customHeight="1" x14ac:dyDescent="0.3">
      <c r="B1192" s="161"/>
      <c r="C1192" s="162"/>
      <c r="D1192" s="163"/>
      <c r="E1192" s="162"/>
      <c r="F1192" s="162"/>
      <c r="G1192" s="162"/>
      <c r="H1192" s="162"/>
      <c r="I1192" s="162"/>
      <c r="J1192" s="162"/>
      <c r="K1192" s="162"/>
      <c r="L1192" s="163"/>
    </row>
    <row r="1193" spans="2:12" ht="19.2" customHeight="1" x14ac:dyDescent="0.3">
      <c r="B1193" s="161"/>
      <c r="C1193" s="162"/>
      <c r="D1193" s="163"/>
      <c r="E1193" s="162"/>
      <c r="F1193" s="162"/>
      <c r="G1193" s="162"/>
      <c r="H1193" s="162"/>
      <c r="I1193" s="162"/>
      <c r="J1193" s="162"/>
      <c r="K1193" s="162"/>
      <c r="L1193" s="163"/>
    </row>
    <row r="1194" spans="2:12" ht="19.2" customHeight="1" x14ac:dyDescent="0.3">
      <c r="B1194" s="161"/>
      <c r="C1194" s="162"/>
      <c r="D1194" s="163"/>
      <c r="E1194" s="162"/>
      <c r="F1194" s="162"/>
      <c r="G1194" s="162"/>
      <c r="H1194" s="162"/>
      <c r="I1194" s="162"/>
      <c r="J1194" s="162"/>
      <c r="K1194" s="162"/>
      <c r="L1194" s="163"/>
    </row>
    <row r="1195" spans="2:12" ht="19.2" customHeight="1" x14ac:dyDescent="0.3">
      <c r="B1195" s="161"/>
      <c r="C1195" s="162"/>
      <c r="D1195" s="163"/>
      <c r="E1195" s="162"/>
      <c r="F1195" s="162"/>
      <c r="G1195" s="162"/>
      <c r="H1195" s="162"/>
      <c r="I1195" s="162"/>
      <c r="J1195" s="162"/>
      <c r="K1195" s="162"/>
      <c r="L1195" s="163"/>
    </row>
    <row r="1196" spans="2:12" ht="19.2" customHeight="1" x14ac:dyDescent="0.3">
      <c r="B1196" s="161"/>
      <c r="C1196" s="162"/>
      <c r="D1196" s="163"/>
      <c r="E1196" s="162"/>
      <c r="F1196" s="162"/>
      <c r="G1196" s="162"/>
      <c r="H1196" s="162"/>
      <c r="I1196" s="162"/>
      <c r="J1196" s="162"/>
      <c r="K1196" s="162"/>
      <c r="L1196" s="163"/>
    </row>
    <row r="1197" spans="2:12" ht="19.2" customHeight="1" x14ac:dyDescent="0.3">
      <c r="B1197" s="161"/>
      <c r="C1197" s="162"/>
      <c r="D1197" s="163"/>
      <c r="E1197" s="162"/>
      <c r="F1197" s="162"/>
      <c r="G1197" s="162"/>
      <c r="H1197" s="162"/>
      <c r="I1197" s="162"/>
      <c r="J1197" s="162"/>
      <c r="K1197" s="162"/>
      <c r="L1197" s="163"/>
    </row>
    <row r="1198" spans="2:12" ht="19.2" customHeight="1" x14ac:dyDescent="0.3">
      <c r="B1198" s="161"/>
      <c r="C1198" s="162"/>
      <c r="D1198" s="163"/>
      <c r="E1198" s="162"/>
      <c r="F1198" s="162"/>
      <c r="G1198" s="162"/>
      <c r="H1198" s="162"/>
      <c r="I1198" s="162"/>
      <c r="J1198" s="162"/>
      <c r="K1198" s="162"/>
      <c r="L1198" s="163"/>
    </row>
    <row r="1199" spans="2:12" ht="19.2" customHeight="1" x14ac:dyDescent="0.3">
      <c r="B1199" s="161"/>
      <c r="C1199" s="162"/>
      <c r="D1199" s="163"/>
      <c r="E1199" s="162"/>
      <c r="F1199" s="162"/>
      <c r="G1199" s="162"/>
      <c r="H1199" s="162"/>
      <c r="I1199" s="162"/>
      <c r="J1199" s="162"/>
      <c r="K1199" s="162"/>
      <c r="L1199" s="163"/>
    </row>
    <row r="1200" spans="2:12" ht="19.2" customHeight="1" x14ac:dyDescent="0.3">
      <c r="B1200" s="161"/>
      <c r="C1200" s="162"/>
      <c r="D1200" s="163"/>
      <c r="E1200" s="162"/>
      <c r="F1200" s="162"/>
      <c r="G1200" s="162"/>
      <c r="H1200" s="162"/>
      <c r="I1200" s="162"/>
      <c r="J1200" s="162"/>
      <c r="K1200" s="162"/>
      <c r="L1200" s="163"/>
    </row>
    <row r="1201" spans="2:12" ht="19.2" customHeight="1" x14ac:dyDescent="0.3">
      <c r="B1201" s="161"/>
      <c r="C1201" s="162"/>
      <c r="D1201" s="163"/>
      <c r="E1201" s="162"/>
      <c r="F1201" s="162"/>
      <c r="G1201" s="162"/>
      <c r="H1201" s="162"/>
      <c r="I1201" s="162"/>
      <c r="J1201" s="162"/>
      <c r="K1201" s="162"/>
      <c r="L1201" s="163"/>
    </row>
    <row r="1202" spans="2:12" ht="19.2" customHeight="1" x14ac:dyDescent="0.3">
      <c r="B1202" s="161"/>
      <c r="C1202" s="162"/>
      <c r="D1202" s="163"/>
      <c r="E1202" s="162"/>
      <c r="F1202" s="162"/>
      <c r="G1202" s="162"/>
      <c r="H1202" s="162"/>
      <c r="I1202" s="162"/>
      <c r="J1202" s="162"/>
      <c r="K1202" s="162"/>
      <c r="L1202" s="163"/>
    </row>
    <row r="1203" spans="2:12" ht="19.2" customHeight="1" x14ac:dyDescent="0.3">
      <c r="B1203" s="161"/>
      <c r="C1203" s="162"/>
      <c r="D1203" s="163"/>
      <c r="E1203" s="162"/>
      <c r="F1203" s="162"/>
      <c r="G1203" s="162"/>
      <c r="H1203" s="162"/>
      <c r="I1203" s="162"/>
      <c r="J1203" s="162"/>
      <c r="K1203" s="162"/>
      <c r="L1203" s="163"/>
    </row>
    <row r="1204" spans="2:12" ht="19.2" customHeight="1" x14ac:dyDescent="0.3">
      <c r="B1204" s="161"/>
      <c r="C1204" s="162"/>
      <c r="D1204" s="163"/>
      <c r="E1204" s="162"/>
      <c r="F1204" s="162"/>
      <c r="G1204" s="162"/>
      <c r="H1204" s="162"/>
      <c r="I1204" s="162"/>
      <c r="J1204" s="162"/>
      <c r="K1204" s="162"/>
      <c r="L1204" s="163"/>
    </row>
    <row r="1205" spans="2:12" ht="19.2" customHeight="1" x14ac:dyDescent="0.3">
      <c r="B1205" s="161"/>
      <c r="C1205" s="162"/>
      <c r="D1205" s="163"/>
      <c r="E1205" s="162"/>
      <c r="F1205" s="162"/>
      <c r="G1205" s="162"/>
      <c r="H1205" s="162"/>
      <c r="I1205" s="162"/>
      <c r="J1205" s="162"/>
      <c r="K1205" s="162"/>
      <c r="L1205" s="163"/>
    </row>
    <row r="1206" spans="2:12" ht="19.2" customHeight="1" x14ac:dyDescent="0.3">
      <c r="B1206" s="161"/>
      <c r="C1206" s="162"/>
      <c r="D1206" s="163"/>
      <c r="E1206" s="162"/>
      <c r="F1206" s="162"/>
      <c r="G1206" s="162"/>
      <c r="H1206" s="162"/>
      <c r="I1206" s="162"/>
      <c r="J1206" s="162"/>
      <c r="K1206" s="162"/>
      <c r="L1206" s="163"/>
    </row>
    <row r="1207" spans="2:12" ht="19.2" customHeight="1" x14ac:dyDescent="0.3">
      <c r="B1207" s="161"/>
      <c r="C1207" s="162"/>
      <c r="D1207" s="163"/>
      <c r="E1207" s="162"/>
      <c r="F1207" s="162"/>
      <c r="G1207" s="162"/>
      <c r="H1207" s="162"/>
      <c r="I1207" s="162"/>
      <c r="J1207" s="162"/>
      <c r="K1207" s="162"/>
      <c r="L1207" s="163"/>
    </row>
    <row r="1208" spans="2:12" ht="19.2" customHeight="1" x14ac:dyDescent="0.3">
      <c r="B1208" s="161"/>
      <c r="C1208" s="162"/>
      <c r="D1208" s="163"/>
      <c r="E1208" s="162"/>
      <c r="F1208" s="162"/>
      <c r="G1208" s="162"/>
      <c r="H1208" s="162"/>
      <c r="I1208" s="162"/>
      <c r="J1208" s="162"/>
      <c r="K1208" s="162"/>
      <c r="L1208" s="163"/>
    </row>
    <row r="1209" spans="2:12" ht="19.2" customHeight="1" x14ac:dyDescent="0.3">
      <c r="B1209" s="161"/>
      <c r="C1209" s="162"/>
      <c r="D1209" s="163"/>
      <c r="E1209" s="162"/>
      <c r="F1209" s="162"/>
      <c r="G1209" s="162"/>
      <c r="H1209" s="162"/>
      <c r="I1209" s="162"/>
      <c r="J1209" s="162"/>
      <c r="K1209" s="162"/>
      <c r="L1209" s="163"/>
    </row>
    <row r="1210" spans="2:12" ht="19.2" customHeight="1" x14ac:dyDescent="0.3">
      <c r="B1210" s="161"/>
      <c r="C1210" s="162"/>
      <c r="D1210" s="163"/>
      <c r="E1210" s="162"/>
      <c r="F1210" s="162"/>
      <c r="G1210" s="162"/>
      <c r="H1210" s="162"/>
      <c r="I1210" s="162"/>
      <c r="J1210" s="162"/>
      <c r="K1210" s="162"/>
      <c r="L1210" s="163"/>
    </row>
    <row r="1211" spans="2:12" ht="19.2" customHeight="1" x14ac:dyDescent="0.3">
      <c r="B1211" s="161"/>
      <c r="C1211" s="162"/>
      <c r="D1211" s="163"/>
      <c r="E1211" s="162"/>
      <c r="F1211" s="162"/>
      <c r="G1211" s="162"/>
      <c r="H1211" s="162"/>
      <c r="I1211" s="162"/>
      <c r="J1211" s="162"/>
      <c r="K1211" s="162"/>
      <c r="L1211" s="163"/>
    </row>
    <row r="1212" spans="2:12" ht="19.2" customHeight="1" x14ac:dyDescent="0.3">
      <c r="B1212" s="161"/>
      <c r="C1212" s="162"/>
      <c r="D1212" s="163"/>
      <c r="E1212" s="162"/>
      <c r="F1212" s="162"/>
      <c r="G1212" s="162"/>
      <c r="H1212" s="162"/>
      <c r="I1212" s="162"/>
      <c r="J1212" s="162"/>
      <c r="K1212" s="162"/>
      <c r="L1212" s="163"/>
    </row>
    <row r="1213" spans="2:12" ht="19.2" customHeight="1" x14ac:dyDescent="0.3">
      <c r="B1213" s="161"/>
      <c r="C1213" s="162"/>
      <c r="D1213" s="163"/>
      <c r="E1213" s="162"/>
      <c r="F1213" s="162"/>
      <c r="G1213" s="162"/>
      <c r="H1213" s="162"/>
      <c r="I1213" s="162"/>
      <c r="J1213" s="162"/>
      <c r="K1213" s="162"/>
      <c r="L1213" s="163"/>
    </row>
    <row r="1214" spans="2:12" ht="19.2" customHeight="1" x14ac:dyDescent="0.3">
      <c r="B1214" s="161"/>
      <c r="C1214" s="162"/>
      <c r="D1214" s="163"/>
      <c r="E1214" s="162"/>
      <c r="F1214" s="162"/>
      <c r="G1214" s="162"/>
      <c r="H1214" s="162"/>
      <c r="I1214" s="162"/>
      <c r="J1214" s="162"/>
      <c r="K1214" s="162"/>
      <c r="L1214" s="163"/>
    </row>
    <row r="1215" spans="2:12" ht="19.2" customHeight="1" x14ac:dyDescent="0.3">
      <c r="B1215" s="161"/>
      <c r="C1215" s="162"/>
      <c r="D1215" s="163"/>
      <c r="E1215" s="162"/>
      <c r="F1215" s="162"/>
      <c r="G1215" s="162"/>
      <c r="H1215" s="162"/>
      <c r="I1215" s="162"/>
      <c r="J1215" s="162"/>
      <c r="K1215" s="162"/>
      <c r="L1215" s="163"/>
    </row>
    <row r="1216" spans="2:12" ht="19.2" customHeight="1" x14ac:dyDescent="0.3">
      <c r="B1216" s="161"/>
      <c r="C1216" s="162"/>
      <c r="D1216" s="163"/>
      <c r="E1216" s="162"/>
      <c r="F1216" s="162"/>
      <c r="G1216" s="162"/>
      <c r="H1216" s="162"/>
      <c r="I1216" s="162"/>
      <c r="J1216" s="162"/>
      <c r="K1216" s="162"/>
      <c r="L1216" s="163"/>
    </row>
    <row r="1217" spans="2:12" ht="19.2" customHeight="1" x14ac:dyDescent="0.3">
      <c r="B1217" s="161"/>
      <c r="C1217" s="162"/>
      <c r="D1217" s="163"/>
      <c r="E1217" s="162"/>
      <c r="F1217" s="162"/>
      <c r="G1217" s="162"/>
      <c r="H1217" s="162"/>
      <c r="I1217" s="162"/>
      <c r="J1217" s="162"/>
      <c r="K1217" s="162"/>
      <c r="L1217" s="163"/>
    </row>
    <row r="1218" spans="2:12" ht="19.2" customHeight="1" x14ac:dyDescent="0.3">
      <c r="B1218" s="161"/>
      <c r="C1218" s="162"/>
      <c r="D1218" s="163"/>
      <c r="E1218" s="162"/>
      <c r="F1218" s="162"/>
      <c r="G1218" s="162"/>
      <c r="H1218" s="162"/>
      <c r="I1218" s="162"/>
      <c r="J1218" s="162"/>
      <c r="K1218" s="162"/>
      <c r="L1218" s="163"/>
    </row>
    <row r="1219" spans="2:12" ht="19.2" customHeight="1" x14ac:dyDescent="0.3">
      <c r="B1219" s="161"/>
      <c r="C1219" s="162"/>
      <c r="D1219" s="163"/>
      <c r="E1219" s="162"/>
      <c r="F1219" s="162"/>
      <c r="G1219" s="162"/>
      <c r="H1219" s="162"/>
      <c r="I1219" s="162"/>
      <c r="J1219" s="162"/>
      <c r="K1219" s="162"/>
      <c r="L1219" s="163"/>
    </row>
    <row r="1220" spans="2:12" ht="19.2" customHeight="1" x14ac:dyDescent="0.3">
      <c r="B1220" s="161"/>
      <c r="C1220" s="162"/>
      <c r="D1220" s="163"/>
      <c r="E1220" s="162"/>
      <c r="F1220" s="162"/>
      <c r="G1220" s="162"/>
      <c r="H1220" s="162"/>
      <c r="I1220" s="162"/>
      <c r="J1220" s="162"/>
      <c r="K1220" s="162"/>
      <c r="L1220" s="163"/>
    </row>
    <row r="1221" spans="2:12" ht="19.2" customHeight="1" x14ac:dyDescent="0.3">
      <c r="B1221" s="161"/>
      <c r="C1221" s="162"/>
      <c r="D1221" s="163"/>
      <c r="E1221" s="162"/>
      <c r="F1221" s="162"/>
      <c r="G1221" s="162"/>
      <c r="H1221" s="162"/>
      <c r="I1221" s="162"/>
      <c r="J1221" s="162"/>
      <c r="K1221" s="162"/>
      <c r="L1221" s="163"/>
    </row>
    <row r="1222" spans="2:12" ht="19.2" customHeight="1" x14ac:dyDescent="0.3">
      <c r="B1222" s="161"/>
      <c r="C1222" s="162"/>
      <c r="D1222" s="163"/>
      <c r="E1222" s="162"/>
      <c r="F1222" s="162"/>
      <c r="G1222" s="162"/>
      <c r="H1222" s="162"/>
      <c r="I1222" s="162"/>
      <c r="J1222" s="162"/>
      <c r="K1222" s="162"/>
      <c r="L1222" s="163"/>
    </row>
    <row r="1223" spans="2:12" ht="19.2" customHeight="1" x14ac:dyDescent="0.3">
      <c r="B1223" s="161"/>
      <c r="C1223" s="162"/>
      <c r="D1223" s="163"/>
      <c r="E1223" s="162"/>
      <c r="F1223" s="162"/>
      <c r="G1223" s="162"/>
      <c r="H1223" s="162"/>
      <c r="I1223" s="162"/>
      <c r="J1223" s="162"/>
      <c r="K1223" s="162"/>
      <c r="L1223" s="163"/>
    </row>
    <row r="1224" spans="2:12" ht="19.2" customHeight="1" x14ac:dyDescent="0.3">
      <c r="B1224" s="161"/>
      <c r="C1224" s="162"/>
      <c r="D1224" s="163"/>
      <c r="E1224" s="162"/>
      <c r="F1224" s="162"/>
      <c r="G1224" s="162"/>
      <c r="H1224" s="162"/>
      <c r="I1224" s="162"/>
      <c r="J1224" s="162"/>
      <c r="K1224" s="162"/>
      <c r="L1224" s="163"/>
    </row>
    <row r="1225" spans="2:12" ht="19.2" customHeight="1" x14ac:dyDescent="0.3">
      <c r="B1225" s="161"/>
      <c r="C1225" s="162"/>
      <c r="D1225" s="163"/>
      <c r="E1225" s="162"/>
      <c r="F1225" s="162"/>
      <c r="G1225" s="162"/>
      <c r="H1225" s="162"/>
      <c r="I1225" s="162"/>
      <c r="J1225" s="162"/>
      <c r="K1225" s="162"/>
      <c r="L1225" s="163"/>
    </row>
    <row r="1226" spans="2:12" ht="19.2" customHeight="1" x14ac:dyDescent="0.3">
      <c r="B1226" s="161"/>
      <c r="C1226" s="162"/>
      <c r="D1226" s="163"/>
      <c r="E1226" s="162"/>
      <c r="F1226" s="162"/>
      <c r="G1226" s="162"/>
      <c r="H1226" s="162"/>
      <c r="I1226" s="162"/>
      <c r="J1226" s="162"/>
      <c r="K1226" s="162"/>
      <c r="L1226" s="163"/>
    </row>
    <row r="1227" spans="2:12" ht="19.2" customHeight="1" x14ac:dyDescent="0.3">
      <c r="B1227" s="161"/>
      <c r="C1227" s="162"/>
      <c r="D1227" s="163"/>
      <c r="E1227" s="162"/>
      <c r="F1227" s="162"/>
      <c r="G1227" s="162"/>
      <c r="H1227" s="162"/>
      <c r="I1227" s="162"/>
      <c r="J1227" s="162"/>
      <c r="K1227" s="162"/>
      <c r="L1227" s="163"/>
    </row>
    <row r="1228" spans="2:12" ht="19.2" customHeight="1" x14ac:dyDescent="0.3">
      <c r="B1228" s="161"/>
      <c r="C1228" s="162"/>
      <c r="D1228" s="163"/>
      <c r="E1228" s="162"/>
      <c r="F1228" s="162"/>
      <c r="G1228" s="162"/>
      <c r="H1228" s="162"/>
      <c r="I1228" s="162"/>
      <c r="J1228" s="162"/>
      <c r="K1228" s="162"/>
      <c r="L1228" s="163"/>
    </row>
    <row r="1229" spans="2:12" ht="19.2" customHeight="1" x14ac:dyDescent="0.3">
      <c r="B1229" s="161"/>
      <c r="C1229" s="162"/>
      <c r="D1229" s="163"/>
      <c r="E1229" s="162"/>
      <c r="F1229" s="162"/>
      <c r="G1229" s="162"/>
      <c r="H1229" s="162"/>
      <c r="I1229" s="162"/>
      <c r="J1229" s="162"/>
      <c r="K1229" s="162"/>
      <c r="L1229" s="163"/>
    </row>
    <row r="1230" spans="2:12" ht="19.2" customHeight="1" x14ac:dyDescent="0.3">
      <c r="B1230" s="161"/>
      <c r="C1230" s="162"/>
      <c r="D1230" s="163"/>
      <c r="E1230" s="162"/>
      <c r="F1230" s="162"/>
      <c r="G1230" s="162"/>
      <c r="H1230" s="162"/>
      <c r="I1230" s="162"/>
      <c r="J1230" s="162"/>
      <c r="K1230" s="162"/>
      <c r="L1230" s="163"/>
    </row>
    <row r="1231" spans="2:12" ht="19.2" customHeight="1" x14ac:dyDescent="0.3">
      <c r="B1231" s="161"/>
      <c r="C1231" s="162"/>
      <c r="D1231" s="163"/>
      <c r="E1231" s="162"/>
      <c r="F1231" s="162"/>
      <c r="G1231" s="162"/>
      <c r="H1231" s="162"/>
      <c r="I1231" s="162"/>
      <c r="J1231" s="162"/>
      <c r="K1231" s="162"/>
      <c r="L1231" s="163"/>
    </row>
    <row r="1232" spans="2:12" ht="19.2" customHeight="1" x14ac:dyDescent="0.3">
      <c r="B1232" s="161"/>
      <c r="C1232" s="162"/>
      <c r="D1232" s="163"/>
      <c r="E1232" s="162"/>
      <c r="F1232" s="162"/>
      <c r="G1232" s="162"/>
      <c r="H1232" s="162"/>
      <c r="I1232" s="162"/>
      <c r="J1232" s="162"/>
      <c r="K1232" s="162"/>
      <c r="L1232" s="163"/>
    </row>
    <row r="1233" spans="2:12" ht="19.2" customHeight="1" x14ac:dyDescent="0.3">
      <c r="B1233" s="161"/>
      <c r="C1233" s="162"/>
      <c r="D1233" s="163"/>
      <c r="E1233" s="162"/>
      <c r="F1233" s="162"/>
      <c r="G1233" s="162"/>
      <c r="H1233" s="162"/>
      <c r="I1233" s="162"/>
      <c r="J1233" s="162"/>
      <c r="K1233" s="162"/>
      <c r="L1233" s="163"/>
    </row>
    <row r="1234" spans="2:12" ht="19.2" customHeight="1" x14ac:dyDescent="0.3">
      <c r="B1234" s="161"/>
      <c r="C1234" s="162"/>
      <c r="D1234" s="163"/>
      <c r="E1234" s="162"/>
      <c r="F1234" s="162"/>
      <c r="G1234" s="162"/>
      <c r="H1234" s="162"/>
      <c r="I1234" s="162"/>
      <c r="J1234" s="162"/>
      <c r="K1234" s="162"/>
      <c r="L1234" s="163"/>
    </row>
    <row r="1235" spans="2:12" ht="19.2" customHeight="1" x14ac:dyDescent="0.3">
      <c r="B1235" s="161"/>
      <c r="C1235" s="162"/>
      <c r="D1235" s="163"/>
      <c r="E1235" s="162"/>
      <c r="F1235" s="162"/>
      <c r="G1235" s="162"/>
      <c r="H1235" s="162"/>
      <c r="I1235" s="162"/>
      <c r="J1235" s="162"/>
      <c r="K1235" s="162"/>
      <c r="L1235" s="163"/>
    </row>
    <row r="1236" spans="2:12" ht="19.2" customHeight="1" x14ac:dyDescent="0.3">
      <c r="B1236" s="161"/>
      <c r="C1236" s="162"/>
      <c r="D1236" s="163"/>
      <c r="E1236" s="162"/>
      <c r="F1236" s="162"/>
      <c r="G1236" s="162"/>
      <c r="H1236" s="162"/>
      <c r="I1236" s="162"/>
      <c r="J1236" s="162"/>
      <c r="K1236" s="162"/>
      <c r="L1236" s="163"/>
    </row>
    <row r="1237" spans="2:12" ht="19.2" customHeight="1" x14ac:dyDescent="0.3">
      <c r="B1237" s="161"/>
      <c r="C1237" s="162"/>
      <c r="D1237" s="163"/>
      <c r="E1237" s="162"/>
      <c r="F1237" s="162"/>
      <c r="G1237" s="162"/>
      <c r="H1237" s="162"/>
      <c r="I1237" s="162"/>
      <c r="J1237" s="162"/>
      <c r="K1237" s="162"/>
      <c r="L1237" s="163"/>
    </row>
    <row r="1238" spans="2:12" ht="19.2" customHeight="1" x14ac:dyDescent="0.3">
      <c r="B1238" s="161"/>
      <c r="C1238" s="162"/>
      <c r="D1238" s="163"/>
      <c r="E1238" s="162"/>
      <c r="F1238" s="162"/>
      <c r="G1238" s="162"/>
      <c r="H1238" s="162"/>
      <c r="I1238" s="162"/>
      <c r="J1238" s="162"/>
      <c r="K1238" s="162"/>
      <c r="L1238" s="163"/>
    </row>
    <row r="1239" spans="2:12" ht="19.2" customHeight="1" x14ac:dyDescent="0.3">
      <c r="B1239" s="161"/>
      <c r="C1239" s="162"/>
      <c r="D1239" s="163"/>
      <c r="E1239" s="162"/>
      <c r="F1239" s="162"/>
      <c r="G1239" s="162"/>
      <c r="H1239" s="162"/>
      <c r="I1239" s="162"/>
      <c r="J1239" s="162"/>
      <c r="K1239" s="162"/>
      <c r="L1239" s="163"/>
    </row>
    <row r="1240" spans="2:12" ht="19.2" customHeight="1" x14ac:dyDescent="0.3">
      <c r="B1240" s="161"/>
      <c r="C1240" s="162"/>
      <c r="D1240" s="163"/>
      <c r="E1240" s="162"/>
      <c r="F1240" s="162"/>
      <c r="G1240" s="162"/>
      <c r="H1240" s="162"/>
      <c r="I1240" s="162"/>
      <c r="J1240" s="162"/>
      <c r="K1240" s="162"/>
      <c r="L1240" s="163"/>
    </row>
    <row r="1241" spans="2:12" ht="19.2" customHeight="1" x14ac:dyDescent="0.3">
      <c r="B1241" s="161"/>
      <c r="C1241" s="162"/>
      <c r="D1241" s="163"/>
      <c r="E1241" s="162"/>
      <c r="F1241" s="162"/>
      <c r="G1241" s="162"/>
      <c r="H1241" s="162"/>
      <c r="I1241" s="162"/>
      <c r="J1241" s="162"/>
      <c r="K1241" s="162"/>
      <c r="L1241" s="163"/>
    </row>
    <row r="1242" spans="2:12" ht="19.2" customHeight="1" x14ac:dyDescent="0.3">
      <c r="B1242" s="161"/>
      <c r="C1242" s="162"/>
      <c r="D1242" s="163"/>
      <c r="E1242" s="162"/>
      <c r="F1242" s="162"/>
      <c r="G1242" s="162"/>
      <c r="H1242" s="162"/>
      <c r="I1242" s="162"/>
      <c r="J1242" s="162"/>
      <c r="K1242" s="162"/>
      <c r="L1242" s="163"/>
    </row>
    <row r="1243" spans="2:12" ht="19.2" customHeight="1" x14ac:dyDescent="0.3">
      <c r="B1243" s="161"/>
      <c r="C1243" s="162"/>
      <c r="D1243" s="163"/>
      <c r="E1243" s="162"/>
      <c r="F1243" s="162"/>
      <c r="G1243" s="162"/>
      <c r="H1243" s="162"/>
      <c r="I1243" s="162"/>
      <c r="J1243" s="162"/>
      <c r="K1243" s="162"/>
      <c r="L1243" s="163"/>
    </row>
    <row r="1244" spans="2:12" ht="19.2" customHeight="1" x14ac:dyDescent="0.3">
      <c r="B1244" s="161"/>
      <c r="C1244" s="162"/>
      <c r="D1244" s="163"/>
      <c r="E1244" s="162"/>
      <c r="F1244" s="162"/>
      <c r="G1244" s="162"/>
      <c r="H1244" s="162"/>
      <c r="I1244" s="162"/>
      <c r="J1244" s="162"/>
      <c r="K1244" s="162"/>
      <c r="L1244" s="163"/>
    </row>
    <row r="1245" spans="2:12" ht="19.2" customHeight="1" x14ac:dyDescent="0.3">
      <c r="B1245" s="161"/>
      <c r="C1245" s="162"/>
      <c r="D1245" s="163"/>
      <c r="E1245" s="162"/>
      <c r="F1245" s="162"/>
      <c r="G1245" s="162"/>
      <c r="H1245" s="162"/>
      <c r="I1245" s="162"/>
      <c r="J1245" s="162"/>
      <c r="K1245" s="162"/>
      <c r="L1245" s="163"/>
    </row>
    <row r="1246" spans="2:12" ht="19.2" customHeight="1" x14ac:dyDescent="0.3">
      <c r="B1246" s="161"/>
      <c r="C1246" s="162"/>
      <c r="D1246" s="163"/>
      <c r="E1246" s="162"/>
      <c r="F1246" s="162"/>
      <c r="G1246" s="162"/>
      <c r="H1246" s="162"/>
      <c r="I1246" s="162"/>
      <c r="J1246" s="162"/>
      <c r="K1246" s="162"/>
      <c r="L1246" s="163"/>
    </row>
    <row r="1247" spans="2:12" ht="19.2" customHeight="1" x14ac:dyDescent="0.3">
      <c r="B1247" s="161"/>
      <c r="C1247" s="162"/>
      <c r="D1247" s="163"/>
      <c r="E1247" s="162"/>
      <c r="F1247" s="162"/>
      <c r="G1247" s="162"/>
      <c r="H1247" s="162"/>
      <c r="I1247" s="162"/>
      <c r="J1247" s="162"/>
      <c r="K1247" s="162"/>
      <c r="L1247" s="163"/>
    </row>
    <row r="1248" spans="2:12" ht="19.2" customHeight="1" x14ac:dyDescent="0.3">
      <c r="B1248" s="161"/>
      <c r="C1248" s="162"/>
      <c r="D1248" s="163"/>
      <c r="E1248" s="162"/>
      <c r="F1248" s="162"/>
      <c r="G1248" s="162"/>
      <c r="H1248" s="162"/>
      <c r="I1248" s="162"/>
      <c r="J1248" s="162"/>
      <c r="K1248" s="162"/>
      <c r="L1248" s="163"/>
    </row>
    <row r="1249" spans="2:12" ht="19.2" customHeight="1" x14ac:dyDescent="0.3">
      <c r="B1249" s="161"/>
      <c r="C1249" s="162"/>
      <c r="D1249" s="163"/>
      <c r="E1249" s="162"/>
      <c r="F1249" s="162"/>
      <c r="G1249" s="162"/>
      <c r="H1249" s="162"/>
      <c r="I1249" s="162"/>
      <c r="J1249" s="162"/>
      <c r="K1249" s="162"/>
      <c r="L1249" s="163"/>
    </row>
    <row r="1250" spans="2:12" ht="19.2" customHeight="1" x14ac:dyDescent="0.3">
      <c r="B1250" s="161"/>
      <c r="C1250" s="162"/>
      <c r="D1250" s="163"/>
      <c r="E1250" s="162"/>
      <c r="F1250" s="162"/>
      <c r="G1250" s="162"/>
      <c r="H1250" s="162"/>
      <c r="I1250" s="162"/>
      <c r="J1250" s="162"/>
      <c r="K1250" s="162"/>
      <c r="L1250" s="163"/>
    </row>
    <row r="1251" spans="2:12" ht="19.2" customHeight="1" x14ac:dyDescent="0.3">
      <c r="B1251" s="161"/>
      <c r="C1251" s="162"/>
      <c r="D1251" s="163"/>
      <c r="E1251" s="162"/>
      <c r="F1251" s="162"/>
      <c r="G1251" s="162"/>
      <c r="H1251" s="162"/>
      <c r="I1251" s="162"/>
      <c r="J1251" s="162"/>
      <c r="K1251" s="162"/>
      <c r="L1251" s="163"/>
    </row>
    <row r="1252" spans="2:12" ht="19.2" customHeight="1" x14ac:dyDescent="0.3">
      <c r="B1252" s="161"/>
      <c r="C1252" s="162"/>
      <c r="D1252" s="163"/>
      <c r="E1252" s="162"/>
      <c r="F1252" s="162"/>
      <c r="G1252" s="162"/>
      <c r="H1252" s="162"/>
      <c r="I1252" s="162"/>
      <c r="J1252" s="162"/>
      <c r="K1252" s="162"/>
      <c r="L1252" s="163"/>
    </row>
    <row r="1253" spans="2:12" ht="19.2" customHeight="1" x14ac:dyDescent="0.3">
      <c r="B1253" s="161"/>
      <c r="C1253" s="162"/>
      <c r="D1253" s="163"/>
      <c r="E1253" s="162"/>
      <c r="F1253" s="162"/>
      <c r="G1253" s="162"/>
      <c r="H1253" s="162"/>
      <c r="I1253" s="162"/>
      <c r="J1253" s="162"/>
      <c r="K1253" s="162"/>
      <c r="L1253" s="163"/>
    </row>
    <row r="1254" spans="2:12" ht="19.2" customHeight="1" x14ac:dyDescent="0.3">
      <c r="B1254" s="161"/>
      <c r="C1254" s="162"/>
      <c r="D1254" s="163"/>
      <c r="E1254" s="162"/>
      <c r="F1254" s="162"/>
      <c r="G1254" s="162"/>
      <c r="H1254" s="162"/>
      <c r="I1254" s="162"/>
      <c r="J1254" s="162"/>
      <c r="K1254" s="162"/>
      <c r="L1254" s="163"/>
    </row>
    <row r="1255" spans="2:12" ht="19.2" customHeight="1" x14ac:dyDescent="0.3">
      <c r="B1255" s="161"/>
      <c r="C1255" s="162"/>
      <c r="D1255" s="163"/>
      <c r="E1255" s="162"/>
      <c r="F1255" s="162"/>
      <c r="G1255" s="162"/>
      <c r="H1255" s="162"/>
      <c r="I1255" s="162"/>
      <c r="J1255" s="162"/>
      <c r="K1255" s="162"/>
      <c r="L1255" s="163"/>
    </row>
    <row r="1256" spans="2:12" ht="19.2" customHeight="1" x14ac:dyDescent="0.3">
      <c r="B1256" s="161"/>
      <c r="C1256" s="162"/>
      <c r="D1256" s="163"/>
      <c r="E1256" s="162"/>
      <c r="F1256" s="162"/>
      <c r="G1256" s="162"/>
      <c r="H1256" s="162"/>
      <c r="I1256" s="162"/>
      <c r="J1256" s="162"/>
      <c r="K1256" s="162"/>
      <c r="L1256" s="163"/>
    </row>
    <row r="1257" spans="2:12" ht="19.2" customHeight="1" x14ac:dyDescent="0.3">
      <c r="B1257" s="161"/>
      <c r="C1257" s="162"/>
      <c r="D1257" s="163"/>
      <c r="E1257" s="162"/>
      <c r="F1257" s="162"/>
      <c r="G1257" s="162"/>
      <c r="H1257" s="162"/>
      <c r="I1257" s="162"/>
      <c r="J1257" s="162"/>
      <c r="K1257" s="162"/>
      <c r="L1257" s="163"/>
    </row>
    <row r="1258" spans="2:12" ht="19.2" customHeight="1" x14ac:dyDescent="0.3">
      <c r="B1258" s="161"/>
      <c r="C1258" s="162"/>
      <c r="D1258" s="163"/>
      <c r="E1258" s="162"/>
      <c r="F1258" s="162"/>
      <c r="G1258" s="162"/>
      <c r="H1258" s="162"/>
      <c r="I1258" s="162"/>
      <c r="J1258" s="162"/>
      <c r="K1258" s="162"/>
      <c r="L1258" s="163"/>
    </row>
    <row r="1259" spans="2:12" ht="19.2" customHeight="1" x14ac:dyDescent="0.3">
      <c r="B1259" s="161"/>
      <c r="C1259" s="162"/>
      <c r="D1259" s="163"/>
      <c r="E1259" s="162"/>
      <c r="F1259" s="162"/>
      <c r="G1259" s="162"/>
      <c r="H1259" s="162"/>
      <c r="I1259" s="162"/>
      <c r="J1259" s="162"/>
      <c r="K1259" s="162"/>
      <c r="L1259" s="163"/>
    </row>
    <row r="1260" spans="2:12" ht="19.2" customHeight="1" x14ac:dyDescent="0.3">
      <c r="B1260" s="161"/>
      <c r="C1260" s="162"/>
      <c r="D1260" s="163"/>
      <c r="E1260" s="162"/>
      <c r="F1260" s="162"/>
      <c r="G1260" s="162"/>
      <c r="H1260" s="162"/>
      <c r="I1260" s="162"/>
      <c r="J1260" s="162"/>
      <c r="K1260" s="162"/>
      <c r="L1260" s="163"/>
    </row>
    <row r="1261" spans="2:12" ht="19.2" customHeight="1" x14ac:dyDescent="0.3">
      <c r="B1261" s="161"/>
      <c r="C1261" s="162"/>
      <c r="D1261" s="163"/>
      <c r="E1261" s="162"/>
      <c r="F1261" s="162"/>
      <c r="G1261" s="162"/>
      <c r="H1261" s="162"/>
      <c r="I1261" s="162"/>
      <c r="J1261" s="162"/>
      <c r="K1261" s="162"/>
      <c r="L1261" s="163"/>
    </row>
    <row r="1262" spans="2:12" ht="19.2" customHeight="1" x14ac:dyDescent="0.3">
      <c r="B1262" s="161"/>
      <c r="C1262" s="162"/>
      <c r="D1262" s="163"/>
      <c r="E1262" s="162"/>
      <c r="F1262" s="162"/>
      <c r="G1262" s="162"/>
      <c r="H1262" s="162"/>
      <c r="I1262" s="162"/>
      <c r="J1262" s="162"/>
      <c r="K1262" s="162"/>
      <c r="L1262" s="163"/>
    </row>
    <row r="1263" spans="2:12" ht="19.2" customHeight="1" x14ac:dyDescent="0.3">
      <c r="B1263" s="161"/>
      <c r="C1263" s="162"/>
      <c r="D1263" s="163"/>
      <c r="E1263" s="162"/>
      <c r="F1263" s="162"/>
      <c r="G1263" s="162"/>
      <c r="H1263" s="162"/>
      <c r="I1263" s="162"/>
      <c r="J1263" s="162"/>
      <c r="K1263" s="162"/>
      <c r="L1263" s="163"/>
    </row>
    <row r="1264" spans="2:12" ht="19.2" customHeight="1" x14ac:dyDescent="0.3">
      <c r="B1264" s="161"/>
      <c r="C1264" s="162"/>
      <c r="D1264" s="163"/>
      <c r="E1264" s="162"/>
      <c r="F1264" s="162"/>
      <c r="G1264" s="162"/>
      <c r="H1264" s="162"/>
      <c r="I1264" s="162"/>
      <c r="J1264" s="162"/>
      <c r="K1264" s="162"/>
      <c r="L1264" s="163"/>
    </row>
    <row r="1265" spans="2:12" ht="19.2" customHeight="1" x14ac:dyDescent="0.3">
      <c r="B1265" s="161"/>
      <c r="C1265" s="162"/>
      <c r="D1265" s="163"/>
      <c r="E1265" s="162"/>
      <c r="F1265" s="162"/>
      <c r="G1265" s="162"/>
      <c r="H1265" s="162"/>
      <c r="I1265" s="162"/>
      <c r="J1265" s="162"/>
      <c r="K1265" s="162"/>
      <c r="L1265" s="163"/>
    </row>
    <row r="1266" spans="2:12" ht="19.2" customHeight="1" x14ac:dyDescent="0.3">
      <c r="B1266" s="161"/>
      <c r="C1266" s="162"/>
      <c r="D1266" s="163"/>
      <c r="E1266" s="162"/>
      <c r="F1266" s="162"/>
      <c r="G1266" s="162"/>
      <c r="H1266" s="162"/>
      <c r="I1266" s="162"/>
      <c r="J1266" s="162"/>
      <c r="K1266" s="162"/>
      <c r="L1266" s="163"/>
    </row>
    <row r="1267" spans="2:12" ht="19.2" customHeight="1" x14ac:dyDescent="0.3">
      <c r="B1267" s="161"/>
      <c r="C1267" s="162"/>
      <c r="D1267" s="163"/>
      <c r="E1267" s="162"/>
      <c r="F1267" s="162"/>
      <c r="G1267" s="162"/>
      <c r="H1267" s="162"/>
      <c r="I1267" s="162"/>
      <c r="J1267" s="162"/>
      <c r="K1267" s="162"/>
      <c r="L1267" s="163"/>
    </row>
    <row r="1268" spans="2:12" ht="19.2" customHeight="1" x14ac:dyDescent="0.3">
      <c r="B1268" s="161"/>
      <c r="C1268" s="162"/>
      <c r="D1268" s="163"/>
      <c r="E1268" s="162"/>
      <c r="F1268" s="162"/>
      <c r="G1268" s="162"/>
      <c r="H1268" s="162"/>
      <c r="I1268" s="162"/>
      <c r="J1268" s="162"/>
      <c r="K1268" s="162"/>
      <c r="L1268" s="163"/>
    </row>
    <row r="1269" spans="2:12" ht="19.2" customHeight="1" x14ac:dyDescent="0.3">
      <c r="B1269" s="161"/>
      <c r="C1269" s="162"/>
      <c r="D1269" s="163"/>
      <c r="E1269" s="162"/>
      <c r="F1269" s="162"/>
      <c r="G1269" s="162"/>
      <c r="H1269" s="162"/>
      <c r="I1269" s="162"/>
      <c r="J1269" s="162"/>
      <c r="K1269" s="162"/>
      <c r="L1269" s="163"/>
    </row>
    <row r="1270" spans="2:12" ht="19.2" customHeight="1" x14ac:dyDescent="0.3">
      <c r="B1270" s="161"/>
      <c r="C1270" s="162"/>
      <c r="D1270" s="163"/>
      <c r="E1270" s="162"/>
      <c r="F1270" s="162"/>
      <c r="G1270" s="162"/>
      <c r="H1270" s="162"/>
      <c r="I1270" s="162"/>
      <c r="J1270" s="162"/>
      <c r="K1270" s="162"/>
      <c r="L1270" s="163"/>
    </row>
    <row r="1271" spans="2:12" ht="19.2" customHeight="1" x14ac:dyDescent="0.3">
      <c r="B1271" s="161"/>
      <c r="C1271" s="162"/>
      <c r="D1271" s="163"/>
      <c r="E1271" s="162"/>
      <c r="F1271" s="162"/>
      <c r="G1271" s="162"/>
      <c r="H1271" s="162"/>
      <c r="I1271" s="162"/>
      <c r="J1271" s="162"/>
      <c r="K1271" s="162"/>
      <c r="L1271" s="163"/>
    </row>
    <row r="1272" spans="2:12" ht="19.2" customHeight="1" x14ac:dyDescent="0.3">
      <c r="B1272" s="161"/>
      <c r="C1272" s="162"/>
      <c r="D1272" s="163"/>
      <c r="E1272" s="162"/>
      <c r="F1272" s="162"/>
      <c r="G1272" s="162"/>
      <c r="H1272" s="162"/>
      <c r="I1272" s="162"/>
      <c r="J1272" s="162"/>
      <c r="K1272" s="162"/>
      <c r="L1272" s="163"/>
    </row>
    <row r="1273" spans="2:12" ht="19.2" customHeight="1" x14ac:dyDescent="0.3">
      <c r="B1273" s="161"/>
      <c r="C1273" s="162"/>
      <c r="D1273" s="163"/>
      <c r="E1273" s="162"/>
      <c r="F1273" s="162"/>
      <c r="G1273" s="162"/>
      <c r="H1273" s="162"/>
      <c r="I1273" s="162"/>
      <c r="J1273" s="162"/>
      <c r="K1273" s="162"/>
      <c r="L1273" s="163"/>
    </row>
    <row r="1274" spans="2:12" ht="19.2" customHeight="1" x14ac:dyDescent="0.3">
      <c r="B1274" s="161"/>
      <c r="C1274" s="162"/>
      <c r="D1274" s="163"/>
      <c r="E1274" s="162"/>
      <c r="F1274" s="162"/>
      <c r="G1274" s="162"/>
      <c r="H1274" s="162"/>
      <c r="I1274" s="162"/>
      <c r="J1274" s="162"/>
      <c r="K1274" s="162"/>
      <c r="L1274" s="163"/>
    </row>
    <row r="1275" spans="2:12" ht="19.2" customHeight="1" x14ac:dyDescent="0.3">
      <c r="B1275" s="161"/>
      <c r="C1275" s="162"/>
      <c r="D1275" s="163"/>
      <c r="E1275" s="162"/>
      <c r="F1275" s="162"/>
      <c r="G1275" s="162"/>
      <c r="H1275" s="162"/>
      <c r="I1275" s="162"/>
      <c r="J1275" s="162"/>
      <c r="K1275" s="162"/>
      <c r="L1275" s="163"/>
    </row>
    <row r="1276" spans="2:12" ht="19.2" customHeight="1" x14ac:dyDescent="0.3">
      <c r="B1276" s="161"/>
      <c r="C1276" s="162"/>
      <c r="D1276" s="163"/>
      <c r="E1276" s="162"/>
      <c r="F1276" s="162"/>
      <c r="G1276" s="162"/>
      <c r="H1276" s="162"/>
      <c r="I1276" s="162"/>
      <c r="J1276" s="162"/>
      <c r="K1276" s="162"/>
      <c r="L1276" s="163"/>
    </row>
    <row r="1277" spans="2:12" ht="19.2" customHeight="1" x14ac:dyDescent="0.3">
      <c r="B1277" s="161"/>
      <c r="C1277" s="162"/>
      <c r="D1277" s="163"/>
      <c r="E1277" s="162"/>
      <c r="F1277" s="162"/>
      <c r="G1277" s="162"/>
      <c r="H1277" s="162"/>
      <c r="I1277" s="162"/>
      <c r="J1277" s="162"/>
      <c r="K1277" s="162"/>
      <c r="L1277" s="163"/>
    </row>
    <row r="1278" spans="2:12" ht="19.2" customHeight="1" x14ac:dyDescent="0.3">
      <c r="B1278" s="161"/>
      <c r="C1278" s="162"/>
      <c r="D1278" s="163"/>
      <c r="E1278" s="162"/>
      <c r="F1278" s="162"/>
      <c r="G1278" s="162"/>
      <c r="H1278" s="162"/>
      <c r="I1278" s="162"/>
      <c r="J1278" s="162"/>
      <c r="K1278" s="162"/>
      <c r="L1278" s="163"/>
    </row>
    <row r="1279" spans="2:12" ht="19.2" customHeight="1" x14ac:dyDescent="0.3">
      <c r="B1279" s="161"/>
      <c r="C1279" s="162"/>
      <c r="D1279" s="163"/>
      <c r="E1279" s="162"/>
      <c r="F1279" s="162"/>
      <c r="G1279" s="162"/>
      <c r="H1279" s="162"/>
      <c r="I1279" s="162"/>
      <c r="J1279" s="162"/>
      <c r="K1279" s="162"/>
      <c r="L1279" s="163"/>
    </row>
    <row r="1280" spans="2:12" ht="19.2" customHeight="1" x14ac:dyDescent="0.3">
      <c r="B1280" s="161"/>
      <c r="C1280" s="162"/>
      <c r="D1280" s="163"/>
      <c r="E1280" s="162"/>
      <c r="F1280" s="162"/>
      <c r="G1280" s="162"/>
      <c r="H1280" s="162"/>
      <c r="I1280" s="162"/>
      <c r="J1280" s="162"/>
      <c r="K1280" s="162"/>
      <c r="L1280" s="163"/>
    </row>
    <row r="1281" spans="2:12" ht="19.2" customHeight="1" x14ac:dyDescent="0.3">
      <c r="B1281" s="161"/>
      <c r="C1281" s="162"/>
      <c r="D1281" s="163"/>
      <c r="E1281" s="162"/>
      <c r="F1281" s="162"/>
      <c r="G1281" s="162"/>
      <c r="H1281" s="162"/>
      <c r="I1281" s="162"/>
      <c r="J1281" s="162"/>
      <c r="K1281" s="162"/>
      <c r="L1281" s="163"/>
    </row>
    <row r="1282" spans="2:12" ht="19.2" customHeight="1" x14ac:dyDescent="0.3">
      <c r="B1282" s="161"/>
      <c r="C1282" s="162"/>
      <c r="D1282" s="163"/>
      <c r="E1282" s="162"/>
      <c r="F1282" s="162"/>
      <c r="G1282" s="162"/>
      <c r="H1282" s="162"/>
      <c r="I1282" s="162"/>
      <c r="J1282" s="162"/>
      <c r="K1282" s="162"/>
      <c r="L1282" s="163"/>
    </row>
    <row r="1283" spans="2:12" ht="19.2" customHeight="1" x14ac:dyDescent="0.3">
      <c r="B1283" s="161"/>
      <c r="C1283" s="162"/>
      <c r="D1283" s="163"/>
      <c r="E1283" s="162"/>
      <c r="F1283" s="162"/>
      <c r="G1283" s="162"/>
      <c r="H1283" s="162"/>
      <c r="I1283" s="162"/>
      <c r="J1283" s="162"/>
      <c r="K1283" s="162"/>
      <c r="L1283" s="163"/>
    </row>
    <row r="1284" spans="2:12" ht="19.2" customHeight="1" x14ac:dyDescent="0.3">
      <c r="B1284" s="161"/>
      <c r="C1284" s="162"/>
      <c r="D1284" s="163"/>
      <c r="E1284" s="162"/>
      <c r="F1284" s="162"/>
      <c r="G1284" s="162"/>
      <c r="H1284" s="162"/>
      <c r="I1284" s="162"/>
      <c r="J1284" s="162"/>
      <c r="K1284" s="162"/>
      <c r="L1284" s="163"/>
    </row>
    <row r="1285" spans="2:12" ht="19.2" customHeight="1" x14ac:dyDescent="0.3">
      <c r="B1285" s="161"/>
      <c r="C1285" s="162"/>
      <c r="D1285" s="163"/>
      <c r="E1285" s="162"/>
      <c r="F1285" s="162"/>
      <c r="G1285" s="162"/>
      <c r="H1285" s="162"/>
      <c r="I1285" s="162"/>
      <c r="J1285" s="162"/>
      <c r="K1285" s="162"/>
      <c r="L1285" s="163"/>
    </row>
    <row r="1286" spans="2:12" ht="19.2" customHeight="1" x14ac:dyDescent="0.3">
      <c r="B1286" s="161"/>
      <c r="C1286" s="162"/>
      <c r="D1286" s="163"/>
      <c r="E1286" s="162"/>
      <c r="F1286" s="162"/>
      <c r="G1286" s="162"/>
      <c r="H1286" s="162"/>
      <c r="I1286" s="162"/>
      <c r="J1286" s="162"/>
      <c r="K1286" s="162"/>
      <c r="L1286" s="163"/>
    </row>
    <row r="1287" spans="2:12" ht="19.2" customHeight="1" x14ac:dyDescent="0.3">
      <c r="B1287" s="161"/>
      <c r="C1287" s="162"/>
      <c r="D1287" s="163"/>
      <c r="E1287" s="162"/>
      <c r="F1287" s="162"/>
      <c r="G1287" s="162"/>
      <c r="H1287" s="162"/>
      <c r="I1287" s="162"/>
      <c r="J1287" s="162"/>
      <c r="K1287" s="162"/>
      <c r="L1287" s="163"/>
    </row>
    <row r="1288" spans="2:12" ht="19.2" customHeight="1" x14ac:dyDescent="0.3">
      <c r="B1288" s="161"/>
      <c r="C1288" s="162"/>
      <c r="D1288" s="163"/>
      <c r="E1288" s="162"/>
      <c r="F1288" s="162"/>
      <c r="G1288" s="162"/>
      <c r="H1288" s="162"/>
      <c r="I1288" s="162"/>
      <c r="J1288" s="162"/>
      <c r="K1288" s="162"/>
      <c r="L1288" s="163"/>
    </row>
    <row r="1289" spans="2:12" ht="19.2" customHeight="1" x14ac:dyDescent="0.3">
      <c r="B1289" s="161"/>
      <c r="C1289" s="162"/>
      <c r="D1289" s="163"/>
      <c r="E1289" s="162"/>
      <c r="F1289" s="162"/>
      <c r="G1289" s="162"/>
      <c r="H1289" s="162"/>
      <c r="I1289" s="162"/>
      <c r="J1289" s="162"/>
      <c r="K1289" s="162"/>
      <c r="L1289" s="163"/>
    </row>
    <row r="1290" spans="2:12" ht="19.2" customHeight="1" x14ac:dyDescent="0.3">
      <c r="B1290" s="161"/>
      <c r="C1290" s="162"/>
      <c r="D1290" s="163"/>
      <c r="E1290" s="162"/>
      <c r="F1290" s="162"/>
      <c r="G1290" s="162"/>
      <c r="H1290" s="162"/>
      <c r="I1290" s="162"/>
      <c r="J1290" s="162"/>
      <c r="K1290" s="162"/>
      <c r="L1290" s="163"/>
    </row>
    <row r="1291" spans="2:12" ht="19.2" customHeight="1" x14ac:dyDescent="0.3">
      <c r="B1291" s="161"/>
      <c r="C1291" s="162"/>
      <c r="D1291" s="163"/>
      <c r="E1291" s="162"/>
      <c r="F1291" s="162"/>
      <c r="G1291" s="162"/>
      <c r="H1291" s="162"/>
      <c r="I1291" s="162"/>
      <c r="J1291" s="162"/>
      <c r="K1291" s="162"/>
      <c r="L1291" s="163"/>
    </row>
    <row r="1292" spans="2:12" ht="19.2" customHeight="1" x14ac:dyDescent="0.3">
      <c r="B1292" s="161"/>
      <c r="C1292" s="162"/>
      <c r="D1292" s="163"/>
      <c r="E1292" s="162"/>
      <c r="F1292" s="162"/>
      <c r="G1292" s="162"/>
      <c r="H1292" s="162"/>
      <c r="I1292" s="162"/>
      <c r="J1292" s="162"/>
      <c r="K1292" s="162"/>
      <c r="L1292" s="163"/>
    </row>
    <row r="1293" spans="2:12" ht="19.2" customHeight="1" x14ac:dyDescent="0.3">
      <c r="B1293" s="161"/>
      <c r="C1293" s="162"/>
      <c r="D1293" s="163"/>
      <c r="E1293" s="162"/>
      <c r="F1293" s="162"/>
      <c r="G1293" s="162"/>
      <c r="H1293" s="162"/>
      <c r="I1293" s="162"/>
      <c r="J1293" s="162"/>
      <c r="K1293" s="162"/>
      <c r="L1293" s="163"/>
    </row>
    <row r="1294" spans="2:12" ht="19.2" customHeight="1" x14ac:dyDescent="0.3">
      <c r="B1294" s="161"/>
      <c r="C1294" s="162"/>
      <c r="D1294" s="163"/>
      <c r="E1294" s="162"/>
      <c r="F1294" s="162"/>
      <c r="G1294" s="162"/>
      <c r="H1294" s="162"/>
      <c r="I1294" s="162"/>
      <c r="J1294" s="162"/>
      <c r="K1294" s="162"/>
      <c r="L1294" s="163"/>
    </row>
    <row r="1295" spans="2:12" ht="19.2" customHeight="1" x14ac:dyDescent="0.3">
      <c r="B1295" s="161"/>
      <c r="C1295" s="162"/>
      <c r="D1295" s="163"/>
      <c r="E1295" s="162"/>
      <c r="F1295" s="162"/>
      <c r="G1295" s="162"/>
      <c r="H1295" s="162"/>
      <c r="I1295" s="162"/>
      <c r="J1295" s="162"/>
      <c r="K1295" s="162"/>
      <c r="L1295" s="163"/>
    </row>
    <row r="1296" spans="2:12" ht="19.2" customHeight="1" x14ac:dyDescent="0.3">
      <c r="B1296" s="161"/>
      <c r="C1296" s="162"/>
      <c r="D1296" s="163"/>
      <c r="E1296" s="162"/>
      <c r="F1296" s="162"/>
      <c r="G1296" s="162"/>
      <c r="H1296" s="162"/>
      <c r="I1296" s="162"/>
      <c r="J1296" s="162"/>
      <c r="K1296" s="162"/>
      <c r="L1296" s="163"/>
    </row>
    <row r="1297" spans="2:12" ht="19.2" customHeight="1" x14ac:dyDescent="0.3">
      <c r="B1297" s="161"/>
      <c r="C1297" s="162"/>
      <c r="D1297" s="163"/>
      <c r="E1297" s="162"/>
      <c r="F1297" s="162"/>
      <c r="G1297" s="162"/>
      <c r="H1297" s="162"/>
      <c r="I1297" s="162"/>
      <c r="J1297" s="162"/>
      <c r="K1297" s="162"/>
      <c r="L1297" s="163"/>
    </row>
    <row r="1298" spans="2:12" ht="19.2" customHeight="1" x14ac:dyDescent="0.3">
      <c r="B1298" s="161"/>
      <c r="C1298" s="162"/>
      <c r="D1298" s="163"/>
      <c r="E1298" s="162"/>
      <c r="F1298" s="162"/>
      <c r="G1298" s="162"/>
      <c r="H1298" s="162"/>
      <c r="I1298" s="162"/>
      <c r="J1298" s="162"/>
      <c r="K1298" s="162"/>
      <c r="L1298" s="163"/>
    </row>
    <row r="1299" spans="2:12" ht="19.2" customHeight="1" x14ac:dyDescent="0.3">
      <c r="B1299" s="161"/>
      <c r="C1299" s="162"/>
      <c r="D1299" s="163"/>
      <c r="E1299" s="162"/>
      <c r="F1299" s="162"/>
      <c r="G1299" s="162"/>
      <c r="H1299" s="162"/>
      <c r="I1299" s="162"/>
      <c r="J1299" s="162"/>
      <c r="K1299" s="162"/>
      <c r="L1299" s="163"/>
    </row>
    <row r="1300" spans="2:12" ht="19.2" customHeight="1" x14ac:dyDescent="0.3">
      <c r="B1300" s="161"/>
      <c r="C1300" s="162"/>
      <c r="D1300" s="163"/>
      <c r="E1300" s="162"/>
      <c r="F1300" s="162"/>
      <c r="G1300" s="162"/>
      <c r="H1300" s="162"/>
      <c r="I1300" s="162"/>
      <c r="J1300" s="162"/>
      <c r="K1300" s="162"/>
      <c r="L1300" s="163"/>
    </row>
    <row r="1301" spans="2:12" ht="19.2" customHeight="1" x14ac:dyDescent="0.3">
      <c r="B1301" s="161"/>
      <c r="C1301" s="162"/>
      <c r="D1301" s="163"/>
      <c r="E1301" s="162"/>
      <c r="F1301" s="162"/>
      <c r="G1301" s="162"/>
      <c r="H1301" s="162"/>
      <c r="I1301" s="162"/>
      <c r="J1301" s="162"/>
      <c r="K1301" s="162"/>
      <c r="L1301" s="163"/>
    </row>
    <row r="1302" spans="2:12" ht="19.2" customHeight="1" x14ac:dyDescent="0.3">
      <c r="B1302" s="161"/>
      <c r="C1302" s="162"/>
      <c r="D1302" s="163"/>
      <c r="E1302" s="162"/>
      <c r="F1302" s="162"/>
      <c r="G1302" s="162"/>
      <c r="H1302" s="162"/>
      <c r="I1302" s="162"/>
      <c r="J1302" s="162"/>
      <c r="K1302" s="162"/>
      <c r="L1302" s="163"/>
    </row>
    <row r="1303" spans="2:12" ht="19.2" customHeight="1" x14ac:dyDescent="0.3">
      <c r="B1303" s="161"/>
      <c r="C1303" s="162"/>
      <c r="D1303" s="163"/>
      <c r="E1303" s="162"/>
      <c r="F1303" s="162"/>
      <c r="G1303" s="162"/>
      <c r="H1303" s="162"/>
      <c r="I1303" s="162"/>
      <c r="J1303" s="162"/>
      <c r="K1303" s="162"/>
      <c r="L1303" s="163"/>
    </row>
    <row r="1304" spans="2:12" ht="19.2" customHeight="1" x14ac:dyDescent="0.3">
      <c r="B1304" s="161"/>
      <c r="C1304" s="162"/>
      <c r="D1304" s="163"/>
      <c r="E1304" s="162"/>
      <c r="F1304" s="162"/>
      <c r="G1304" s="162"/>
      <c r="H1304" s="162"/>
      <c r="I1304" s="162"/>
      <c r="J1304" s="162"/>
      <c r="K1304" s="162"/>
      <c r="L1304" s="163"/>
    </row>
    <row r="1305" spans="2:12" ht="19.2" customHeight="1" x14ac:dyDescent="0.3">
      <c r="B1305" s="161"/>
      <c r="C1305" s="162"/>
      <c r="D1305" s="163"/>
      <c r="E1305" s="162"/>
      <c r="F1305" s="162"/>
      <c r="G1305" s="162"/>
      <c r="H1305" s="162"/>
      <c r="I1305" s="162"/>
      <c r="J1305" s="162"/>
      <c r="K1305" s="162"/>
      <c r="L1305" s="163"/>
    </row>
    <row r="1306" spans="2:12" ht="19.2" customHeight="1" x14ac:dyDescent="0.3">
      <c r="B1306" s="161"/>
      <c r="C1306" s="162"/>
      <c r="D1306" s="163"/>
      <c r="E1306" s="162"/>
      <c r="F1306" s="162"/>
      <c r="G1306" s="162"/>
      <c r="H1306" s="162"/>
      <c r="I1306" s="162"/>
      <c r="J1306" s="162"/>
      <c r="K1306" s="162"/>
      <c r="L1306" s="163"/>
    </row>
    <row r="1307" spans="2:12" ht="19.2" customHeight="1" x14ac:dyDescent="0.3">
      <c r="B1307" s="161"/>
      <c r="C1307" s="162"/>
      <c r="D1307" s="163"/>
      <c r="E1307" s="162"/>
      <c r="F1307" s="162"/>
      <c r="G1307" s="162"/>
      <c r="H1307" s="162"/>
      <c r="I1307" s="162"/>
      <c r="J1307" s="162"/>
      <c r="K1307" s="162"/>
      <c r="L1307" s="163"/>
    </row>
    <row r="1308" spans="2:12" ht="19.2" customHeight="1" x14ac:dyDescent="0.3">
      <c r="B1308" s="161"/>
      <c r="C1308" s="162"/>
      <c r="D1308" s="163"/>
      <c r="E1308" s="162"/>
      <c r="F1308" s="162"/>
      <c r="G1308" s="162"/>
      <c r="H1308" s="162"/>
      <c r="I1308" s="162"/>
      <c r="J1308" s="162"/>
      <c r="K1308" s="162"/>
      <c r="L1308" s="163"/>
    </row>
    <row r="1309" spans="2:12" ht="19.2" customHeight="1" x14ac:dyDescent="0.3">
      <c r="B1309" s="161"/>
      <c r="C1309" s="162"/>
      <c r="D1309" s="163"/>
      <c r="E1309" s="162"/>
      <c r="F1309" s="162"/>
      <c r="G1309" s="162"/>
      <c r="H1309" s="162"/>
      <c r="I1309" s="162"/>
      <c r="J1309" s="162"/>
      <c r="K1309" s="162"/>
      <c r="L1309" s="163"/>
    </row>
    <row r="1310" spans="2:12" ht="19.2" customHeight="1" x14ac:dyDescent="0.3">
      <c r="B1310" s="161"/>
      <c r="C1310" s="162"/>
      <c r="D1310" s="163"/>
      <c r="E1310" s="162"/>
      <c r="F1310" s="162"/>
      <c r="G1310" s="162"/>
      <c r="H1310" s="162"/>
      <c r="I1310" s="162"/>
      <c r="J1310" s="162"/>
      <c r="K1310" s="162"/>
      <c r="L1310" s="163"/>
    </row>
    <row r="1311" spans="2:12" ht="19.2" customHeight="1" x14ac:dyDescent="0.3">
      <c r="B1311" s="161"/>
      <c r="C1311" s="162"/>
      <c r="D1311" s="163"/>
      <c r="E1311" s="162"/>
      <c r="F1311" s="162"/>
      <c r="G1311" s="162"/>
      <c r="H1311" s="162"/>
      <c r="I1311" s="162"/>
      <c r="J1311" s="162"/>
      <c r="K1311" s="162"/>
      <c r="L1311" s="163"/>
    </row>
    <row r="1312" spans="2:12" ht="19.2" customHeight="1" x14ac:dyDescent="0.3">
      <c r="B1312" s="161"/>
      <c r="C1312" s="162"/>
      <c r="D1312" s="163"/>
      <c r="E1312" s="162"/>
      <c r="F1312" s="162"/>
      <c r="G1312" s="162"/>
      <c r="H1312" s="162"/>
      <c r="I1312" s="162"/>
      <c r="J1312" s="162"/>
      <c r="K1312" s="162"/>
      <c r="L1312" s="163"/>
    </row>
    <row r="1313" spans="2:12" ht="19.2" customHeight="1" x14ac:dyDescent="0.3">
      <c r="B1313" s="161"/>
      <c r="C1313" s="162"/>
      <c r="D1313" s="163"/>
      <c r="E1313" s="162"/>
      <c r="F1313" s="162"/>
      <c r="G1313" s="162"/>
      <c r="H1313" s="162"/>
      <c r="I1313" s="162"/>
      <c r="J1313" s="162"/>
      <c r="K1313" s="162"/>
      <c r="L1313" s="163"/>
    </row>
    <row r="1314" spans="2:12" ht="19.2" customHeight="1" x14ac:dyDescent="0.3">
      <c r="B1314" s="161"/>
      <c r="C1314" s="162"/>
      <c r="D1314" s="163"/>
      <c r="E1314" s="162"/>
      <c r="F1314" s="162"/>
      <c r="G1314" s="162"/>
      <c r="H1314" s="162"/>
      <c r="I1314" s="162"/>
      <c r="J1314" s="162"/>
      <c r="K1314" s="162"/>
      <c r="L1314" s="163"/>
    </row>
    <row r="1315" spans="2:12" ht="19.2" customHeight="1" x14ac:dyDescent="0.3">
      <c r="B1315" s="161"/>
      <c r="C1315" s="162"/>
      <c r="D1315" s="163"/>
      <c r="E1315" s="162"/>
      <c r="F1315" s="162"/>
      <c r="G1315" s="162"/>
      <c r="H1315" s="162"/>
      <c r="I1315" s="162"/>
      <c r="J1315" s="162"/>
      <c r="K1315" s="162"/>
      <c r="L1315" s="163"/>
    </row>
    <row r="1316" spans="2:12" ht="19.2" customHeight="1" x14ac:dyDescent="0.3">
      <c r="B1316" s="161"/>
      <c r="C1316" s="162"/>
      <c r="D1316" s="163"/>
      <c r="E1316" s="162"/>
      <c r="F1316" s="162"/>
      <c r="G1316" s="162"/>
      <c r="H1316" s="162"/>
      <c r="I1316" s="162"/>
      <c r="J1316" s="162"/>
      <c r="K1316" s="162"/>
      <c r="L1316" s="163"/>
    </row>
    <row r="1317" spans="2:12" ht="19.2" customHeight="1" x14ac:dyDescent="0.3">
      <c r="B1317" s="161"/>
      <c r="C1317" s="162"/>
      <c r="D1317" s="163"/>
      <c r="E1317" s="162"/>
      <c r="F1317" s="162"/>
      <c r="G1317" s="162"/>
      <c r="H1317" s="162"/>
      <c r="I1317" s="162"/>
      <c r="J1317" s="162"/>
      <c r="K1317" s="162"/>
      <c r="L1317" s="163"/>
    </row>
    <row r="1318" spans="2:12" ht="19.2" customHeight="1" x14ac:dyDescent="0.3">
      <c r="B1318" s="161"/>
      <c r="C1318" s="162"/>
      <c r="D1318" s="163"/>
      <c r="E1318" s="162"/>
      <c r="F1318" s="162"/>
      <c r="G1318" s="162"/>
      <c r="H1318" s="162"/>
      <c r="I1318" s="162"/>
      <c r="J1318" s="162"/>
      <c r="K1318" s="162"/>
      <c r="L1318" s="163"/>
    </row>
    <row r="1319" spans="2:12" ht="19.2" customHeight="1" x14ac:dyDescent="0.3">
      <c r="B1319" s="161"/>
      <c r="C1319" s="162"/>
      <c r="D1319" s="163"/>
      <c r="E1319" s="162"/>
      <c r="F1319" s="162"/>
      <c r="G1319" s="162"/>
      <c r="H1319" s="162"/>
      <c r="I1319" s="162"/>
      <c r="J1319" s="162"/>
      <c r="K1319" s="162"/>
      <c r="L1319" s="163"/>
    </row>
    <row r="1320" spans="2:12" ht="19.2" customHeight="1" x14ac:dyDescent="0.3">
      <c r="B1320" s="161"/>
      <c r="C1320" s="162"/>
      <c r="D1320" s="163"/>
      <c r="E1320" s="162"/>
      <c r="F1320" s="162"/>
      <c r="G1320" s="162"/>
      <c r="H1320" s="162"/>
      <c r="I1320" s="162"/>
      <c r="J1320" s="162"/>
      <c r="K1320" s="162"/>
      <c r="L1320" s="163"/>
    </row>
    <row r="1321" spans="2:12" ht="19.2" customHeight="1" x14ac:dyDescent="0.3">
      <c r="B1321" s="161"/>
      <c r="C1321" s="162"/>
      <c r="D1321" s="163"/>
      <c r="E1321" s="162"/>
      <c r="F1321" s="162"/>
      <c r="G1321" s="162"/>
      <c r="H1321" s="162"/>
      <c r="I1321" s="162"/>
      <c r="J1321" s="162"/>
      <c r="K1321" s="162"/>
      <c r="L1321" s="163"/>
    </row>
    <row r="1322" spans="2:12" ht="19.2" customHeight="1" x14ac:dyDescent="0.3">
      <c r="B1322" s="161"/>
      <c r="C1322" s="162"/>
      <c r="D1322" s="163"/>
      <c r="E1322" s="162"/>
      <c r="F1322" s="162"/>
      <c r="G1322" s="162"/>
      <c r="H1322" s="162"/>
      <c r="I1322" s="162"/>
      <c r="J1322" s="162"/>
      <c r="K1322" s="162"/>
      <c r="L1322" s="163"/>
    </row>
    <row r="1323" spans="2:12" ht="19.2" customHeight="1" x14ac:dyDescent="0.3">
      <c r="B1323" s="161"/>
      <c r="C1323" s="162"/>
      <c r="D1323" s="163"/>
      <c r="E1323" s="162"/>
      <c r="F1323" s="162"/>
      <c r="G1323" s="162"/>
      <c r="H1323" s="162"/>
      <c r="I1323" s="162"/>
      <c r="J1323" s="162"/>
      <c r="K1323" s="162"/>
      <c r="L1323" s="163"/>
    </row>
    <row r="1324" spans="2:12" ht="19.2" customHeight="1" x14ac:dyDescent="0.3">
      <c r="B1324" s="161"/>
      <c r="C1324" s="162"/>
      <c r="D1324" s="163"/>
      <c r="E1324" s="162"/>
      <c r="F1324" s="162"/>
      <c r="G1324" s="162"/>
      <c r="H1324" s="162"/>
      <c r="I1324" s="162"/>
      <c r="J1324" s="162"/>
      <c r="K1324" s="162"/>
      <c r="L1324" s="163"/>
    </row>
    <row r="1325" spans="2:12" ht="19.2" customHeight="1" x14ac:dyDescent="0.3">
      <c r="B1325" s="161"/>
      <c r="C1325" s="162"/>
      <c r="D1325" s="163"/>
      <c r="E1325" s="162"/>
      <c r="F1325" s="162"/>
      <c r="G1325" s="162"/>
      <c r="H1325" s="162"/>
      <c r="I1325" s="162"/>
      <c r="J1325" s="162"/>
      <c r="K1325" s="162"/>
      <c r="L1325" s="163"/>
    </row>
    <row r="1326" spans="2:12" ht="19.2" customHeight="1" x14ac:dyDescent="0.3">
      <c r="B1326" s="161"/>
      <c r="C1326" s="162"/>
      <c r="D1326" s="163"/>
      <c r="E1326" s="162"/>
      <c r="F1326" s="162"/>
      <c r="G1326" s="162"/>
      <c r="H1326" s="162"/>
      <c r="I1326" s="162"/>
      <c r="J1326" s="162"/>
      <c r="K1326" s="162"/>
      <c r="L1326" s="163"/>
    </row>
    <row r="1327" spans="2:12" ht="19.2" customHeight="1" x14ac:dyDescent="0.3">
      <c r="B1327" s="161"/>
      <c r="C1327" s="162"/>
      <c r="D1327" s="163"/>
      <c r="E1327" s="162"/>
      <c r="F1327" s="162"/>
      <c r="G1327" s="162"/>
      <c r="H1327" s="162"/>
      <c r="I1327" s="162"/>
      <c r="J1327" s="162"/>
      <c r="K1327" s="162"/>
      <c r="L1327" s="163"/>
    </row>
    <row r="1328" spans="2:12" ht="19.2" customHeight="1" x14ac:dyDescent="0.3">
      <c r="B1328" s="161"/>
      <c r="C1328" s="162"/>
      <c r="D1328" s="163"/>
      <c r="E1328" s="162"/>
      <c r="F1328" s="162"/>
      <c r="G1328" s="162"/>
      <c r="H1328" s="162"/>
      <c r="I1328" s="162"/>
      <c r="J1328" s="162"/>
      <c r="K1328" s="162"/>
      <c r="L1328" s="163"/>
    </row>
    <row r="1329" spans="2:12" ht="19.2" customHeight="1" x14ac:dyDescent="0.3">
      <c r="B1329" s="161"/>
      <c r="C1329" s="162"/>
      <c r="D1329" s="163"/>
      <c r="E1329" s="162"/>
      <c r="F1329" s="162"/>
      <c r="G1329" s="162"/>
      <c r="H1329" s="162"/>
      <c r="I1329" s="162"/>
      <c r="J1329" s="162"/>
      <c r="K1329" s="162"/>
      <c r="L1329" s="163"/>
    </row>
    <row r="1330" spans="2:12" ht="19.2" customHeight="1" x14ac:dyDescent="0.3">
      <c r="B1330" s="161"/>
      <c r="C1330" s="162"/>
      <c r="D1330" s="163"/>
      <c r="E1330" s="162"/>
      <c r="F1330" s="162"/>
      <c r="G1330" s="162"/>
      <c r="H1330" s="162"/>
      <c r="I1330" s="162"/>
      <c r="J1330" s="162"/>
      <c r="K1330" s="162"/>
      <c r="L1330" s="163"/>
    </row>
    <row r="1331" spans="2:12" ht="19.2" customHeight="1" x14ac:dyDescent="0.3">
      <c r="B1331" s="161"/>
      <c r="C1331" s="162"/>
      <c r="D1331" s="163"/>
      <c r="E1331" s="162"/>
      <c r="F1331" s="162"/>
      <c r="G1331" s="162"/>
      <c r="H1331" s="162"/>
      <c r="I1331" s="162"/>
      <c r="J1331" s="162"/>
      <c r="K1331" s="162"/>
      <c r="L1331" s="163"/>
    </row>
    <row r="1332" spans="2:12" ht="19.2" customHeight="1" x14ac:dyDescent="0.3">
      <c r="B1332" s="161"/>
      <c r="C1332" s="162"/>
      <c r="D1332" s="163"/>
      <c r="E1332" s="162"/>
      <c r="F1332" s="162"/>
      <c r="G1332" s="162"/>
      <c r="H1332" s="162"/>
      <c r="I1332" s="162"/>
      <c r="J1332" s="162"/>
      <c r="K1332" s="162"/>
      <c r="L1332" s="163"/>
    </row>
    <row r="1333" spans="2:12" ht="19.2" customHeight="1" x14ac:dyDescent="0.3">
      <c r="B1333" s="161"/>
      <c r="C1333" s="162"/>
      <c r="D1333" s="163"/>
      <c r="E1333" s="162"/>
      <c r="F1333" s="162"/>
      <c r="G1333" s="162"/>
      <c r="H1333" s="162"/>
      <c r="I1333" s="162"/>
      <c r="J1333" s="162"/>
      <c r="K1333" s="162"/>
      <c r="L1333" s="163"/>
    </row>
    <row r="1334" spans="2:12" ht="19.2" customHeight="1" x14ac:dyDescent="0.3">
      <c r="B1334" s="161"/>
      <c r="C1334" s="162"/>
      <c r="D1334" s="163"/>
      <c r="E1334" s="162"/>
      <c r="F1334" s="162"/>
      <c r="G1334" s="162"/>
      <c r="H1334" s="162"/>
      <c r="I1334" s="162"/>
      <c r="J1334" s="162"/>
      <c r="K1334" s="162"/>
      <c r="L1334" s="163"/>
    </row>
    <row r="1335" spans="2:12" ht="19.2" customHeight="1" x14ac:dyDescent="0.3">
      <c r="B1335" s="161"/>
      <c r="C1335" s="162"/>
      <c r="D1335" s="163"/>
      <c r="E1335" s="162"/>
      <c r="F1335" s="162"/>
      <c r="G1335" s="162"/>
      <c r="H1335" s="162"/>
      <c r="I1335" s="162"/>
      <c r="J1335" s="162"/>
      <c r="K1335" s="162"/>
      <c r="L1335" s="163"/>
    </row>
    <row r="1336" spans="2:12" ht="19.2" customHeight="1" x14ac:dyDescent="0.3">
      <c r="B1336" s="161"/>
      <c r="C1336" s="162"/>
      <c r="D1336" s="163"/>
      <c r="E1336" s="162"/>
      <c r="F1336" s="162"/>
      <c r="G1336" s="162"/>
      <c r="H1336" s="162"/>
      <c r="I1336" s="162"/>
      <c r="J1336" s="162"/>
      <c r="K1336" s="162"/>
      <c r="L1336" s="163"/>
    </row>
    <row r="1337" spans="2:12" ht="19.2" customHeight="1" x14ac:dyDescent="0.3">
      <c r="B1337" s="161"/>
      <c r="C1337" s="162"/>
      <c r="D1337" s="163"/>
      <c r="E1337" s="162"/>
      <c r="F1337" s="162"/>
      <c r="G1337" s="162"/>
      <c r="H1337" s="162"/>
      <c r="I1337" s="162"/>
      <c r="J1337" s="162"/>
      <c r="K1337" s="162"/>
      <c r="L1337" s="163"/>
    </row>
    <row r="1338" spans="2:12" ht="19.2" customHeight="1" x14ac:dyDescent="0.3">
      <c r="B1338" s="161"/>
      <c r="C1338" s="162"/>
      <c r="D1338" s="163"/>
      <c r="E1338" s="162"/>
      <c r="F1338" s="162"/>
      <c r="G1338" s="162"/>
      <c r="H1338" s="162"/>
      <c r="I1338" s="162"/>
      <c r="J1338" s="162"/>
      <c r="K1338" s="162"/>
      <c r="L1338" s="163"/>
    </row>
    <row r="1339" spans="2:12" ht="19.2" customHeight="1" x14ac:dyDescent="0.3">
      <c r="B1339" s="161"/>
      <c r="C1339" s="162"/>
      <c r="D1339" s="163"/>
      <c r="E1339" s="162"/>
      <c r="F1339" s="162"/>
      <c r="G1339" s="162"/>
      <c r="H1339" s="162"/>
      <c r="I1339" s="162"/>
      <c r="J1339" s="162"/>
      <c r="K1339" s="162"/>
      <c r="L1339" s="163"/>
    </row>
    <row r="1340" spans="2:12" ht="19.2" customHeight="1" x14ac:dyDescent="0.3">
      <c r="B1340" s="161"/>
      <c r="C1340" s="162"/>
      <c r="D1340" s="163"/>
      <c r="E1340" s="162"/>
      <c r="F1340" s="162"/>
      <c r="G1340" s="162"/>
      <c r="H1340" s="162"/>
      <c r="I1340" s="162"/>
      <c r="J1340" s="162"/>
      <c r="K1340" s="162"/>
      <c r="L1340" s="163"/>
    </row>
    <row r="1341" spans="2:12" ht="19.2" customHeight="1" x14ac:dyDescent="0.3">
      <c r="B1341" s="161"/>
      <c r="C1341" s="162"/>
      <c r="D1341" s="163"/>
      <c r="E1341" s="162"/>
      <c r="F1341" s="162"/>
      <c r="G1341" s="162"/>
      <c r="H1341" s="162"/>
      <c r="I1341" s="162"/>
      <c r="J1341" s="162"/>
      <c r="K1341" s="162"/>
      <c r="L1341" s="163"/>
    </row>
    <row r="1342" spans="2:12" ht="19.2" customHeight="1" x14ac:dyDescent="0.3">
      <c r="B1342" s="161"/>
      <c r="C1342" s="162"/>
      <c r="D1342" s="163"/>
      <c r="E1342" s="162"/>
      <c r="F1342" s="162"/>
      <c r="G1342" s="162"/>
      <c r="H1342" s="162"/>
      <c r="I1342" s="162"/>
      <c r="J1342" s="162"/>
      <c r="K1342" s="162"/>
      <c r="L1342" s="163"/>
    </row>
    <row r="1343" spans="2:12" ht="19.2" customHeight="1" x14ac:dyDescent="0.3">
      <c r="B1343" s="161"/>
      <c r="C1343" s="162"/>
      <c r="D1343" s="163"/>
      <c r="E1343" s="162"/>
      <c r="F1343" s="162"/>
      <c r="G1343" s="162"/>
      <c r="H1343" s="162"/>
      <c r="I1343" s="162"/>
      <c r="J1343" s="162"/>
      <c r="K1343" s="162"/>
      <c r="L1343" s="163"/>
    </row>
    <row r="1344" spans="2:12" ht="19.2" customHeight="1" x14ac:dyDescent="0.3">
      <c r="B1344" s="161"/>
      <c r="C1344" s="162"/>
      <c r="D1344" s="163"/>
      <c r="E1344" s="162"/>
      <c r="F1344" s="162"/>
      <c r="G1344" s="162"/>
      <c r="H1344" s="162"/>
      <c r="I1344" s="162"/>
      <c r="J1344" s="162"/>
      <c r="K1344" s="162"/>
      <c r="L1344" s="163"/>
    </row>
    <row r="1345" spans="2:12" ht="19.2" customHeight="1" x14ac:dyDescent="0.3">
      <c r="B1345" s="161"/>
      <c r="C1345" s="162"/>
      <c r="D1345" s="163"/>
      <c r="E1345" s="162"/>
      <c r="F1345" s="162"/>
      <c r="G1345" s="162"/>
      <c r="H1345" s="162"/>
      <c r="I1345" s="162"/>
      <c r="J1345" s="162"/>
      <c r="K1345" s="162"/>
      <c r="L1345" s="163"/>
    </row>
    <row r="1346" spans="2:12" ht="19.2" customHeight="1" x14ac:dyDescent="0.3">
      <c r="B1346" s="161"/>
      <c r="C1346" s="162"/>
      <c r="D1346" s="163"/>
      <c r="E1346" s="162"/>
      <c r="F1346" s="162"/>
      <c r="G1346" s="162"/>
      <c r="H1346" s="162"/>
      <c r="I1346" s="162"/>
      <c r="J1346" s="162"/>
      <c r="K1346" s="162"/>
      <c r="L1346" s="163"/>
    </row>
    <row r="1347" spans="2:12" ht="19.2" customHeight="1" x14ac:dyDescent="0.3">
      <c r="B1347" s="161"/>
      <c r="C1347" s="162"/>
      <c r="D1347" s="163"/>
      <c r="E1347" s="162"/>
      <c r="F1347" s="162"/>
      <c r="G1347" s="162"/>
      <c r="H1347" s="162"/>
      <c r="I1347" s="162"/>
      <c r="J1347" s="162"/>
      <c r="K1347" s="162"/>
      <c r="L1347" s="163"/>
    </row>
    <row r="1348" spans="2:12" ht="19.2" customHeight="1" x14ac:dyDescent="0.3">
      <c r="B1348" s="161"/>
      <c r="C1348" s="162"/>
      <c r="D1348" s="163"/>
      <c r="E1348" s="162"/>
      <c r="F1348" s="162"/>
      <c r="G1348" s="162"/>
      <c r="H1348" s="162"/>
      <c r="I1348" s="162"/>
      <c r="J1348" s="162"/>
      <c r="K1348" s="162"/>
      <c r="L1348" s="163"/>
    </row>
    <row r="1349" spans="2:12" ht="19.2" customHeight="1" x14ac:dyDescent="0.3">
      <c r="B1349" s="161"/>
      <c r="C1349" s="162"/>
      <c r="D1349" s="163"/>
      <c r="E1349" s="162"/>
      <c r="F1349" s="162"/>
      <c r="G1349" s="162"/>
      <c r="H1349" s="162"/>
      <c r="I1349" s="162"/>
      <c r="J1349" s="162"/>
      <c r="K1349" s="162"/>
      <c r="L1349" s="163"/>
    </row>
    <row r="1350" spans="2:12" ht="19.2" customHeight="1" x14ac:dyDescent="0.3">
      <c r="B1350" s="161"/>
      <c r="C1350" s="162"/>
      <c r="D1350" s="163"/>
      <c r="E1350" s="162"/>
      <c r="F1350" s="162"/>
      <c r="G1350" s="162"/>
      <c r="H1350" s="162"/>
      <c r="I1350" s="162"/>
      <c r="J1350" s="162"/>
      <c r="K1350" s="162"/>
      <c r="L1350" s="163"/>
    </row>
    <row r="1351" spans="2:12" ht="19.2" customHeight="1" x14ac:dyDescent="0.3">
      <c r="B1351" s="161"/>
      <c r="C1351" s="162"/>
      <c r="D1351" s="163"/>
      <c r="E1351" s="162"/>
      <c r="F1351" s="162"/>
      <c r="G1351" s="162"/>
      <c r="H1351" s="162"/>
      <c r="I1351" s="162"/>
      <c r="J1351" s="162"/>
      <c r="K1351" s="162"/>
      <c r="L1351" s="163"/>
    </row>
    <row r="1352" spans="2:12" ht="19.2" customHeight="1" x14ac:dyDescent="0.3">
      <c r="B1352" s="161"/>
      <c r="C1352" s="162"/>
      <c r="D1352" s="163"/>
      <c r="E1352" s="162"/>
      <c r="F1352" s="162"/>
      <c r="G1352" s="162"/>
      <c r="H1352" s="162"/>
      <c r="I1352" s="162"/>
      <c r="J1352" s="162"/>
      <c r="K1352" s="162"/>
      <c r="L1352" s="163"/>
    </row>
    <row r="1353" spans="2:12" ht="19.2" customHeight="1" x14ac:dyDescent="0.3">
      <c r="B1353" s="161"/>
      <c r="C1353" s="162"/>
      <c r="D1353" s="163"/>
      <c r="E1353" s="162"/>
      <c r="F1353" s="162"/>
      <c r="G1353" s="162"/>
      <c r="H1353" s="162"/>
      <c r="I1353" s="162"/>
      <c r="J1353" s="162"/>
      <c r="K1353" s="162"/>
      <c r="L1353" s="163"/>
    </row>
    <row r="1354" spans="2:12" ht="19.2" customHeight="1" x14ac:dyDescent="0.3">
      <c r="B1354" s="161"/>
      <c r="C1354" s="162"/>
      <c r="D1354" s="163"/>
      <c r="E1354" s="162"/>
      <c r="F1354" s="162"/>
      <c r="G1354" s="162"/>
      <c r="H1354" s="162"/>
      <c r="I1354" s="162"/>
      <c r="J1354" s="162"/>
      <c r="K1354" s="162"/>
      <c r="L1354" s="163"/>
    </row>
    <row r="1355" spans="2:12" ht="19.2" customHeight="1" x14ac:dyDescent="0.3">
      <c r="B1355" s="161"/>
      <c r="C1355" s="162"/>
      <c r="D1355" s="163"/>
      <c r="E1355" s="162"/>
      <c r="F1355" s="162"/>
      <c r="G1355" s="162"/>
      <c r="H1355" s="162"/>
      <c r="I1355" s="162"/>
      <c r="J1355" s="162"/>
      <c r="K1355" s="162"/>
      <c r="L1355" s="163"/>
    </row>
    <row r="1356" spans="2:12" ht="19.2" customHeight="1" x14ac:dyDescent="0.3">
      <c r="B1356" s="161"/>
      <c r="C1356" s="162"/>
      <c r="D1356" s="163"/>
      <c r="E1356" s="162"/>
      <c r="F1356" s="162"/>
      <c r="G1356" s="162"/>
      <c r="H1356" s="162"/>
      <c r="I1356" s="162"/>
      <c r="J1356" s="162"/>
      <c r="K1356" s="162"/>
      <c r="L1356" s="163"/>
    </row>
    <row r="1357" spans="2:12" ht="19.2" customHeight="1" x14ac:dyDescent="0.3">
      <c r="B1357" s="161"/>
      <c r="C1357" s="162"/>
      <c r="D1357" s="163"/>
      <c r="E1357" s="162"/>
      <c r="F1357" s="162"/>
      <c r="G1357" s="162"/>
      <c r="H1357" s="162"/>
      <c r="I1357" s="162"/>
      <c r="J1357" s="162"/>
      <c r="K1357" s="162"/>
      <c r="L1357" s="163"/>
    </row>
    <row r="1358" spans="2:12" ht="19.2" customHeight="1" x14ac:dyDescent="0.3">
      <c r="B1358" s="161"/>
      <c r="C1358" s="162"/>
      <c r="D1358" s="163"/>
      <c r="E1358" s="162"/>
      <c r="F1358" s="162"/>
      <c r="G1358" s="162"/>
      <c r="H1358" s="162"/>
      <c r="I1358" s="162"/>
      <c r="J1358" s="162"/>
      <c r="K1358" s="162"/>
      <c r="L1358" s="163"/>
    </row>
    <row r="1359" spans="2:12" ht="19.2" customHeight="1" x14ac:dyDescent="0.3">
      <c r="B1359" s="161"/>
      <c r="C1359" s="162"/>
      <c r="D1359" s="163"/>
      <c r="E1359" s="162"/>
      <c r="F1359" s="162"/>
      <c r="G1359" s="162"/>
      <c r="H1359" s="162"/>
      <c r="I1359" s="162"/>
      <c r="J1359" s="162"/>
      <c r="K1359" s="162"/>
      <c r="L1359" s="163"/>
    </row>
    <row r="1360" spans="2:12" ht="19.2" customHeight="1" x14ac:dyDescent="0.3">
      <c r="B1360" s="161"/>
      <c r="C1360" s="162"/>
      <c r="D1360" s="163"/>
      <c r="E1360" s="162"/>
      <c r="F1360" s="162"/>
      <c r="G1360" s="162"/>
      <c r="H1360" s="162"/>
      <c r="I1360" s="162"/>
      <c r="J1360" s="162"/>
      <c r="K1360" s="162"/>
      <c r="L1360" s="163"/>
    </row>
    <row r="1361" spans="2:12" ht="19.2" customHeight="1" x14ac:dyDescent="0.3">
      <c r="B1361" s="161"/>
      <c r="C1361" s="162"/>
      <c r="D1361" s="163"/>
      <c r="E1361" s="162"/>
      <c r="F1361" s="162"/>
      <c r="G1361" s="162"/>
      <c r="H1361" s="162"/>
      <c r="I1361" s="162"/>
      <c r="J1361" s="162"/>
      <c r="K1361" s="162"/>
      <c r="L1361" s="163"/>
    </row>
    <row r="1362" spans="2:12" ht="19.2" customHeight="1" x14ac:dyDescent="0.3">
      <c r="B1362" s="161"/>
      <c r="C1362" s="162"/>
      <c r="D1362" s="163"/>
      <c r="E1362" s="162"/>
      <c r="F1362" s="162"/>
      <c r="G1362" s="162"/>
      <c r="H1362" s="162"/>
      <c r="I1362" s="162"/>
      <c r="J1362" s="162"/>
      <c r="K1362" s="162"/>
      <c r="L1362" s="163"/>
    </row>
    <row r="1363" spans="2:12" ht="19.2" customHeight="1" x14ac:dyDescent="0.3">
      <c r="B1363" s="161"/>
      <c r="C1363" s="162"/>
      <c r="D1363" s="163"/>
      <c r="E1363" s="162"/>
      <c r="F1363" s="162"/>
      <c r="G1363" s="162"/>
      <c r="H1363" s="162"/>
      <c r="I1363" s="162"/>
      <c r="J1363" s="162"/>
      <c r="K1363" s="162"/>
      <c r="L1363" s="163"/>
    </row>
    <row r="1364" spans="2:12" ht="19.2" customHeight="1" x14ac:dyDescent="0.3">
      <c r="B1364" s="161"/>
      <c r="C1364" s="162"/>
      <c r="D1364" s="163"/>
      <c r="E1364" s="162"/>
      <c r="F1364" s="162"/>
      <c r="G1364" s="162"/>
      <c r="H1364" s="162"/>
      <c r="I1364" s="162"/>
      <c r="J1364" s="162"/>
      <c r="K1364" s="162"/>
      <c r="L1364" s="163"/>
    </row>
    <row r="1365" spans="2:12" ht="19.2" customHeight="1" x14ac:dyDescent="0.3">
      <c r="B1365" s="161"/>
      <c r="C1365" s="162"/>
      <c r="D1365" s="163"/>
      <c r="E1365" s="162"/>
      <c r="F1365" s="162"/>
      <c r="G1365" s="162"/>
      <c r="H1365" s="162"/>
      <c r="I1365" s="162"/>
      <c r="J1365" s="162"/>
      <c r="K1365" s="162"/>
      <c r="L1365" s="163"/>
    </row>
    <row r="1366" spans="2:12" ht="19.2" customHeight="1" x14ac:dyDescent="0.3">
      <c r="B1366" s="161"/>
      <c r="C1366" s="162"/>
      <c r="D1366" s="163"/>
      <c r="E1366" s="162"/>
      <c r="F1366" s="162"/>
      <c r="G1366" s="162"/>
      <c r="H1366" s="162"/>
      <c r="I1366" s="162"/>
      <c r="J1366" s="162"/>
      <c r="K1366" s="162"/>
      <c r="L1366" s="163"/>
    </row>
    <row r="1367" spans="2:12" ht="19.2" customHeight="1" x14ac:dyDescent="0.3">
      <c r="B1367" s="161"/>
      <c r="C1367" s="162"/>
      <c r="D1367" s="163"/>
      <c r="E1367" s="162"/>
      <c r="F1367" s="162"/>
      <c r="G1367" s="162"/>
      <c r="H1367" s="162"/>
      <c r="I1367" s="162"/>
      <c r="J1367" s="162"/>
      <c r="K1367" s="162"/>
      <c r="L1367" s="163"/>
    </row>
    <row r="1368" spans="2:12" ht="19.2" customHeight="1" x14ac:dyDescent="0.3">
      <c r="B1368" s="161"/>
      <c r="C1368" s="162"/>
      <c r="D1368" s="163"/>
      <c r="E1368" s="162"/>
      <c r="F1368" s="162"/>
      <c r="G1368" s="162"/>
      <c r="H1368" s="162"/>
      <c r="I1368" s="162"/>
      <c r="J1368" s="162"/>
      <c r="K1368" s="162"/>
      <c r="L1368" s="163"/>
    </row>
    <row r="1369" spans="2:12" ht="19.2" customHeight="1" x14ac:dyDescent="0.3">
      <c r="B1369" s="161"/>
      <c r="C1369" s="162"/>
      <c r="D1369" s="163"/>
      <c r="E1369" s="162"/>
      <c r="F1369" s="162"/>
      <c r="G1369" s="162"/>
      <c r="H1369" s="162"/>
      <c r="I1369" s="162"/>
      <c r="J1369" s="162"/>
      <c r="K1369" s="162"/>
      <c r="L1369" s="163"/>
    </row>
    <row r="1370" spans="2:12" ht="19.2" customHeight="1" x14ac:dyDescent="0.3">
      <c r="B1370" s="161"/>
      <c r="C1370" s="162"/>
      <c r="D1370" s="163"/>
      <c r="E1370" s="162"/>
      <c r="F1370" s="162"/>
      <c r="G1370" s="162"/>
      <c r="H1370" s="162"/>
      <c r="I1370" s="162"/>
      <c r="J1370" s="162"/>
      <c r="K1370" s="162"/>
      <c r="L1370" s="163"/>
    </row>
    <row r="1371" spans="2:12" ht="19.2" customHeight="1" x14ac:dyDescent="0.3">
      <c r="B1371" s="161"/>
      <c r="C1371" s="162"/>
      <c r="D1371" s="163"/>
      <c r="E1371" s="162"/>
      <c r="F1371" s="162"/>
      <c r="G1371" s="162"/>
      <c r="H1371" s="162"/>
      <c r="I1371" s="162"/>
      <c r="J1371" s="162"/>
      <c r="K1371" s="162"/>
      <c r="L1371" s="163"/>
    </row>
    <row r="1372" spans="2:12" ht="19.2" customHeight="1" x14ac:dyDescent="0.3">
      <c r="B1372" s="161"/>
      <c r="C1372" s="162"/>
      <c r="D1372" s="163"/>
      <c r="E1372" s="162"/>
      <c r="F1372" s="162"/>
      <c r="G1372" s="162"/>
      <c r="H1372" s="162"/>
      <c r="I1372" s="162"/>
      <c r="J1372" s="162"/>
      <c r="K1372" s="162"/>
      <c r="L1372" s="163"/>
    </row>
    <row r="1373" spans="2:12" ht="19.2" customHeight="1" x14ac:dyDescent="0.3">
      <c r="B1373" s="161"/>
      <c r="C1373" s="162"/>
      <c r="D1373" s="163"/>
      <c r="E1373" s="162"/>
      <c r="F1373" s="162"/>
      <c r="G1373" s="162"/>
      <c r="H1373" s="162"/>
      <c r="I1373" s="162"/>
      <c r="J1373" s="162"/>
      <c r="K1373" s="162"/>
      <c r="L1373" s="163"/>
    </row>
    <row r="1374" spans="2:12" ht="19.2" customHeight="1" x14ac:dyDescent="0.3">
      <c r="B1374" s="161"/>
      <c r="C1374" s="162"/>
      <c r="D1374" s="163"/>
      <c r="E1374" s="162"/>
      <c r="F1374" s="162"/>
      <c r="G1374" s="162"/>
      <c r="H1374" s="162"/>
      <c r="I1374" s="162"/>
      <c r="J1374" s="162"/>
      <c r="K1374" s="162"/>
      <c r="L1374" s="163"/>
    </row>
    <row r="1375" spans="2:12" ht="19.2" customHeight="1" x14ac:dyDescent="0.3">
      <c r="B1375" s="161"/>
      <c r="C1375" s="162"/>
      <c r="D1375" s="163"/>
      <c r="E1375" s="162"/>
      <c r="F1375" s="162"/>
      <c r="G1375" s="162"/>
      <c r="H1375" s="162"/>
      <c r="I1375" s="162"/>
      <c r="J1375" s="162"/>
      <c r="K1375" s="162"/>
      <c r="L1375" s="163"/>
    </row>
    <row r="1376" spans="2:12" ht="19.2" customHeight="1" x14ac:dyDescent="0.3">
      <c r="B1376" s="161"/>
      <c r="C1376" s="162"/>
      <c r="D1376" s="163"/>
      <c r="E1376" s="162"/>
      <c r="F1376" s="162"/>
      <c r="G1376" s="162"/>
      <c r="H1376" s="162"/>
      <c r="I1376" s="162"/>
      <c r="J1376" s="162"/>
      <c r="K1376" s="162"/>
      <c r="L1376" s="163"/>
    </row>
    <row r="1377" spans="2:12" ht="19.2" customHeight="1" x14ac:dyDescent="0.3">
      <c r="B1377" s="161"/>
      <c r="C1377" s="162"/>
      <c r="D1377" s="163"/>
      <c r="E1377" s="162"/>
      <c r="F1377" s="162"/>
      <c r="G1377" s="162"/>
      <c r="H1377" s="162"/>
      <c r="I1377" s="162"/>
      <c r="J1377" s="162"/>
      <c r="K1377" s="162"/>
      <c r="L1377" s="163"/>
    </row>
    <row r="1378" spans="2:12" ht="19.2" customHeight="1" x14ac:dyDescent="0.3">
      <c r="B1378" s="161"/>
      <c r="C1378" s="162"/>
      <c r="D1378" s="163"/>
      <c r="E1378" s="162"/>
      <c r="F1378" s="162"/>
      <c r="G1378" s="162"/>
      <c r="H1378" s="162"/>
      <c r="I1378" s="162"/>
      <c r="J1378" s="162"/>
      <c r="K1378" s="162"/>
      <c r="L1378" s="163"/>
    </row>
    <row r="1379" spans="2:12" ht="19.2" customHeight="1" x14ac:dyDescent="0.3">
      <c r="B1379" s="161"/>
      <c r="C1379" s="162"/>
      <c r="D1379" s="163"/>
      <c r="E1379" s="162"/>
      <c r="F1379" s="162"/>
      <c r="G1379" s="162"/>
      <c r="H1379" s="162"/>
      <c r="I1379" s="162"/>
      <c r="J1379" s="162"/>
      <c r="K1379" s="162"/>
      <c r="L1379" s="163"/>
    </row>
    <row r="1380" spans="2:12" ht="19.2" customHeight="1" x14ac:dyDescent="0.3">
      <c r="B1380" s="161"/>
      <c r="C1380" s="162"/>
      <c r="D1380" s="163"/>
      <c r="E1380" s="162"/>
      <c r="F1380" s="162"/>
      <c r="G1380" s="162"/>
      <c r="H1380" s="162"/>
      <c r="I1380" s="162"/>
      <c r="J1380" s="162"/>
      <c r="K1380" s="162"/>
      <c r="L1380" s="163"/>
    </row>
    <row r="1381" spans="2:12" ht="19.2" customHeight="1" x14ac:dyDescent="0.3">
      <c r="B1381" s="161"/>
      <c r="C1381" s="162"/>
      <c r="D1381" s="163"/>
      <c r="E1381" s="162"/>
      <c r="F1381" s="162"/>
      <c r="G1381" s="162"/>
      <c r="H1381" s="162"/>
      <c r="I1381" s="162"/>
      <c r="J1381" s="162"/>
      <c r="K1381" s="162"/>
      <c r="L1381" s="163"/>
    </row>
    <row r="1382" spans="2:12" ht="19.2" customHeight="1" x14ac:dyDescent="0.3">
      <c r="B1382" s="161"/>
      <c r="C1382" s="162"/>
      <c r="D1382" s="163"/>
      <c r="E1382" s="162"/>
      <c r="F1382" s="162"/>
      <c r="G1382" s="162"/>
      <c r="H1382" s="162"/>
      <c r="I1382" s="162"/>
      <c r="J1382" s="162"/>
      <c r="K1382" s="162"/>
      <c r="L1382" s="163"/>
    </row>
    <row r="1383" spans="2:12" ht="19.2" customHeight="1" x14ac:dyDescent="0.3">
      <c r="B1383" s="161"/>
      <c r="C1383" s="162"/>
      <c r="D1383" s="163"/>
      <c r="E1383" s="162"/>
      <c r="F1383" s="162"/>
      <c r="G1383" s="162"/>
      <c r="H1383" s="162"/>
      <c r="I1383" s="162"/>
      <c r="J1383" s="162"/>
      <c r="K1383" s="162"/>
      <c r="L1383" s="163"/>
    </row>
    <row r="1384" spans="2:12" ht="19.2" customHeight="1" x14ac:dyDescent="0.3">
      <c r="B1384" s="161"/>
      <c r="C1384" s="162"/>
      <c r="D1384" s="163"/>
      <c r="E1384" s="162"/>
      <c r="F1384" s="162"/>
      <c r="G1384" s="162"/>
      <c r="H1384" s="162"/>
      <c r="I1384" s="162"/>
      <c r="J1384" s="162"/>
      <c r="K1384" s="162"/>
      <c r="L1384" s="163"/>
    </row>
    <row r="1385" spans="2:12" ht="19.2" customHeight="1" x14ac:dyDescent="0.3">
      <c r="B1385" s="161"/>
      <c r="C1385" s="162"/>
      <c r="D1385" s="163"/>
      <c r="E1385" s="162"/>
      <c r="F1385" s="162"/>
      <c r="G1385" s="162"/>
      <c r="H1385" s="162"/>
      <c r="I1385" s="162"/>
      <c r="J1385" s="162"/>
      <c r="K1385" s="162"/>
      <c r="L1385" s="163"/>
    </row>
    <row r="1386" spans="2:12" ht="19.2" customHeight="1" x14ac:dyDescent="0.3">
      <c r="B1386" s="161"/>
      <c r="C1386" s="162"/>
      <c r="D1386" s="163"/>
      <c r="E1386" s="162"/>
      <c r="F1386" s="162"/>
      <c r="G1386" s="162"/>
      <c r="H1386" s="162"/>
      <c r="I1386" s="162"/>
      <c r="J1386" s="162"/>
      <c r="K1386" s="162"/>
      <c r="L1386" s="163"/>
    </row>
    <row r="1387" spans="2:12" ht="19.2" customHeight="1" x14ac:dyDescent="0.3">
      <c r="B1387" s="161"/>
      <c r="C1387" s="162"/>
      <c r="D1387" s="163"/>
      <c r="E1387" s="162"/>
      <c r="F1387" s="162"/>
      <c r="G1387" s="162"/>
      <c r="H1387" s="162"/>
      <c r="I1387" s="162"/>
      <c r="J1387" s="162"/>
      <c r="K1387" s="162"/>
      <c r="L1387" s="163"/>
    </row>
    <row r="1388" spans="2:12" ht="19.2" customHeight="1" x14ac:dyDescent="0.3">
      <c r="B1388" s="161"/>
      <c r="C1388" s="162"/>
      <c r="D1388" s="163"/>
      <c r="E1388" s="162"/>
      <c r="F1388" s="162"/>
      <c r="G1388" s="162"/>
      <c r="H1388" s="162"/>
      <c r="I1388" s="162"/>
      <c r="J1388" s="162"/>
      <c r="K1388" s="162"/>
      <c r="L1388" s="163"/>
    </row>
    <row r="1389" spans="2:12" ht="19.2" customHeight="1" x14ac:dyDescent="0.3">
      <c r="B1389" s="161"/>
      <c r="C1389" s="162"/>
      <c r="D1389" s="163"/>
      <c r="E1389" s="162"/>
      <c r="F1389" s="162"/>
      <c r="G1389" s="162"/>
      <c r="H1389" s="162"/>
      <c r="I1389" s="162"/>
      <c r="J1389" s="162"/>
      <c r="K1389" s="162"/>
      <c r="L1389" s="163"/>
    </row>
    <row r="1390" spans="2:12" ht="19.2" customHeight="1" x14ac:dyDescent="0.3">
      <c r="B1390" s="161"/>
      <c r="C1390" s="162"/>
      <c r="D1390" s="163"/>
      <c r="E1390" s="162"/>
      <c r="F1390" s="162"/>
      <c r="G1390" s="162"/>
      <c r="H1390" s="162"/>
      <c r="I1390" s="162"/>
      <c r="J1390" s="162"/>
      <c r="K1390" s="162"/>
      <c r="L1390" s="163"/>
    </row>
    <row r="1391" spans="2:12" ht="19.2" customHeight="1" x14ac:dyDescent="0.3">
      <c r="B1391" s="161"/>
      <c r="C1391" s="162"/>
      <c r="D1391" s="163"/>
      <c r="E1391" s="162"/>
      <c r="F1391" s="162"/>
      <c r="G1391" s="162"/>
      <c r="H1391" s="162"/>
      <c r="I1391" s="162"/>
      <c r="J1391" s="162"/>
      <c r="K1391" s="162"/>
      <c r="L1391" s="163"/>
    </row>
    <row r="1392" spans="2:12" ht="19.2" customHeight="1" x14ac:dyDescent="0.3">
      <c r="B1392" s="161"/>
      <c r="C1392" s="162"/>
      <c r="D1392" s="163"/>
      <c r="E1392" s="162"/>
      <c r="F1392" s="162"/>
      <c r="G1392" s="162"/>
      <c r="H1392" s="162"/>
      <c r="I1392" s="162"/>
      <c r="J1392" s="162"/>
      <c r="K1392" s="162"/>
      <c r="L1392" s="163"/>
    </row>
    <row r="1393" spans="2:12" ht="19.2" customHeight="1" x14ac:dyDescent="0.3">
      <c r="B1393" s="161"/>
      <c r="C1393" s="162"/>
      <c r="D1393" s="163"/>
      <c r="E1393" s="162"/>
      <c r="F1393" s="162"/>
      <c r="G1393" s="162"/>
      <c r="H1393" s="162"/>
      <c r="I1393" s="162"/>
      <c r="J1393" s="162"/>
      <c r="K1393" s="162"/>
      <c r="L1393" s="163"/>
    </row>
    <row r="1394" spans="2:12" ht="19.2" customHeight="1" x14ac:dyDescent="0.3">
      <c r="B1394" s="161"/>
      <c r="C1394" s="162"/>
      <c r="D1394" s="163"/>
      <c r="E1394" s="162"/>
      <c r="F1394" s="162"/>
      <c r="G1394" s="162"/>
      <c r="H1394" s="162"/>
      <c r="I1394" s="162"/>
      <c r="J1394" s="162"/>
      <c r="K1394" s="162"/>
      <c r="L1394" s="163"/>
    </row>
    <row r="1395" spans="2:12" ht="19.2" customHeight="1" x14ac:dyDescent="0.3">
      <c r="B1395" s="161"/>
      <c r="C1395" s="162"/>
      <c r="D1395" s="163"/>
      <c r="E1395" s="162"/>
      <c r="F1395" s="162"/>
      <c r="G1395" s="162"/>
      <c r="H1395" s="162"/>
      <c r="I1395" s="162"/>
      <c r="J1395" s="162"/>
      <c r="K1395" s="162"/>
      <c r="L1395" s="163"/>
    </row>
    <row r="1396" spans="2:12" ht="19.2" customHeight="1" x14ac:dyDescent="0.3">
      <c r="B1396" s="161"/>
      <c r="C1396" s="162"/>
      <c r="D1396" s="163"/>
      <c r="E1396" s="162"/>
      <c r="F1396" s="162"/>
      <c r="G1396" s="162"/>
      <c r="H1396" s="162"/>
      <c r="I1396" s="162"/>
      <c r="J1396" s="162"/>
      <c r="K1396" s="162"/>
      <c r="L1396" s="163"/>
    </row>
    <row r="1397" spans="2:12" ht="19.2" customHeight="1" x14ac:dyDescent="0.3">
      <c r="B1397" s="161"/>
      <c r="C1397" s="162"/>
      <c r="D1397" s="163"/>
      <c r="E1397" s="162"/>
      <c r="F1397" s="162"/>
      <c r="G1397" s="162"/>
      <c r="H1397" s="162"/>
      <c r="I1397" s="162"/>
      <c r="J1397" s="162"/>
      <c r="K1397" s="162"/>
      <c r="L1397" s="163"/>
    </row>
    <row r="1398" spans="2:12" ht="19.2" customHeight="1" x14ac:dyDescent="0.3">
      <c r="B1398" s="161"/>
      <c r="C1398" s="162"/>
      <c r="D1398" s="163"/>
      <c r="E1398" s="162"/>
      <c r="F1398" s="162"/>
      <c r="G1398" s="162"/>
      <c r="H1398" s="162"/>
      <c r="I1398" s="162"/>
      <c r="J1398" s="162"/>
      <c r="K1398" s="162"/>
      <c r="L1398" s="163"/>
    </row>
    <row r="1399" spans="2:12" ht="19.2" customHeight="1" x14ac:dyDescent="0.3">
      <c r="B1399" s="161"/>
      <c r="C1399" s="162"/>
      <c r="D1399" s="163"/>
      <c r="E1399" s="162"/>
      <c r="F1399" s="162"/>
      <c r="G1399" s="162"/>
      <c r="H1399" s="162"/>
      <c r="I1399" s="162"/>
      <c r="J1399" s="162"/>
      <c r="K1399" s="162"/>
      <c r="L1399" s="163"/>
    </row>
    <row r="1400" spans="2:12" ht="19.2" customHeight="1" x14ac:dyDescent="0.3">
      <c r="B1400" s="161"/>
      <c r="C1400" s="162"/>
      <c r="D1400" s="163"/>
      <c r="E1400" s="162"/>
      <c r="F1400" s="162"/>
      <c r="G1400" s="162"/>
      <c r="H1400" s="162"/>
      <c r="I1400" s="162"/>
      <c r="J1400" s="162"/>
      <c r="K1400" s="162"/>
      <c r="L1400" s="163"/>
    </row>
    <row r="1401" spans="2:12" ht="19.2" customHeight="1" x14ac:dyDescent="0.3">
      <c r="B1401" s="161"/>
      <c r="C1401" s="162"/>
      <c r="D1401" s="163"/>
      <c r="E1401" s="162"/>
      <c r="F1401" s="162"/>
      <c r="G1401" s="162"/>
      <c r="H1401" s="162"/>
      <c r="I1401" s="162"/>
      <c r="J1401" s="162"/>
      <c r="K1401" s="162"/>
      <c r="L1401" s="163"/>
    </row>
    <row r="1402" spans="2:12" ht="19.2" customHeight="1" x14ac:dyDescent="0.3">
      <c r="B1402" s="161"/>
      <c r="C1402" s="162"/>
      <c r="D1402" s="163"/>
      <c r="E1402" s="162"/>
      <c r="F1402" s="162"/>
      <c r="G1402" s="162"/>
      <c r="H1402" s="162"/>
      <c r="I1402" s="162"/>
      <c r="J1402" s="162"/>
      <c r="K1402" s="162"/>
      <c r="L1402" s="163"/>
    </row>
    <row r="1403" spans="2:12" ht="19.2" customHeight="1" x14ac:dyDescent="0.3">
      <c r="B1403" s="161"/>
      <c r="C1403" s="162"/>
      <c r="D1403" s="163"/>
      <c r="E1403" s="162"/>
      <c r="F1403" s="162"/>
      <c r="G1403" s="162"/>
      <c r="H1403" s="162"/>
      <c r="I1403" s="162"/>
      <c r="J1403" s="162"/>
      <c r="K1403" s="162"/>
      <c r="L1403" s="163"/>
    </row>
    <row r="1404" spans="2:12" ht="19.2" customHeight="1" x14ac:dyDescent="0.3">
      <c r="B1404" s="161"/>
      <c r="C1404" s="162"/>
      <c r="D1404" s="163"/>
      <c r="E1404" s="162"/>
      <c r="F1404" s="162"/>
      <c r="G1404" s="162"/>
      <c r="H1404" s="162"/>
      <c r="I1404" s="162"/>
      <c r="J1404" s="162"/>
      <c r="K1404" s="162"/>
      <c r="L1404" s="163"/>
    </row>
    <row r="1405" spans="2:12" ht="19.2" customHeight="1" x14ac:dyDescent="0.3">
      <c r="B1405" s="161"/>
      <c r="C1405" s="162"/>
      <c r="D1405" s="163"/>
      <c r="E1405" s="162"/>
      <c r="F1405" s="162"/>
      <c r="G1405" s="162"/>
      <c r="H1405" s="162"/>
      <c r="I1405" s="162"/>
      <c r="J1405" s="162"/>
      <c r="K1405" s="162"/>
      <c r="L1405" s="163"/>
    </row>
    <row r="1406" spans="2:12" ht="19.2" customHeight="1" x14ac:dyDescent="0.3">
      <c r="B1406" s="161"/>
      <c r="C1406" s="162"/>
      <c r="D1406" s="163"/>
      <c r="E1406" s="162"/>
      <c r="F1406" s="162"/>
      <c r="G1406" s="162"/>
      <c r="H1406" s="162"/>
      <c r="I1406" s="162"/>
      <c r="J1406" s="162"/>
      <c r="K1406" s="162"/>
      <c r="L1406" s="163"/>
    </row>
    <row r="1407" spans="2:12" ht="19.2" customHeight="1" x14ac:dyDescent="0.3">
      <c r="B1407" s="161"/>
      <c r="C1407" s="162"/>
      <c r="D1407" s="163"/>
      <c r="E1407" s="162"/>
      <c r="F1407" s="162"/>
      <c r="G1407" s="162"/>
      <c r="H1407" s="162"/>
      <c r="I1407" s="162"/>
      <c r="J1407" s="162"/>
      <c r="K1407" s="162"/>
      <c r="L1407" s="163"/>
    </row>
    <row r="1408" spans="2:12" ht="19.2" customHeight="1" x14ac:dyDescent="0.3">
      <c r="B1408" s="161"/>
      <c r="C1408" s="162"/>
      <c r="D1408" s="163"/>
      <c r="E1408" s="162"/>
      <c r="F1408" s="162"/>
      <c r="G1408" s="162"/>
      <c r="H1408" s="162"/>
      <c r="I1408" s="162"/>
      <c r="J1408" s="162"/>
      <c r="K1408" s="162"/>
      <c r="L1408" s="163"/>
    </row>
    <row r="1409" spans="2:12" ht="19.2" customHeight="1" x14ac:dyDescent="0.3">
      <c r="B1409" s="161"/>
      <c r="C1409" s="162"/>
      <c r="D1409" s="163"/>
      <c r="E1409" s="162"/>
      <c r="F1409" s="162"/>
      <c r="G1409" s="162"/>
      <c r="H1409" s="162"/>
      <c r="I1409" s="162"/>
      <c r="J1409" s="162"/>
      <c r="K1409" s="162"/>
      <c r="L1409" s="163"/>
    </row>
    <row r="1410" spans="2:12" ht="19.2" customHeight="1" x14ac:dyDescent="0.3">
      <c r="B1410" s="161"/>
      <c r="C1410" s="162"/>
      <c r="D1410" s="163"/>
      <c r="E1410" s="162"/>
      <c r="F1410" s="162"/>
      <c r="G1410" s="162"/>
      <c r="H1410" s="162"/>
      <c r="I1410" s="162"/>
      <c r="J1410" s="162"/>
      <c r="K1410" s="162"/>
      <c r="L1410" s="163"/>
    </row>
    <row r="1411" spans="2:12" ht="19.2" customHeight="1" x14ac:dyDescent="0.3">
      <c r="B1411" s="161"/>
      <c r="C1411" s="162"/>
      <c r="D1411" s="163"/>
      <c r="E1411" s="162"/>
      <c r="F1411" s="162"/>
      <c r="G1411" s="162"/>
      <c r="H1411" s="162"/>
      <c r="I1411" s="162"/>
      <c r="J1411" s="162"/>
      <c r="K1411" s="162"/>
      <c r="L1411" s="163"/>
    </row>
    <row r="1412" spans="2:12" ht="19.2" customHeight="1" x14ac:dyDescent="0.3">
      <c r="B1412" s="161"/>
      <c r="C1412" s="162"/>
      <c r="D1412" s="163"/>
      <c r="E1412" s="162"/>
      <c r="F1412" s="162"/>
      <c r="G1412" s="162"/>
      <c r="H1412" s="162"/>
      <c r="I1412" s="162"/>
      <c r="J1412" s="162"/>
      <c r="K1412" s="162"/>
      <c r="L1412" s="163"/>
    </row>
    <row r="1413" spans="2:12" ht="19.2" customHeight="1" x14ac:dyDescent="0.3">
      <c r="B1413" s="161"/>
      <c r="C1413" s="162"/>
      <c r="D1413" s="163"/>
      <c r="E1413" s="162"/>
      <c r="F1413" s="162"/>
      <c r="G1413" s="162"/>
      <c r="H1413" s="162"/>
      <c r="I1413" s="162"/>
      <c r="J1413" s="162"/>
      <c r="K1413" s="162"/>
      <c r="L1413" s="163"/>
    </row>
    <row r="1414" spans="2:12" ht="19.2" customHeight="1" x14ac:dyDescent="0.3">
      <c r="B1414" s="161"/>
      <c r="C1414" s="162"/>
      <c r="D1414" s="163"/>
      <c r="E1414" s="162"/>
      <c r="F1414" s="162"/>
      <c r="G1414" s="162"/>
      <c r="H1414" s="162"/>
      <c r="I1414" s="162"/>
      <c r="J1414" s="162"/>
      <c r="K1414" s="162"/>
      <c r="L1414" s="163"/>
    </row>
    <row r="1415" spans="2:12" ht="19.2" customHeight="1" x14ac:dyDescent="0.3">
      <c r="B1415" s="161"/>
      <c r="C1415" s="162"/>
      <c r="D1415" s="163"/>
      <c r="E1415" s="162"/>
      <c r="F1415" s="162"/>
      <c r="G1415" s="162"/>
      <c r="H1415" s="162"/>
      <c r="I1415" s="162"/>
      <c r="J1415" s="162"/>
      <c r="K1415" s="162"/>
      <c r="L1415" s="163"/>
    </row>
    <row r="1416" spans="2:12" ht="19.2" customHeight="1" x14ac:dyDescent="0.3">
      <c r="B1416" s="161"/>
      <c r="C1416" s="162"/>
      <c r="D1416" s="163"/>
      <c r="E1416" s="162"/>
      <c r="F1416" s="162"/>
      <c r="G1416" s="162"/>
      <c r="H1416" s="162"/>
      <c r="I1416" s="162"/>
      <c r="J1416" s="162"/>
      <c r="K1416" s="162"/>
      <c r="L1416" s="163"/>
    </row>
    <row r="1417" spans="2:12" ht="19.2" customHeight="1" x14ac:dyDescent="0.3">
      <c r="B1417" s="161"/>
      <c r="C1417" s="162"/>
      <c r="D1417" s="163"/>
      <c r="E1417" s="162"/>
      <c r="F1417" s="162"/>
      <c r="G1417" s="162"/>
      <c r="H1417" s="162"/>
      <c r="I1417" s="162"/>
      <c r="J1417" s="162"/>
      <c r="K1417" s="162"/>
      <c r="L1417" s="163"/>
    </row>
    <row r="1418" spans="2:12" ht="19.2" customHeight="1" x14ac:dyDescent="0.3">
      <c r="B1418" s="161"/>
      <c r="C1418" s="162"/>
      <c r="D1418" s="163"/>
      <c r="E1418" s="162"/>
      <c r="F1418" s="162"/>
      <c r="G1418" s="162"/>
      <c r="H1418" s="162"/>
      <c r="I1418" s="162"/>
      <c r="J1418" s="162"/>
      <c r="K1418" s="162"/>
      <c r="L1418" s="163"/>
    </row>
    <row r="1419" spans="2:12" ht="19.2" customHeight="1" x14ac:dyDescent="0.3">
      <c r="B1419" s="161"/>
      <c r="C1419" s="162"/>
      <c r="D1419" s="163"/>
      <c r="E1419" s="162"/>
      <c r="F1419" s="162"/>
      <c r="G1419" s="162"/>
      <c r="H1419" s="162"/>
      <c r="I1419" s="162"/>
      <c r="J1419" s="162"/>
      <c r="K1419" s="162"/>
      <c r="L1419" s="163"/>
    </row>
    <row r="1420" spans="2:12" ht="19.2" customHeight="1" x14ac:dyDescent="0.3">
      <c r="B1420" s="161"/>
      <c r="C1420" s="162"/>
      <c r="D1420" s="163"/>
      <c r="E1420" s="162"/>
      <c r="F1420" s="162"/>
      <c r="G1420" s="162"/>
      <c r="H1420" s="162"/>
      <c r="I1420" s="162"/>
      <c r="J1420" s="162"/>
      <c r="K1420" s="162"/>
      <c r="L1420" s="163"/>
    </row>
    <row r="1421" spans="2:12" ht="19.2" customHeight="1" x14ac:dyDescent="0.3">
      <c r="B1421" s="161"/>
      <c r="C1421" s="162"/>
      <c r="D1421" s="163"/>
      <c r="E1421" s="162"/>
      <c r="F1421" s="162"/>
      <c r="G1421" s="162"/>
      <c r="H1421" s="162"/>
      <c r="I1421" s="162"/>
      <c r="J1421" s="162"/>
      <c r="K1421" s="162"/>
      <c r="L1421" s="163"/>
    </row>
    <row r="1422" spans="2:12" ht="19.2" customHeight="1" x14ac:dyDescent="0.3">
      <c r="B1422" s="161"/>
      <c r="C1422" s="162"/>
      <c r="D1422" s="163"/>
      <c r="E1422" s="162"/>
      <c r="F1422" s="162"/>
      <c r="G1422" s="162"/>
      <c r="H1422" s="162"/>
      <c r="I1422" s="162"/>
      <c r="J1422" s="162"/>
      <c r="K1422" s="162"/>
      <c r="L1422" s="163"/>
    </row>
    <row r="1423" spans="2:12" ht="19.2" customHeight="1" x14ac:dyDescent="0.3">
      <c r="B1423" s="161"/>
      <c r="C1423" s="162"/>
      <c r="D1423" s="163"/>
      <c r="E1423" s="162"/>
      <c r="F1423" s="162"/>
      <c r="G1423" s="162"/>
      <c r="H1423" s="162"/>
      <c r="I1423" s="162"/>
      <c r="J1423" s="162"/>
      <c r="K1423" s="162"/>
      <c r="L1423" s="163"/>
    </row>
    <row r="1424" spans="2:12" ht="19.2" customHeight="1" x14ac:dyDescent="0.3">
      <c r="B1424" s="161"/>
      <c r="C1424" s="162"/>
      <c r="D1424" s="163"/>
      <c r="E1424" s="162"/>
      <c r="F1424" s="162"/>
      <c r="G1424" s="162"/>
      <c r="H1424" s="162"/>
      <c r="I1424" s="162"/>
      <c r="J1424" s="162"/>
      <c r="K1424" s="162"/>
      <c r="L1424" s="163"/>
    </row>
    <row r="1425" spans="2:12" ht="19.2" customHeight="1" x14ac:dyDescent="0.3">
      <c r="B1425" s="161"/>
      <c r="C1425" s="162"/>
      <c r="D1425" s="163"/>
      <c r="E1425" s="162"/>
      <c r="F1425" s="162"/>
      <c r="G1425" s="162"/>
      <c r="H1425" s="162"/>
      <c r="I1425" s="162"/>
      <c r="J1425" s="162"/>
      <c r="K1425" s="162"/>
      <c r="L1425" s="163"/>
    </row>
    <row r="1426" spans="2:12" ht="19.2" customHeight="1" x14ac:dyDescent="0.3">
      <c r="B1426" s="161"/>
      <c r="C1426" s="162"/>
      <c r="D1426" s="163"/>
      <c r="E1426" s="162"/>
      <c r="F1426" s="162"/>
      <c r="G1426" s="162"/>
      <c r="H1426" s="162"/>
      <c r="I1426" s="162"/>
      <c r="J1426" s="162"/>
      <c r="K1426" s="162"/>
      <c r="L1426" s="163"/>
    </row>
    <row r="1427" spans="2:12" ht="19.2" customHeight="1" x14ac:dyDescent="0.3">
      <c r="B1427" s="161"/>
      <c r="C1427" s="162"/>
      <c r="D1427" s="163"/>
      <c r="E1427" s="162"/>
      <c r="F1427" s="162"/>
      <c r="G1427" s="162"/>
      <c r="H1427" s="162"/>
      <c r="I1427" s="162"/>
      <c r="J1427" s="162"/>
      <c r="K1427" s="162"/>
      <c r="L1427" s="163"/>
    </row>
    <row r="1428" spans="2:12" ht="19.2" customHeight="1" x14ac:dyDescent="0.3">
      <c r="B1428" s="161"/>
      <c r="C1428" s="162"/>
      <c r="D1428" s="163"/>
      <c r="E1428" s="162"/>
      <c r="F1428" s="162"/>
      <c r="G1428" s="162"/>
      <c r="H1428" s="162"/>
      <c r="I1428" s="162"/>
      <c r="J1428" s="162"/>
      <c r="K1428" s="162"/>
      <c r="L1428" s="163"/>
    </row>
    <row r="1429" spans="2:12" ht="19.2" customHeight="1" x14ac:dyDescent="0.3">
      <c r="B1429" s="161"/>
      <c r="C1429" s="162"/>
      <c r="D1429" s="163"/>
      <c r="E1429" s="162"/>
      <c r="F1429" s="162"/>
      <c r="G1429" s="162"/>
      <c r="H1429" s="162"/>
      <c r="I1429" s="162"/>
      <c r="J1429" s="162"/>
      <c r="K1429" s="162"/>
      <c r="L1429" s="163"/>
    </row>
    <row r="1430" spans="2:12" ht="19.2" customHeight="1" x14ac:dyDescent="0.3">
      <c r="B1430" s="161"/>
      <c r="C1430" s="162"/>
      <c r="D1430" s="163"/>
      <c r="E1430" s="162"/>
      <c r="F1430" s="162"/>
      <c r="G1430" s="162"/>
      <c r="H1430" s="162"/>
      <c r="I1430" s="162"/>
      <c r="J1430" s="162"/>
      <c r="K1430" s="162"/>
      <c r="L1430" s="163"/>
    </row>
    <row r="1431" spans="2:12" ht="19.2" customHeight="1" x14ac:dyDescent="0.3">
      <c r="B1431" s="161"/>
      <c r="C1431" s="162"/>
      <c r="D1431" s="163"/>
      <c r="E1431" s="162"/>
      <c r="F1431" s="162"/>
      <c r="G1431" s="162"/>
      <c r="H1431" s="162"/>
      <c r="I1431" s="162"/>
      <c r="J1431" s="162"/>
      <c r="K1431" s="162"/>
      <c r="L1431" s="163"/>
    </row>
    <row r="1432" spans="2:12" ht="19.2" customHeight="1" x14ac:dyDescent="0.3">
      <c r="B1432" s="161"/>
      <c r="C1432" s="162"/>
      <c r="D1432" s="163"/>
      <c r="E1432" s="162"/>
      <c r="F1432" s="162"/>
      <c r="G1432" s="162"/>
      <c r="H1432" s="162"/>
      <c r="I1432" s="162"/>
      <c r="J1432" s="162"/>
      <c r="K1432" s="162"/>
      <c r="L1432" s="163"/>
    </row>
    <row r="1433" spans="2:12" ht="19.2" customHeight="1" x14ac:dyDescent="0.3">
      <c r="B1433" s="161"/>
      <c r="C1433" s="162"/>
      <c r="D1433" s="163"/>
      <c r="E1433" s="162"/>
      <c r="F1433" s="162"/>
      <c r="G1433" s="162"/>
      <c r="H1433" s="162"/>
      <c r="I1433" s="162"/>
      <c r="J1433" s="162"/>
      <c r="K1433" s="162"/>
      <c r="L1433" s="163"/>
    </row>
    <row r="1434" spans="2:12" ht="19.2" customHeight="1" x14ac:dyDescent="0.3">
      <c r="B1434" s="161"/>
      <c r="C1434" s="162"/>
      <c r="D1434" s="163"/>
      <c r="E1434" s="162"/>
      <c r="F1434" s="162"/>
      <c r="G1434" s="162"/>
      <c r="H1434" s="162"/>
      <c r="I1434" s="162"/>
      <c r="J1434" s="162"/>
      <c r="K1434" s="162"/>
      <c r="L1434" s="163"/>
    </row>
    <row r="1435" spans="2:12" ht="19.2" customHeight="1" x14ac:dyDescent="0.3">
      <c r="B1435" s="161"/>
      <c r="C1435" s="162"/>
      <c r="D1435" s="163"/>
      <c r="E1435" s="162"/>
      <c r="F1435" s="162"/>
      <c r="G1435" s="162"/>
      <c r="H1435" s="162"/>
      <c r="I1435" s="162"/>
      <c r="J1435" s="162"/>
      <c r="K1435" s="162"/>
      <c r="L1435" s="163"/>
    </row>
    <row r="1436" spans="2:12" ht="19.2" customHeight="1" x14ac:dyDescent="0.3">
      <c r="B1436" s="161"/>
      <c r="C1436" s="162"/>
      <c r="D1436" s="163"/>
      <c r="E1436" s="162"/>
      <c r="F1436" s="162"/>
      <c r="G1436" s="162"/>
      <c r="H1436" s="162"/>
      <c r="I1436" s="162"/>
      <c r="J1436" s="162"/>
      <c r="K1436" s="162"/>
      <c r="L1436" s="163"/>
    </row>
    <row r="1437" spans="2:12" ht="19.2" customHeight="1" x14ac:dyDescent="0.3">
      <c r="B1437" s="161"/>
      <c r="C1437" s="162"/>
      <c r="D1437" s="163"/>
      <c r="E1437" s="162"/>
      <c r="F1437" s="162"/>
      <c r="G1437" s="162"/>
      <c r="H1437" s="162"/>
      <c r="I1437" s="162"/>
      <c r="J1437" s="162"/>
      <c r="K1437" s="162"/>
      <c r="L1437" s="163"/>
    </row>
    <row r="1438" spans="2:12" ht="19.2" customHeight="1" x14ac:dyDescent="0.3">
      <c r="B1438" s="161"/>
      <c r="C1438" s="162"/>
      <c r="D1438" s="163"/>
      <c r="E1438" s="162"/>
      <c r="F1438" s="162"/>
      <c r="G1438" s="162"/>
      <c r="H1438" s="162"/>
      <c r="I1438" s="162"/>
      <c r="J1438" s="162"/>
      <c r="K1438" s="162"/>
      <c r="L1438" s="163"/>
    </row>
    <row r="1439" spans="2:12" ht="19.2" customHeight="1" x14ac:dyDescent="0.3">
      <c r="B1439" s="161"/>
      <c r="C1439" s="162"/>
      <c r="D1439" s="163"/>
      <c r="E1439" s="162"/>
      <c r="F1439" s="162"/>
      <c r="G1439" s="162"/>
      <c r="H1439" s="162"/>
      <c r="I1439" s="162"/>
      <c r="J1439" s="162"/>
      <c r="K1439" s="162"/>
      <c r="L1439" s="163"/>
    </row>
    <row r="1440" spans="2:12" ht="19.2" customHeight="1" x14ac:dyDescent="0.3">
      <c r="B1440" s="161"/>
      <c r="C1440" s="162"/>
      <c r="D1440" s="163"/>
      <c r="E1440" s="162"/>
      <c r="F1440" s="162"/>
      <c r="G1440" s="162"/>
      <c r="H1440" s="162"/>
      <c r="I1440" s="162"/>
      <c r="J1440" s="162"/>
      <c r="K1440" s="162"/>
      <c r="L1440" s="163"/>
    </row>
    <row r="1441" spans="2:12" ht="19.2" customHeight="1" x14ac:dyDescent="0.3">
      <c r="B1441" s="161"/>
      <c r="C1441" s="162"/>
      <c r="D1441" s="163"/>
      <c r="E1441" s="162"/>
      <c r="F1441" s="162"/>
      <c r="G1441" s="162"/>
      <c r="H1441" s="162"/>
      <c r="I1441" s="162"/>
      <c r="J1441" s="162"/>
      <c r="K1441" s="162"/>
      <c r="L1441" s="163"/>
    </row>
    <row r="1442" spans="2:12" ht="19.2" customHeight="1" x14ac:dyDescent="0.3">
      <c r="B1442" s="161"/>
      <c r="C1442" s="162"/>
      <c r="D1442" s="163"/>
      <c r="E1442" s="162"/>
      <c r="F1442" s="162"/>
      <c r="G1442" s="162"/>
      <c r="H1442" s="162"/>
      <c r="I1442" s="162"/>
      <c r="J1442" s="162"/>
      <c r="K1442" s="162"/>
      <c r="L1442" s="163"/>
    </row>
    <row r="1443" spans="2:12" ht="19.2" customHeight="1" x14ac:dyDescent="0.3">
      <c r="B1443" s="161"/>
      <c r="C1443" s="162"/>
      <c r="D1443" s="163"/>
      <c r="E1443" s="162"/>
      <c r="F1443" s="162"/>
      <c r="G1443" s="162"/>
      <c r="H1443" s="162"/>
      <c r="I1443" s="162"/>
      <c r="J1443" s="162"/>
      <c r="K1443" s="162"/>
      <c r="L1443" s="163"/>
    </row>
    <row r="1444" spans="2:12" ht="19.2" customHeight="1" x14ac:dyDescent="0.3">
      <c r="B1444" s="161"/>
      <c r="C1444" s="162"/>
      <c r="D1444" s="163"/>
      <c r="E1444" s="162"/>
      <c r="F1444" s="162"/>
      <c r="G1444" s="162"/>
      <c r="H1444" s="162"/>
      <c r="I1444" s="162"/>
      <c r="J1444" s="162"/>
      <c r="K1444" s="162"/>
      <c r="L1444" s="163"/>
    </row>
    <row r="1445" spans="2:12" ht="19.2" customHeight="1" x14ac:dyDescent="0.3">
      <c r="B1445" s="161"/>
      <c r="C1445" s="162"/>
      <c r="D1445" s="163"/>
      <c r="E1445" s="162"/>
      <c r="F1445" s="162"/>
      <c r="G1445" s="162"/>
      <c r="H1445" s="162"/>
      <c r="I1445" s="162"/>
      <c r="J1445" s="162"/>
      <c r="K1445" s="162"/>
      <c r="L1445" s="163"/>
    </row>
    <row r="1446" spans="2:12" ht="19.2" customHeight="1" x14ac:dyDescent="0.3">
      <c r="B1446" s="161"/>
      <c r="C1446" s="162"/>
      <c r="D1446" s="163"/>
      <c r="E1446" s="162"/>
      <c r="F1446" s="162"/>
      <c r="G1446" s="162"/>
      <c r="H1446" s="162"/>
      <c r="I1446" s="162"/>
      <c r="J1446" s="162"/>
      <c r="K1446" s="162"/>
      <c r="L1446" s="163"/>
    </row>
    <row r="1447" spans="2:12" ht="19.2" customHeight="1" x14ac:dyDescent="0.3">
      <c r="B1447" s="161"/>
      <c r="C1447" s="162"/>
      <c r="D1447" s="163"/>
      <c r="E1447" s="162"/>
      <c r="F1447" s="162"/>
      <c r="G1447" s="162"/>
      <c r="H1447" s="162"/>
      <c r="I1447" s="162"/>
      <c r="J1447" s="162"/>
      <c r="K1447" s="162"/>
      <c r="L1447" s="163"/>
    </row>
    <row r="1448" spans="2:12" ht="19.2" customHeight="1" x14ac:dyDescent="0.3">
      <c r="B1448" s="161"/>
      <c r="C1448" s="162"/>
      <c r="D1448" s="163"/>
      <c r="E1448" s="162"/>
      <c r="F1448" s="162"/>
      <c r="G1448" s="162"/>
      <c r="H1448" s="162"/>
      <c r="I1448" s="162"/>
      <c r="J1448" s="162"/>
      <c r="K1448" s="162"/>
      <c r="L1448" s="163"/>
    </row>
    <row r="1449" spans="2:12" ht="19.2" customHeight="1" x14ac:dyDescent="0.3">
      <c r="B1449" s="161"/>
      <c r="C1449" s="162"/>
      <c r="D1449" s="163"/>
      <c r="E1449" s="162"/>
      <c r="F1449" s="162"/>
      <c r="G1449" s="162"/>
      <c r="H1449" s="162"/>
      <c r="I1449" s="162"/>
      <c r="J1449" s="162"/>
      <c r="K1449" s="162"/>
      <c r="L1449" s="163"/>
    </row>
    <row r="1450" spans="2:12" ht="19.2" customHeight="1" x14ac:dyDescent="0.3">
      <c r="B1450" s="161"/>
      <c r="C1450" s="162"/>
      <c r="D1450" s="163"/>
      <c r="E1450" s="162"/>
      <c r="F1450" s="162"/>
      <c r="G1450" s="162"/>
      <c r="H1450" s="162"/>
      <c r="I1450" s="162"/>
      <c r="J1450" s="162"/>
      <c r="K1450" s="162"/>
      <c r="L1450" s="163"/>
    </row>
    <row r="1451" spans="2:12" ht="19.2" customHeight="1" x14ac:dyDescent="0.3">
      <c r="B1451" s="161"/>
      <c r="C1451" s="162"/>
      <c r="D1451" s="163"/>
      <c r="E1451" s="162"/>
      <c r="F1451" s="162"/>
      <c r="G1451" s="162"/>
      <c r="H1451" s="162"/>
      <c r="I1451" s="162"/>
      <c r="J1451" s="162"/>
      <c r="K1451" s="162"/>
      <c r="L1451" s="163"/>
    </row>
    <row r="1452" spans="2:12" ht="19.2" customHeight="1" x14ac:dyDescent="0.3">
      <c r="B1452" s="161"/>
      <c r="C1452" s="162"/>
      <c r="D1452" s="163"/>
      <c r="E1452" s="162"/>
      <c r="F1452" s="162"/>
      <c r="G1452" s="162"/>
      <c r="H1452" s="162"/>
      <c r="I1452" s="162"/>
      <c r="J1452" s="162"/>
      <c r="K1452" s="162"/>
      <c r="L1452" s="163"/>
    </row>
    <row r="1453" spans="2:12" ht="19.2" customHeight="1" x14ac:dyDescent="0.3">
      <c r="B1453" s="161"/>
      <c r="C1453" s="162"/>
      <c r="D1453" s="163"/>
      <c r="E1453" s="162"/>
      <c r="F1453" s="162"/>
      <c r="G1453" s="162"/>
      <c r="H1453" s="162"/>
      <c r="I1453" s="162"/>
      <c r="J1453" s="162"/>
      <c r="K1453" s="162"/>
      <c r="L1453" s="163"/>
    </row>
    <row r="1454" spans="2:12" ht="19.2" customHeight="1" x14ac:dyDescent="0.3">
      <c r="B1454" s="161"/>
      <c r="C1454" s="162"/>
      <c r="D1454" s="163"/>
      <c r="E1454" s="162"/>
      <c r="F1454" s="162"/>
      <c r="G1454" s="162"/>
      <c r="H1454" s="162"/>
      <c r="I1454" s="162"/>
      <c r="J1454" s="162"/>
      <c r="K1454" s="162"/>
      <c r="L1454" s="163"/>
    </row>
    <row r="1455" spans="2:12" ht="19.2" customHeight="1" x14ac:dyDescent="0.3">
      <c r="B1455" s="161"/>
      <c r="C1455" s="162"/>
      <c r="D1455" s="163"/>
      <c r="E1455" s="162"/>
      <c r="F1455" s="162"/>
      <c r="G1455" s="162"/>
      <c r="H1455" s="162"/>
      <c r="I1455" s="162"/>
      <c r="J1455" s="162"/>
      <c r="K1455" s="162"/>
      <c r="L1455" s="163"/>
    </row>
    <row r="1456" spans="2:12" ht="19.2" customHeight="1" x14ac:dyDescent="0.3">
      <c r="B1456" s="161"/>
      <c r="C1456" s="162"/>
      <c r="D1456" s="163"/>
      <c r="E1456" s="162"/>
      <c r="F1456" s="162"/>
      <c r="G1456" s="162"/>
      <c r="H1456" s="162"/>
      <c r="I1456" s="162"/>
      <c r="J1456" s="162"/>
      <c r="K1456" s="162"/>
      <c r="L1456" s="163"/>
    </row>
    <row r="1457" spans="2:12" ht="19.2" customHeight="1" x14ac:dyDescent="0.3">
      <c r="B1457" s="161"/>
      <c r="C1457" s="162"/>
      <c r="D1457" s="163"/>
      <c r="E1457" s="162"/>
      <c r="F1457" s="162"/>
      <c r="G1457" s="162"/>
      <c r="H1457" s="162"/>
      <c r="I1457" s="162"/>
      <c r="J1457" s="162"/>
      <c r="K1457" s="162"/>
      <c r="L1457" s="163"/>
    </row>
    <row r="1458" spans="2:12" ht="19.2" customHeight="1" x14ac:dyDescent="0.3">
      <c r="B1458" s="161"/>
      <c r="C1458" s="162"/>
      <c r="D1458" s="163"/>
      <c r="E1458" s="162"/>
      <c r="F1458" s="162"/>
      <c r="G1458" s="162"/>
      <c r="H1458" s="162"/>
      <c r="I1458" s="162"/>
      <c r="J1458" s="162"/>
      <c r="K1458" s="162"/>
      <c r="L1458" s="163"/>
    </row>
    <row r="1459" spans="2:12" ht="19.2" customHeight="1" x14ac:dyDescent="0.3">
      <c r="B1459" s="161"/>
      <c r="C1459" s="162"/>
      <c r="D1459" s="163"/>
      <c r="E1459" s="162"/>
      <c r="F1459" s="162"/>
      <c r="G1459" s="162"/>
      <c r="H1459" s="162"/>
      <c r="I1459" s="162"/>
      <c r="J1459" s="162"/>
      <c r="K1459" s="162"/>
      <c r="L1459" s="163"/>
    </row>
    <row r="1460" spans="2:12" ht="19.2" customHeight="1" x14ac:dyDescent="0.3">
      <c r="B1460" s="161"/>
      <c r="C1460" s="162"/>
      <c r="D1460" s="163"/>
      <c r="E1460" s="162"/>
      <c r="F1460" s="162"/>
      <c r="G1460" s="162"/>
      <c r="H1460" s="162"/>
      <c r="I1460" s="162"/>
      <c r="J1460" s="162"/>
      <c r="K1460" s="162"/>
      <c r="L1460" s="163"/>
    </row>
    <row r="1461" spans="2:12" ht="19.2" customHeight="1" x14ac:dyDescent="0.3">
      <c r="B1461" s="161"/>
      <c r="C1461" s="162"/>
      <c r="D1461" s="163"/>
      <c r="E1461" s="162"/>
      <c r="F1461" s="162"/>
      <c r="G1461" s="162"/>
      <c r="H1461" s="162"/>
      <c r="I1461" s="162"/>
      <c r="J1461" s="162"/>
      <c r="K1461" s="162"/>
      <c r="L1461" s="163"/>
    </row>
    <row r="1462" spans="2:12" ht="19.2" customHeight="1" x14ac:dyDescent="0.3">
      <c r="B1462" s="161"/>
      <c r="C1462" s="162"/>
      <c r="D1462" s="163"/>
      <c r="E1462" s="162"/>
      <c r="F1462" s="162"/>
      <c r="G1462" s="162"/>
      <c r="H1462" s="162"/>
      <c r="I1462" s="162"/>
      <c r="J1462" s="162"/>
      <c r="K1462" s="162"/>
      <c r="L1462" s="163"/>
    </row>
    <row r="1463" spans="2:12" ht="19.2" customHeight="1" x14ac:dyDescent="0.3">
      <c r="B1463" s="161"/>
      <c r="C1463" s="162"/>
      <c r="D1463" s="163"/>
      <c r="E1463" s="162"/>
      <c r="F1463" s="162"/>
      <c r="G1463" s="162"/>
      <c r="H1463" s="162"/>
      <c r="I1463" s="162"/>
      <c r="J1463" s="162"/>
      <c r="K1463" s="162"/>
      <c r="L1463" s="163"/>
    </row>
    <row r="1464" spans="2:12" ht="19.2" customHeight="1" x14ac:dyDescent="0.3">
      <c r="B1464" s="161"/>
      <c r="C1464" s="162"/>
      <c r="D1464" s="163"/>
      <c r="E1464" s="162"/>
      <c r="F1464" s="162"/>
      <c r="G1464" s="162"/>
      <c r="H1464" s="162"/>
      <c r="I1464" s="162"/>
      <c r="J1464" s="162"/>
      <c r="K1464" s="162"/>
      <c r="L1464" s="163"/>
    </row>
    <row r="1465" spans="2:12" ht="19.2" customHeight="1" x14ac:dyDescent="0.3">
      <c r="B1465" s="161"/>
      <c r="C1465" s="162"/>
      <c r="D1465" s="163"/>
      <c r="E1465" s="162"/>
      <c r="F1465" s="162"/>
      <c r="G1465" s="162"/>
      <c r="H1465" s="162"/>
      <c r="I1465" s="162"/>
      <c r="J1465" s="162"/>
      <c r="K1465" s="162"/>
      <c r="L1465" s="163"/>
    </row>
    <row r="1466" spans="2:12" ht="19.2" customHeight="1" x14ac:dyDescent="0.3">
      <c r="B1466" s="161"/>
      <c r="C1466" s="162"/>
      <c r="D1466" s="163"/>
      <c r="E1466" s="162"/>
      <c r="F1466" s="162"/>
      <c r="G1466" s="162"/>
      <c r="H1466" s="162"/>
      <c r="I1466" s="162"/>
      <c r="J1466" s="162"/>
      <c r="K1466" s="162"/>
      <c r="L1466" s="163"/>
    </row>
    <row r="1467" spans="2:12" ht="19.2" customHeight="1" x14ac:dyDescent="0.3">
      <c r="B1467" s="161"/>
      <c r="C1467" s="162"/>
      <c r="D1467" s="163"/>
      <c r="E1467" s="162"/>
      <c r="F1467" s="162"/>
      <c r="G1467" s="162"/>
      <c r="H1467" s="162"/>
      <c r="I1467" s="162"/>
      <c r="J1467" s="162"/>
      <c r="K1467" s="162"/>
      <c r="L1467" s="163"/>
    </row>
    <row r="1468" spans="2:12" ht="19.2" customHeight="1" x14ac:dyDescent="0.3">
      <c r="B1468" s="161"/>
      <c r="C1468" s="162"/>
      <c r="D1468" s="163"/>
      <c r="E1468" s="162"/>
      <c r="F1468" s="162"/>
      <c r="G1468" s="162"/>
      <c r="H1468" s="162"/>
      <c r="I1468" s="162"/>
      <c r="J1468" s="162"/>
      <c r="K1468" s="162"/>
      <c r="L1468" s="163"/>
    </row>
    <row r="1469" spans="2:12" ht="19.2" customHeight="1" x14ac:dyDescent="0.3">
      <c r="B1469" s="161"/>
      <c r="C1469" s="162"/>
      <c r="D1469" s="163"/>
      <c r="E1469" s="162"/>
      <c r="F1469" s="162"/>
      <c r="G1469" s="162"/>
      <c r="H1469" s="162"/>
      <c r="I1469" s="162"/>
      <c r="J1469" s="162"/>
      <c r="K1469" s="162"/>
      <c r="L1469" s="163"/>
    </row>
    <row r="1470" spans="2:12" ht="19.2" customHeight="1" x14ac:dyDescent="0.3">
      <c r="B1470" s="161"/>
      <c r="C1470" s="162"/>
      <c r="D1470" s="163"/>
      <c r="E1470" s="162"/>
      <c r="F1470" s="162"/>
      <c r="G1470" s="162"/>
      <c r="H1470" s="162"/>
      <c r="I1470" s="162"/>
      <c r="J1470" s="162"/>
      <c r="K1470" s="162"/>
      <c r="L1470" s="163"/>
    </row>
    <row r="1471" spans="2:12" ht="19.2" customHeight="1" x14ac:dyDescent="0.3">
      <c r="B1471" s="161"/>
      <c r="C1471" s="162"/>
      <c r="D1471" s="163"/>
      <c r="E1471" s="162"/>
      <c r="F1471" s="162"/>
      <c r="G1471" s="162"/>
      <c r="H1471" s="162"/>
      <c r="I1471" s="162"/>
      <c r="J1471" s="162"/>
      <c r="K1471" s="162"/>
      <c r="L1471" s="163"/>
    </row>
    <row r="1472" spans="2:12" ht="19.2" customHeight="1" x14ac:dyDescent="0.3">
      <c r="B1472" s="161"/>
      <c r="C1472" s="162"/>
      <c r="D1472" s="163"/>
      <c r="E1472" s="162"/>
      <c r="F1472" s="162"/>
      <c r="G1472" s="162"/>
      <c r="H1472" s="162"/>
      <c r="I1472" s="162"/>
      <c r="J1472" s="162"/>
      <c r="K1472" s="162"/>
      <c r="L1472" s="163"/>
    </row>
    <row r="1473" spans="2:12" ht="19.2" customHeight="1" x14ac:dyDescent="0.3">
      <c r="B1473" s="161"/>
      <c r="C1473" s="162"/>
      <c r="D1473" s="163"/>
      <c r="E1473" s="162"/>
      <c r="F1473" s="162"/>
      <c r="G1473" s="162"/>
      <c r="H1473" s="162"/>
      <c r="I1473" s="162"/>
      <c r="J1473" s="162"/>
      <c r="K1473" s="162"/>
      <c r="L1473" s="163"/>
    </row>
    <row r="1474" spans="2:12" ht="19.2" customHeight="1" x14ac:dyDescent="0.3">
      <c r="B1474" s="161"/>
      <c r="C1474" s="162"/>
      <c r="D1474" s="163"/>
      <c r="E1474" s="162"/>
      <c r="F1474" s="162"/>
      <c r="G1474" s="162"/>
      <c r="H1474" s="162"/>
      <c r="I1474" s="162"/>
      <c r="J1474" s="162"/>
      <c r="K1474" s="162"/>
      <c r="L1474" s="163"/>
    </row>
    <row r="1475" spans="2:12" ht="19.2" customHeight="1" x14ac:dyDescent="0.3">
      <c r="B1475" s="161"/>
      <c r="C1475" s="162"/>
      <c r="D1475" s="163"/>
      <c r="E1475" s="162"/>
      <c r="F1475" s="162"/>
      <c r="G1475" s="162"/>
      <c r="H1475" s="162"/>
      <c r="I1475" s="162"/>
      <c r="J1475" s="162"/>
      <c r="K1475" s="162"/>
      <c r="L1475" s="163"/>
    </row>
    <row r="1476" spans="2:12" ht="19.2" customHeight="1" x14ac:dyDescent="0.3">
      <c r="B1476" s="161"/>
      <c r="C1476" s="162"/>
      <c r="D1476" s="163"/>
      <c r="E1476" s="162"/>
      <c r="F1476" s="162"/>
      <c r="G1476" s="162"/>
      <c r="H1476" s="162"/>
      <c r="I1476" s="162"/>
      <c r="J1476" s="162"/>
      <c r="K1476" s="162"/>
      <c r="L1476" s="163"/>
    </row>
    <row r="1477" spans="2:12" ht="19.2" customHeight="1" x14ac:dyDescent="0.3">
      <c r="B1477" s="161"/>
      <c r="C1477" s="162"/>
      <c r="D1477" s="163"/>
      <c r="E1477" s="162"/>
      <c r="F1477" s="162"/>
      <c r="G1477" s="162"/>
      <c r="H1477" s="162"/>
      <c r="I1477" s="162"/>
      <c r="J1477" s="162"/>
      <c r="K1477" s="162"/>
      <c r="L1477" s="163"/>
    </row>
    <row r="1478" spans="2:12" ht="19.2" customHeight="1" x14ac:dyDescent="0.3">
      <c r="B1478" s="161"/>
      <c r="C1478" s="162"/>
      <c r="D1478" s="163"/>
      <c r="E1478" s="162"/>
      <c r="F1478" s="162"/>
      <c r="G1478" s="162"/>
      <c r="H1478" s="162"/>
      <c r="I1478" s="162"/>
      <c r="J1478" s="162"/>
      <c r="K1478" s="162"/>
      <c r="L1478" s="163"/>
    </row>
    <row r="1479" spans="2:12" ht="19.2" customHeight="1" x14ac:dyDescent="0.3">
      <c r="B1479" s="161"/>
      <c r="C1479" s="162"/>
      <c r="D1479" s="163"/>
      <c r="E1479" s="162"/>
      <c r="F1479" s="162"/>
      <c r="G1479" s="162"/>
      <c r="H1479" s="162"/>
      <c r="I1479" s="162"/>
      <c r="J1479" s="162"/>
      <c r="K1479" s="162"/>
      <c r="L1479" s="163"/>
    </row>
    <row r="1480" spans="2:12" ht="19.2" customHeight="1" x14ac:dyDescent="0.3">
      <c r="B1480" s="161"/>
      <c r="C1480" s="162"/>
      <c r="D1480" s="163"/>
      <c r="E1480" s="162"/>
      <c r="F1480" s="162"/>
      <c r="G1480" s="162"/>
      <c r="H1480" s="162"/>
      <c r="I1480" s="162"/>
      <c r="J1480" s="162"/>
      <c r="K1480" s="162"/>
      <c r="L1480" s="163"/>
    </row>
    <row r="1481" spans="2:12" ht="19.2" customHeight="1" x14ac:dyDescent="0.3">
      <c r="B1481" s="161"/>
      <c r="C1481" s="162"/>
      <c r="D1481" s="163"/>
      <c r="E1481" s="162"/>
      <c r="F1481" s="162"/>
      <c r="G1481" s="162"/>
      <c r="H1481" s="162"/>
      <c r="I1481" s="162"/>
      <c r="J1481" s="162"/>
      <c r="K1481" s="162"/>
      <c r="L1481" s="163"/>
    </row>
    <row r="1482" spans="2:12" ht="19.2" customHeight="1" x14ac:dyDescent="0.3">
      <c r="B1482" s="161"/>
      <c r="C1482" s="162"/>
      <c r="D1482" s="163"/>
      <c r="E1482" s="162"/>
      <c r="F1482" s="162"/>
      <c r="G1482" s="162"/>
      <c r="H1482" s="162"/>
      <c r="I1482" s="162"/>
      <c r="J1482" s="162"/>
      <c r="K1482" s="162"/>
      <c r="L1482" s="163"/>
    </row>
    <row r="1483" spans="2:12" ht="19.2" customHeight="1" x14ac:dyDescent="0.3">
      <c r="B1483" s="161"/>
      <c r="C1483" s="162"/>
      <c r="D1483" s="163"/>
      <c r="E1483" s="162"/>
      <c r="F1483" s="162"/>
      <c r="G1483" s="162"/>
      <c r="H1483" s="162"/>
      <c r="I1483" s="162"/>
      <c r="J1483" s="162"/>
      <c r="K1483" s="162"/>
      <c r="L1483" s="163"/>
    </row>
    <row r="1484" spans="2:12" ht="19.2" customHeight="1" x14ac:dyDescent="0.3">
      <c r="B1484" s="161"/>
      <c r="C1484" s="162"/>
      <c r="D1484" s="163"/>
      <c r="E1484" s="162"/>
      <c r="F1484" s="162"/>
      <c r="G1484" s="162"/>
      <c r="H1484" s="162"/>
      <c r="I1484" s="162"/>
      <c r="J1484" s="162"/>
      <c r="K1484" s="162"/>
      <c r="L1484" s="163"/>
    </row>
    <row r="1485" spans="2:12" ht="19.2" customHeight="1" x14ac:dyDescent="0.3">
      <c r="B1485" s="161"/>
      <c r="C1485" s="162"/>
      <c r="D1485" s="163"/>
      <c r="E1485" s="162"/>
      <c r="F1485" s="162"/>
      <c r="G1485" s="162"/>
      <c r="H1485" s="162"/>
      <c r="I1485" s="162"/>
      <c r="J1485" s="162"/>
      <c r="K1485" s="162"/>
      <c r="L1485" s="163"/>
    </row>
    <row r="1486" spans="2:12" ht="19.2" customHeight="1" x14ac:dyDescent="0.3">
      <c r="B1486" s="161"/>
      <c r="C1486" s="162"/>
      <c r="D1486" s="163"/>
      <c r="E1486" s="162"/>
      <c r="F1486" s="162"/>
      <c r="G1486" s="162"/>
      <c r="H1486" s="162"/>
      <c r="I1486" s="162"/>
      <c r="J1486" s="162"/>
      <c r="K1486" s="162"/>
      <c r="L1486" s="163"/>
    </row>
    <row r="1487" spans="2:12" ht="19.2" customHeight="1" x14ac:dyDescent="0.3">
      <c r="B1487" s="161"/>
      <c r="C1487" s="162"/>
      <c r="D1487" s="163"/>
      <c r="E1487" s="162"/>
      <c r="F1487" s="162"/>
      <c r="G1487" s="162"/>
      <c r="H1487" s="162"/>
      <c r="I1487" s="162"/>
      <c r="J1487" s="162"/>
      <c r="K1487" s="162"/>
      <c r="L1487" s="163"/>
    </row>
    <row r="1488" spans="2:12" ht="19.2" customHeight="1" x14ac:dyDescent="0.3">
      <c r="B1488" s="161"/>
      <c r="C1488" s="162"/>
      <c r="D1488" s="163"/>
      <c r="E1488" s="162"/>
      <c r="F1488" s="162"/>
      <c r="G1488" s="162"/>
      <c r="H1488" s="162"/>
      <c r="I1488" s="162"/>
      <c r="J1488" s="162"/>
      <c r="K1488" s="162"/>
      <c r="L1488" s="163"/>
    </row>
    <row r="1489" spans="2:12" ht="19.2" customHeight="1" x14ac:dyDescent="0.3">
      <c r="B1489" s="161"/>
      <c r="C1489" s="162"/>
      <c r="D1489" s="163"/>
      <c r="E1489" s="162"/>
      <c r="F1489" s="162"/>
      <c r="G1489" s="162"/>
      <c r="H1489" s="162"/>
      <c r="I1489" s="162"/>
      <c r="J1489" s="162"/>
      <c r="K1489" s="162"/>
      <c r="L1489" s="163"/>
    </row>
    <row r="1490" spans="2:12" ht="19.2" customHeight="1" x14ac:dyDescent="0.3">
      <c r="B1490" s="161"/>
      <c r="C1490" s="162"/>
      <c r="D1490" s="163"/>
      <c r="E1490" s="162"/>
      <c r="F1490" s="162"/>
      <c r="G1490" s="162"/>
      <c r="H1490" s="162"/>
      <c r="I1490" s="162"/>
      <c r="J1490" s="162"/>
      <c r="K1490" s="162"/>
      <c r="L1490" s="163"/>
    </row>
    <row r="1491" spans="2:12" ht="19.2" customHeight="1" x14ac:dyDescent="0.3">
      <c r="B1491" s="161"/>
      <c r="C1491" s="162"/>
      <c r="D1491" s="163"/>
      <c r="E1491" s="162"/>
      <c r="F1491" s="162"/>
      <c r="G1491" s="162"/>
      <c r="H1491" s="162"/>
      <c r="I1491" s="162"/>
      <c r="J1491" s="162"/>
      <c r="K1491" s="162"/>
      <c r="L1491" s="163"/>
    </row>
    <row r="1492" spans="2:12" ht="19.2" customHeight="1" x14ac:dyDescent="0.3">
      <c r="B1492" s="161"/>
      <c r="C1492" s="162"/>
      <c r="D1492" s="163"/>
      <c r="E1492" s="162"/>
      <c r="F1492" s="162"/>
      <c r="G1492" s="162"/>
      <c r="H1492" s="162"/>
      <c r="I1492" s="162"/>
      <c r="J1492" s="162"/>
      <c r="K1492" s="162"/>
      <c r="L1492" s="163"/>
    </row>
    <row r="1493" spans="2:12" ht="19.2" customHeight="1" x14ac:dyDescent="0.3">
      <c r="B1493" s="161"/>
      <c r="C1493" s="162"/>
      <c r="D1493" s="163"/>
      <c r="E1493" s="162"/>
      <c r="F1493" s="162"/>
      <c r="G1493" s="162"/>
      <c r="H1493" s="162"/>
      <c r="I1493" s="162"/>
      <c r="J1493" s="162"/>
      <c r="K1493" s="162"/>
      <c r="L1493" s="163"/>
    </row>
    <row r="1494" spans="2:12" ht="19.2" customHeight="1" x14ac:dyDescent="0.3">
      <c r="B1494" s="161"/>
      <c r="C1494" s="162"/>
      <c r="D1494" s="163"/>
      <c r="E1494" s="162"/>
      <c r="F1494" s="162"/>
      <c r="G1494" s="162"/>
      <c r="H1494" s="162"/>
      <c r="I1494" s="162"/>
      <c r="J1494" s="162"/>
      <c r="K1494" s="162"/>
      <c r="L1494" s="163"/>
    </row>
    <row r="1495" spans="2:12" ht="19.2" customHeight="1" x14ac:dyDescent="0.3">
      <c r="B1495" s="161"/>
      <c r="C1495" s="162"/>
      <c r="D1495" s="163"/>
      <c r="E1495" s="162"/>
      <c r="F1495" s="162"/>
      <c r="G1495" s="162"/>
      <c r="H1495" s="162"/>
      <c r="I1495" s="162"/>
      <c r="J1495" s="162"/>
      <c r="K1495" s="162"/>
      <c r="L1495" s="163"/>
    </row>
    <row r="1496" spans="2:12" ht="19.2" customHeight="1" x14ac:dyDescent="0.3">
      <c r="B1496" s="161"/>
      <c r="C1496" s="162"/>
      <c r="D1496" s="163"/>
      <c r="E1496" s="162"/>
      <c r="F1496" s="162"/>
      <c r="G1496" s="162"/>
      <c r="H1496" s="162"/>
      <c r="I1496" s="162"/>
      <c r="J1496" s="162"/>
      <c r="K1496" s="162"/>
      <c r="L1496" s="163"/>
    </row>
    <row r="1497" spans="2:12" ht="19.2" customHeight="1" x14ac:dyDescent="0.3">
      <c r="B1497" s="161"/>
      <c r="C1497" s="162"/>
      <c r="D1497" s="163"/>
      <c r="E1497" s="162"/>
      <c r="F1497" s="162"/>
      <c r="G1497" s="162"/>
      <c r="H1497" s="162"/>
      <c r="I1497" s="162"/>
      <c r="J1497" s="162"/>
      <c r="K1497" s="162"/>
      <c r="L1497" s="163"/>
    </row>
    <row r="1498" spans="2:12" ht="19.2" customHeight="1" x14ac:dyDescent="0.3">
      <c r="B1498" s="161"/>
      <c r="C1498" s="162"/>
      <c r="D1498" s="163"/>
      <c r="E1498" s="162"/>
      <c r="F1498" s="162"/>
      <c r="G1498" s="162"/>
      <c r="H1498" s="162"/>
      <c r="I1498" s="162"/>
      <c r="J1498" s="162"/>
      <c r="K1498" s="162"/>
      <c r="L1498" s="163"/>
    </row>
    <row r="1499" spans="2:12" ht="19.2" customHeight="1" x14ac:dyDescent="0.3">
      <c r="B1499" s="161"/>
      <c r="C1499" s="162"/>
      <c r="D1499" s="163"/>
      <c r="E1499" s="162"/>
      <c r="F1499" s="162"/>
      <c r="G1499" s="162"/>
      <c r="H1499" s="162"/>
      <c r="I1499" s="162"/>
      <c r="J1499" s="162"/>
      <c r="K1499" s="162"/>
      <c r="L1499" s="163"/>
    </row>
    <row r="1500" spans="2:12" ht="19.2" customHeight="1" x14ac:dyDescent="0.3">
      <c r="B1500" s="161"/>
      <c r="C1500" s="162"/>
      <c r="D1500" s="163"/>
      <c r="E1500" s="162"/>
      <c r="F1500" s="162"/>
      <c r="G1500" s="162"/>
      <c r="H1500" s="162"/>
      <c r="I1500" s="162"/>
      <c r="J1500" s="162"/>
      <c r="K1500" s="162"/>
      <c r="L1500" s="163"/>
    </row>
    <row r="1501" spans="2:12" ht="19.2" customHeight="1" x14ac:dyDescent="0.3">
      <c r="B1501" s="161"/>
      <c r="C1501" s="162"/>
      <c r="D1501" s="163"/>
      <c r="E1501" s="162"/>
      <c r="F1501" s="162"/>
      <c r="G1501" s="162"/>
      <c r="H1501" s="162"/>
      <c r="I1501" s="162"/>
      <c r="J1501" s="162"/>
      <c r="K1501" s="162"/>
      <c r="L1501" s="163"/>
    </row>
    <row r="1502" spans="2:12" ht="19.2" customHeight="1" x14ac:dyDescent="0.3">
      <c r="B1502" s="161"/>
      <c r="C1502" s="162"/>
      <c r="D1502" s="163"/>
      <c r="E1502" s="162"/>
      <c r="F1502" s="162"/>
      <c r="G1502" s="162"/>
      <c r="H1502" s="162"/>
      <c r="I1502" s="162"/>
      <c r="J1502" s="162"/>
      <c r="K1502" s="162"/>
      <c r="L1502" s="163"/>
    </row>
    <row r="1503" spans="2:12" ht="19.2" customHeight="1" x14ac:dyDescent="0.3">
      <c r="B1503" s="161"/>
      <c r="C1503" s="162"/>
      <c r="D1503" s="163"/>
      <c r="E1503" s="162"/>
      <c r="F1503" s="162"/>
      <c r="G1503" s="162"/>
      <c r="H1503" s="162"/>
      <c r="I1503" s="162"/>
      <c r="J1503" s="162"/>
      <c r="K1503" s="162"/>
      <c r="L1503" s="163"/>
    </row>
    <row r="1504" spans="2:12" ht="19.2" customHeight="1" x14ac:dyDescent="0.3">
      <c r="B1504" s="161"/>
      <c r="C1504" s="162"/>
      <c r="D1504" s="163"/>
      <c r="E1504" s="162"/>
      <c r="F1504" s="162"/>
      <c r="G1504" s="162"/>
      <c r="H1504" s="162"/>
      <c r="I1504" s="162"/>
      <c r="J1504" s="162"/>
      <c r="K1504" s="162"/>
      <c r="L1504" s="163"/>
    </row>
    <row r="1505" spans="2:12" ht="19.2" customHeight="1" x14ac:dyDescent="0.3">
      <c r="B1505" s="161"/>
      <c r="C1505" s="162"/>
      <c r="D1505" s="163"/>
      <c r="E1505" s="162"/>
      <c r="F1505" s="162"/>
      <c r="G1505" s="162"/>
      <c r="H1505" s="162"/>
      <c r="I1505" s="162"/>
      <c r="J1505" s="162"/>
      <c r="K1505" s="162"/>
      <c r="L1505" s="163"/>
    </row>
    <row r="1506" spans="2:12" ht="19.2" customHeight="1" x14ac:dyDescent="0.3">
      <c r="B1506" s="161"/>
      <c r="C1506" s="162"/>
      <c r="D1506" s="163"/>
      <c r="E1506" s="162"/>
      <c r="F1506" s="162"/>
      <c r="G1506" s="162"/>
      <c r="H1506" s="162"/>
      <c r="I1506" s="162"/>
      <c r="J1506" s="162"/>
      <c r="K1506" s="162"/>
      <c r="L1506" s="163"/>
    </row>
    <row r="1507" spans="2:12" ht="19.2" customHeight="1" x14ac:dyDescent="0.3">
      <c r="B1507" s="161"/>
      <c r="C1507" s="162"/>
      <c r="D1507" s="163"/>
      <c r="E1507" s="162"/>
      <c r="F1507" s="162"/>
      <c r="G1507" s="162"/>
      <c r="H1507" s="162"/>
      <c r="I1507" s="162"/>
      <c r="J1507" s="162"/>
      <c r="K1507" s="162"/>
      <c r="L1507" s="163"/>
    </row>
    <row r="1508" spans="2:12" ht="19.2" customHeight="1" x14ac:dyDescent="0.3">
      <c r="B1508" s="161"/>
      <c r="C1508" s="162"/>
      <c r="D1508" s="163"/>
      <c r="E1508" s="162"/>
      <c r="F1508" s="162"/>
      <c r="G1508" s="162"/>
      <c r="H1508" s="162"/>
      <c r="I1508" s="162"/>
      <c r="J1508" s="162"/>
      <c r="K1508" s="162"/>
      <c r="L1508" s="163"/>
    </row>
    <row r="1509" spans="2:12" ht="19.2" customHeight="1" x14ac:dyDescent="0.3">
      <c r="B1509" s="161"/>
      <c r="C1509" s="162"/>
      <c r="D1509" s="163"/>
      <c r="E1509" s="162"/>
      <c r="F1509" s="162"/>
      <c r="G1509" s="162"/>
      <c r="H1509" s="162"/>
      <c r="I1509" s="162"/>
      <c r="J1509" s="162"/>
      <c r="K1509" s="162"/>
      <c r="L1509" s="163"/>
    </row>
    <row r="1510" spans="2:12" ht="19.2" customHeight="1" x14ac:dyDescent="0.3">
      <c r="B1510" s="161"/>
      <c r="C1510" s="162"/>
      <c r="D1510" s="163"/>
      <c r="E1510" s="162"/>
      <c r="F1510" s="162"/>
      <c r="G1510" s="162"/>
      <c r="H1510" s="162"/>
      <c r="I1510" s="162"/>
      <c r="J1510" s="162"/>
      <c r="K1510" s="162"/>
      <c r="L1510" s="163"/>
    </row>
    <row r="1511" spans="2:12" ht="19.2" customHeight="1" x14ac:dyDescent="0.3">
      <c r="B1511" s="161"/>
      <c r="C1511" s="162"/>
      <c r="D1511" s="163"/>
      <c r="E1511" s="162"/>
      <c r="F1511" s="162"/>
      <c r="G1511" s="162"/>
      <c r="H1511" s="162"/>
      <c r="I1511" s="162"/>
      <c r="J1511" s="162"/>
      <c r="K1511" s="162"/>
      <c r="L1511" s="163"/>
    </row>
    <row r="1512" spans="2:12" ht="19.2" customHeight="1" x14ac:dyDescent="0.3">
      <c r="B1512" s="161"/>
      <c r="C1512" s="162"/>
      <c r="D1512" s="163"/>
      <c r="E1512" s="162"/>
      <c r="F1512" s="162"/>
      <c r="G1512" s="162"/>
      <c r="H1512" s="162"/>
      <c r="I1512" s="162"/>
      <c r="J1512" s="162"/>
      <c r="K1512" s="162"/>
      <c r="L1512" s="163"/>
    </row>
    <row r="1513" spans="2:12" ht="19.2" customHeight="1" x14ac:dyDescent="0.3">
      <c r="B1513" s="161"/>
      <c r="C1513" s="162"/>
      <c r="D1513" s="163"/>
      <c r="E1513" s="162"/>
      <c r="F1513" s="162"/>
      <c r="G1513" s="162"/>
      <c r="H1513" s="162"/>
      <c r="I1513" s="162"/>
      <c r="J1513" s="162"/>
      <c r="K1513" s="162"/>
      <c r="L1513" s="163"/>
    </row>
    <row r="1514" spans="2:12" ht="19.2" customHeight="1" x14ac:dyDescent="0.3">
      <c r="B1514" s="161"/>
      <c r="C1514" s="162"/>
      <c r="D1514" s="163"/>
      <c r="E1514" s="162"/>
      <c r="F1514" s="162"/>
      <c r="G1514" s="162"/>
      <c r="H1514" s="162"/>
      <c r="I1514" s="162"/>
      <c r="J1514" s="162"/>
      <c r="K1514" s="162"/>
      <c r="L1514" s="163"/>
    </row>
    <row r="1515" spans="2:12" ht="19.2" customHeight="1" x14ac:dyDescent="0.3">
      <c r="B1515" s="161"/>
      <c r="C1515" s="162"/>
      <c r="D1515" s="163"/>
      <c r="E1515" s="162"/>
      <c r="F1515" s="162"/>
      <c r="G1515" s="162"/>
      <c r="H1515" s="162"/>
      <c r="I1515" s="162"/>
      <c r="J1515" s="162"/>
      <c r="K1515" s="162"/>
      <c r="L1515" s="163"/>
    </row>
    <row r="1516" spans="2:12" ht="19.2" customHeight="1" x14ac:dyDescent="0.3">
      <c r="B1516" s="161"/>
      <c r="C1516" s="162"/>
      <c r="D1516" s="163"/>
      <c r="E1516" s="162"/>
      <c r="F1516" s="162"/>
      <c r="G1516" s="162"/>
      <c r="H1516" s="162"/>
      <c r="I1516" s="162"/>
      <c r="J1516" s="162"/>
      <c r="K1516" s="162"/>
      <c r="L1516" s="163"/>
    </row>
    <row r="1517" spans="2:12" ht="19.2" customHeight="1" x14ac:dyDescent="0.3">
      <c r="B1517" s="161"/>
      <c r="C1517" s="162"/>
      <c r="D1517" s="163"/>
      <c r="E1517" s="162"/>
      <c r="F1517" s="162"/>
      <c r="G1517" s="162"/>
      <c r="H1517" s="162"/>
      <c r="I1517" s="162"/>
      <c r="J1517" s="162"/>
      <c r="K1517" s="162"/>
      <c r="L1517" s="163"/>
    </row>
    <row r="1518" spans="2:12" ht="19.2" customHeight="1" x14ac:dyDescent="0.3">
      <c r="B1518" s="161"/>
      <c r="C1518" s="162"/>
      <c r="D1518" s="163"/>
      <c r="E1518" s="162"/>
      <c r="F1518" s="162"/>
      <c r="G1518" s="162"/>
      <c r="H1518" s="162"/>
      <c r="I1518" s="162"/>
      <c r="J1518" s="162"/>
      <c r="K1518" s="162"/>
      <c r="L1518" s="163"/>
    </row>
    <row r="1519" spans="2:12" ht="19.2" customHeight="1" x14ac:dyDescent="0.3">
      <c r="B1519" s="161"/>
      <c r="C1519" s="162"/>
      <c r="D1519" s="163"/>
      <c r="E1519" s="162"/>
      <c r="F1519" s="162"/>
      <c r="G1519" s="162"/>
      <c r="H1519" s="162"/>
      <c r="I1519" s="162"/>
      <c r="J1519" s="162"/>
      <c r="K1519" s="162"/>
      <c r="L1519" s="163"/>
    </row>
    <row r="1520" spans="2:12" ht="19.2" customHeight="1" x14ac:dyDescent="0.3">
      <c r="B1520" s="161"/>
      <c r="C1520" s="162"/>
      <c r="D1520" s="163"/>
      <c r="E1520" s="162"/>
      <c r="F1520" s="162"/>
      <c r="G1520" s="162"/>
      <c r="H1520" s="162"/>
      <c r="I1520" s="162"/>
      <c r="J1520" s="162"/>
      <c r="K1520" s="162"/>
      <c r="L1520" s="163"/>
    </row>
    <row r="1521" spans="2:12" ht="19.2" customHeight="1" x14ac:dyDescent="0.3">
      <c r="B1521" s="161"/>
      <c r="C1521" s="162"/>
      <c r="D1521" s="163"/>
      <c r="E1521" s="162"/>
      <c r="F1521" s="162"/>
      <c r="G1521" s="162"/>
      <c r="H1521" s="162"/>
      <c r="I1521" s="162"/>
      <c r="J1521" s="162"/>
      <c r="K1521" s="162"/>
      <c r="L1521" s="163"/>
    </row>
    <row r="1522" spans="2:12" ht="19.2" customHeight="1" x14ac:dyDescent="0.3">
      <c r="B1522" s="161"/>
      <c r="C1522" s="162"/>
      <c r="D1522" s="163"/>
      <c r="E1522" s="162"/>
      <c r="F1522" s="162"/>
      <c r="G1522" s="162"/>
      <c r="H1522" s="162"/>
      <c r="I1522" s="162"/>
      <c r="J1522" s="162"/>
      <c r="K1522" s="162"/>
      <c r="L1522" s="163"/>
    </row>
    <row r="1523" spans="2:12" ht="19.2" customHeight="1" x14ac:dyDescent="0.3">
      <c r="B1523" s="161"/>
      <c r="C1523" s="162"/>
      <c r="D1523" s="163"/>
      <c r="E1523" s="162"/>
      <c r="F1523" s="162"/>
      <c r="G1523" s="162"/>
      <c r="H1523" s="162"/>
      <c r="I1523" s="162"/>
      <c r="J1523" s="162"/>
      <c r="K1523" s="162"/>
      <c r="L1523" s="163"/>
    </row>
    <row r="1524" spans="2:12" ht="19.2" customHeight="1" x14ac:dyDescent="0.3">
      <c r="B1524" s="161"/>
      <c r="C1524" s="162"/>
      <c r="D1524" s="163"/>
      <c r="E1524" s="162"/>
      <c r="F1524" s="162"/>
      <c r="G1524" s="162"/>
      <c r="H1524" s="162"/>
      <c r="I1524" s="162"/>
      <c r="J1524" s="162"/>
      <c r="K1524" s="162"/>
      <c r="L1524" s="163"/>
    </row>
    <row r="1525" spans="2:12" ht="19.2" customHeight="1" x14ac:dyDescent="0.3">
      <c r="B1525" s="161"/>
      <c r="C1525" s="162"/>
      <c r="D1525" s="163"/>
      <c r="E1525" s="162"/>
      <c r="F1525" s="162"/>
      <c r="G1525" s="162"/>
      <c r="H1525" s="162"/>
      <c r="I1525" s="162"/>
      <c r="J1525" s="162"/>
      <c r="K1525" s="162"/>
      <c r="L1525" s="163"/>
    </row>
    <row r="1526" spans="2:12" ht="19.2" customHeight="1" x14ac:dyDescent="0.3">
      <c r="B1526" s="161"/>
      <c r="C1526" s="162"/>
      <c r="D1526" s="163"/>
      <c r="E1526" s="162"/>
      <c r="F1526" s="162"/>
      <c r="G1526" s="162"/>
      <c r="H1526" s="162"/>
      <c r="I1526" s="162"/>
      <c r="J1526" s="162"/>
      <c r="K1526" s="162"/>
      <c r="L1526" s="163"/>
    </row>
    <row r="1527" spans="2:12" ht="19.2" customHeight="1" x14ac:dyDescent="0.3">
      <c r="B1527" s="161"/>
      <c r="C1527" s="162"/>
      <c r="D1527" s="163"/>
      <c r="E1527" s="162"/>
      <c r="F1527" s="162"/>
      <c r="G1527" s="162"/>
      <c r="H1527" s="162"/>
      <c r="I1527" s="162"/>
      <c r="J1527" s="162"/>
      <c r="K1527" s="162"/>
      <c r="L1527" s="163"/>
    </row>
    <row r="1528" spans="2:12" ht="19.2" customHeight="1" x14ac:dyDescent="0.3">
      <c r="B1528" s="161"/>
      <c r="C1528" s="162"/>
      <c r="D1528" s="163"/>
      <c r="E1528" s="162"/>
      <c r="F1528" s="162"/>
      <c r="G1528" s="162"/>
      <c r="H1528" s="162"/>
      <c r="I1528" s="162"/>
      <c r="J1528" s="162"/>
      <c r="K1528" s="162"/>
      <c r="L1528" s="163"/>
    </row>
    <row r="1529" spans="2:12" ht="19.2" customHeight="1" x14ac:dyDescent="0.3">
      <c r="B1529" s="161"/>
      <c r="C1529" s="162"/>
      <c r="D1529" s="163"/>
      <c r="E1529" s="162"/>
      <c r="F1529" s="162"/>
      <c r="G1529" s="162"/>
      <c r="H1529" s="162"/>
      <c r="I1529" s="162"/>
      <c r="J1529" s="162"/>
      <c r="K1529" s="162"/>
      <c r="L1529" s="163"/>
    </row>
    <row r="1530" spans="2:12" ht="19.2" customHeight="1" x14ac:dyDescent="0.3">
      <c r="B1530" s="161"/>
      <c r="C1530" s="162"/>
      <c r="D1530" s="163"/>
      <c r="E1530" s="162"/>
      <c r="F1530" s="162"/>
      <c r="G1530" s="162"/>
      <c r="H1530" s="162"/>
      <c r="I1530" s="162"/>
      <c r="J1530" s="162"/>
      <c r="K1530" s="162"/>
      <c r="L1530" s="163"/>
    </row>
    <row r="1531" spans="2:12" ht="19.2" customHeight="1" x14ac:dyDescent="0.3">
      <c r="B1531" s="161"/>
      <c r="C1531" s="162"/>
      <c r="D1531" s="163"/>
      <c r="E1531" s="162"/>
      <c r="F1531" s="162"/>
      <c r="G1531" s="162"/>
      <c r="H1531" s="162"/>
      <c r="I1531" s="162"/>
      <c r="J1531" s="162"/>
      <c r="K1531" s="162"/>
      <c r="L1531" s="163"/>
    </row>
    <row r="1532" spans="2:12" ht="19.2" customHeight="1" x14ac:dyDescent="0.3">
      <c r="B1532" s="161"/>
      <c r="C1532" s="162"/>
      <c r="D1532" s="163"/>
      <c r="E1532" s="162"/>
      <c r="F1532" s="162"/>
      <c r="G1532" s="162"/>
      <c r="H1532" s="162"/>
      <c r="I1532" s="162"/>
      <c r="J1532" s="162"/>
      <c r="K1532" s="162"/>
      <c r="L1532" s="163"/>
    </row>
    <row r="1533" spans="2:12" ht="19.2" customHeight="1" x14ac:dyDescent="0.3">
      <c r="B1533" s="161"/>
      <c r="C1533" s="162"/>
      <c r="D1533" s="163"/>
      <c r="E1533" s="162"/>
      <c r="F1533" s="162"/>
      <c r="G1533" s="162"/>
      <c r="H1533" s="162"/>
      <c r="I1533" s="162"/>
      <c r="J1533" s="162"/>
      <c r="K1533" s="162"/>
      <c r="L1533" s="163"/>
    </row>
    <row r="1534" spans="2:12" ht="19.2" customHeight="1" x14ac:dyDescent="0.3">
      <c r="B1534" s="161"/>
      <c r="C1534" s="162"/>
      <c r="D1534" s="163"/>
      <c r="E1534" s="162"/>
      <c r="F1534" s="162"/>
      <c r="G1534" s="162"/>
      <c r="H1534" s="162"/>
      <c r="I1534" s="162"/>
      <c r="J1534" s="162"/>
      <c r="K1534" s="162"/>
      <c r="L1534" s="163"/>
    </row>
    <row r="1535" spans="2:12" ht="19.2" customHeight="1" x14ac:dyDescent="0.3">
      <c r="B1535" s="161"/>
      <c r="C1535" s="162"/>
      <c r="D1535" s="163"/>
      <c r="E1535" s="162"/>
      <c r="F1535" s="162"/>
      <c r="G1535" s="162"/>
      <c r="H1535" s="162"/>
      <c r="I1535" s="162"/>
      <c r="J1535" s="162"/>
      <c r="K1535" s="162"/>
      <c r="L1535" s="163"/>
    </row>
    <row r="1536" spans="2:12" ht="19.2" customHeight="1" x14ac:dyDescent="0.3">
      <c r="B1536" s="161"/>
      <c r="C1536" s="162"/>
      <c r="D1536" s="163"/>
      <c r="E1536" s="162"/>
      <c r="F1536" s="162"/>
      <c r="G1536" s="162"/>
      <c r="H1536" s="162"/>
      <c r="I1536" s="162"/>
      <c r="J1536" s="162"/>
      <c r="K1536" s="162"/>
      <c r="L1536" s="163"/>
    </row>
    <row r="1537" spans="2:12" ht="19.2" customHeight="1" x14ac:dyDescent="0.3">
      <c r="B1537" s="161"/>
      <c r="C1537" s="162"/>
      <c r="D1537" s="163"/>
      <c r="E1537" s="162"/>
      <c r="F1537" s="162"/>
      <c r="G1537" s="162"/>
      <c r="H1537" s="162"/>
      <c r="I1537" s="162"/>
      <c r="J1537" s="162"/>
      <c r="K1537" s="162"/>
      <c r="L1537" s="163"/>
    </row>
    <row r="1538" spans="2:12" ht="19.2" customHeight="1" x14ac:dyDescent="0.3">
      <c r="B1538" s="161"/>
      <c r="C1538" s="162"/>
      <c r="D1538" s="163"/>
      <c r="E1538" s="162"/>
      <c r="F1538" s="162"/>
      <c r="G1538" s="162"/>
      <c r="H1538" s="162"/>
      <c r="I1538" s="162"/>
      <c r="J1538" s="162"/>
      <c r="K1538" s="162"/>
      <c r="L1538" s="163"/>
    </row>
    <row r="1539" spans="2:12" ht="19.2" customHeight="1" x14ac:dyDescent="0.3">
      <c r="B1539" s="161"/>
      <c r="C1539" s="162"/>
      <c r="D1539" s="163"/>
      <c r="E1539" s="162"/>
      <c r="F1539" s="162"/>
      <c r="G1539" s="162"/>
      <c r="H1539" s="162"/>
      <c r="I1539" s="162"/>
      <c r="J1539" s="162"/>
      <c r="K1539" s="162"/>
      <c r="L1539" s="163"/>
    </row>
    <row r="1540" spans="2:12" ht="19.2" customHeight="1" x14ac:dyDescent="0.3">
      <c r="B1540" s="161"/>
      <c r="C1540" s="162"/>
      <c r="D1540" s="163"/>
      <c r="E1540" s="162"/>
      <c r="F1540" s="162"/>
      <c r="G1540" s="162"/>
      <c r="H1540" s="162"/>
      <c r="I1540" s="162"/>
      <c r="J1540" s="162"/>
      <c r="K1540" s="162"/>
      <c r="L1540" s="163"/>
    </row>
    <row r="1541" spans="2:12" ht="19.2" customHeight="1" x14ac:dyDescent="0.3">
      <c r="B1541" s="161"/>
      <c r="C1541" s="162"/>
      <c r="D1541" s="163"/>
      <c r="E1541" s="162"/>
      <c r="F1541" s="162"/>
      <c r="G1541" s="162"/>
      <c r="H1541" s="162"/>
      <c r="I1541" s="162"/>
      <c r="J1541" s="162"/>
      <c r="K1541" s="162"/>
      <c r="L1541" s="163"/>
    </row>
    <row r="1542" spans="2:12" ht="19.2" customHeight="1" x14ac:dyDescent="0.3">
      <c r="B1542" s="161"/>
      <c r="C1542" s="162"/>
      <c r="D1542" s="163"/>
      <c r="E1542" s="162"/>
      <c r="F1542" s="162"/>
      <c r="G1542" s="162"/>
      <c r="H1542" s="162"/>
      <c r="I1542" s="162"/>
      <c r="J1542" s="162"/>
      <c r="K1542" s="162"/>
      <c r="L1542" s="163"/>
    </row>
    <row r="1543" spans="2:12" ht="19.2" customHeight="1" x14ac:dyDescent="0.3">
      <c r="B1543" s="161"/>
      <c r="C1543" s="162"/>
      <c r="D1543" s="163"/>
      <c r="E1543" s="162"/>
      <c r="F1543" s="162"/>
      <c r="G1543" s="162"/>
      <c r="H1543" s="162"/>
      <c r="I1543" s="162"/>
      <c r="J1543" s="162"/>
      <c r="K1543" s="162"/>
      <c r="L1543" s="163"/>
    </row>
    <row r="1544" spans="2:12" ht="19.2" customHeight="1" x14ac:dyDescent="0.3">
      <c r="B1544" s="161"/>
      <c r="C1544" s="162"/>
      <c r="D1544" s="163"/>
      <c r="E1544" s="162"/>
      <c r="F1544" s="162"/>
      <c r="G1544" s="162"/>
      <c r="H1544" s="162"/>
      <c r="I1544" s="162"/>
      <c r="J1544" s="162"/>
      <c r="K1544" s="162"/>
      <c r="L1544" s="163"/>
    </row>
    <row r="1545" spans="2:12" ht="19.2" customHeight="1" x14ac:dyDescent="0.3">
      <c r="B1545" s="161"/>
      <c r="C1545" s="162"/>
      <c r="D1545" s="163"/>
      <c r="E1545" s="162"/>
      <c r="F1545" s="162"/>
      <c r="G1545" s="162"/>
      <c r="H1545" s="162"/>
      <c r="I1545" s="162"/>
      <c r="J1545" s="162"/>
      <c r="K1545" s="162"/>
      <c r="L1545" s="163"/>
    </row>
    <row r="1546" spans="2:12" ht="19.2" customHeight="1" x14ac:dyDescent="0.3">
      <c r="B1546" s="161"/>
      <c r="C1546" s="162"/>
      <c r="D1546" s="163"/>
      <c r="E1546" s="162"/>
      <c r="F1546" s="162"/>
      <c r="G1546" s="162"/>
      <c r="H1546" s="162"/>
      <c r="I1546" s="162"/>
      <c r="J1546" s="162"/>
      <c r="K1546" s="162"/>
      <c r="L1546" s="163"/>
    </row>
    <row r="1547" spans="2:12" ht="19.2" customHeight="1" x14ac:dyDescent="0.3">
      <c r="B1547" s="161"/>
      <c r="C1547" s="162"/>
      <c r="D1547" s="163"/>
      <c r="E1547" s="162"/>
      <c r="F1547" s="162"/>
      <c r="G1547" s="162"/>
      <c r="H1547" s="162"/>
      <c r="I1547" s="162"/>
      <c r="J1547" s="162"/>
      <c r="K1547" s="162"/>
      <c r="L1547" s="163"/>
    </row>
    <row r="1548" spans="2:12" ht="19.2" customHeight="1" x14ac:dyDescent="0.3">
      <c r="B1548" s="161"/>
      <c r="C1548" s="162"/>
      <c r="D1548" s="163"/>
      <c r="E1548" s="162"/>
      <c r="F1548" s="162"/>
      <c r="G1548" s="162"/>
      <c r="H1548" s="162"/>
      <c r="I1548" s="162"/>
      <c r="J1548" s="162"/>
      <c r="K1548" s="162"/>
      <c r="L1548" s="163"/>
    </row>
    <row r="1549" spans="2:12" ht="19.2" customHeight="1" x14ac:dyDescent="0.3">
      <c r="B1549" s="161"/>
      <c r="C1549" s="162"/>
      <c r="D1549" s="163"/>
      <c r="E1549" s="162"/>
      <c r="F1549" s="162"/>
      <c r="G1549" s="162"/>
      <c r="H1549" s="162"/>
      <c r="I1549" s="162"/>
      <c r="J1549" s="162"/>
      <c r="K1549" s="162"/>
      <c r="L1549" s="163"/>
    </row>
    <row r="1550" spans="2:12" ht="19.2" customHeight="1" x14ac:dyDescent="0.3">
      <c r="B1550" s="161"/>
      <c r="C1550" s="162"/>
      <c r="D1550" s="163"/>
      <c r="E1550" s="162"/>
      <c r="F1550" s="162"/>
      <c r="G1550" s="162"/>
      <c r="H1550" s="162"/>
      <c r="I1550" s="162"/>
      <c r="J1550" s="162"/>
      <c r="K1550" s="162"/>
      <c r="L1550" s="163"/>
    </row>
    <row r="1551" spans="2:12" ht="19.2" customHeight="1" x14ac:dyDescent="0.3">
      <c r="B1551" s="161"/>
      <c r="C1551" s="162"/>
      <c r="D1551" s="163"/>
      <c r="E1551" s="162"/>
      <c r="F1551" s="162"/>
      <c r="G1551" s="162"/>
      <c r="H1551" s="162"/>
      <c r="I1551" s="162"/>
      <c r="J1551" s="162"/>
      <c r="K1551" s="162"/>
      <c r="L1551" s="163"/>
    </row>
    <row r="1552" spans="2:12" ht="19.2" customHeight="1" x14ac:dyDescent="0.3">
      <c r="B1552" s="161"/>
      <c r="C1552" s="162"/>
      <c r="D1552" s="163"/>
      <c r="E1552" s="162"/>
      <c r="F1552" s="162"/>
      <c r="G1552" s="162"/>
      <c r="H1552" s="162"/>
      <c r="I1552" s="162"/>
      <c r="J1552" s="162"/>
      <c r="K1552" s="162"/>
      <c r="L1552" s="163"/>
    </row>
    <row r="1553" spans="2:12" ht="19.2" customHeight="1" x14ac:dyDescent="0.3">
      <c r="B1553" s="161"/>
      <c r="C1553" s="162"/>
      <c r="D1553" s="163"/>
      <c r="E1553" s="162"/>
      <c r="F1553" s="162"/>
      <c r="G1553" s="162"/>
      <c r="H1553" s="162"/>
      <c r="I1553" s="162"/>
      <c r="J1553" s="162"/>
      <c r="K1553" s="162"/>
      <c r="L1553" s="163"/>
    </row>
    <row r="1554" spans="2:12" ht="19.2" customHeight="1" x14ac:dyDescent="0.3">
      <c r="B1554" s="161"/>
      <c r="C1554" s="162"/>
      <c r="D1554" s="163"/>
      <c r="E1554" s="162"/>
      <c r="F1554" s="162"/>
      <c r="G1554" s="162"/>
      <c r="H1554" s="162"/>
      <c r="I1554" s="162"/>
      <c r="J1554" s="162"/>
      <c r="K1554" s="162"/>
      <c r="L1554" s="163"/>
    </row>
    <row r="1555" spans="2:12" ht="19.2" customHeight="1" x14ac:dyDescent="0.3">
      <c r="B1555" s="161"/>
      <c r="C1555" s="162"/>
      <c r="D1555" s="163"/>
      <c r="E1555" s="162"/>
      <c r="F1555" s="162"/>
      <c r="G1555" s="162"/>
      <c r="H1555" s="162"/>
      <c r="I1555" s="162"/>
      <c r="J1555" s="162"/>
      <c r="K1555" s="162"/>
      <c r="L1555" s="163"/>
    </row>
    <row r="1556" spans="2:12" ht="19.2" customHeight="1" x14ac:dyDescent="0.3">
      <c r="B1556" s="161"/>
      <c r="C1556" s="162"/>
      <c r="D1556" s="163"/>
      <c r="E1556" s="162"/>
      <c r="F1556" s="162"/>
      <c r="G1556" s="162"/>
      <c r="H1556" s="162"/>
      <c r="I1556" s="162"/>
      <c r="J1556" s="162"/>
      <c r="K1556" s="162"/>
      <c r="L1556" s="163"/>
    </row>
    <row r="1557" spans="2:12" ht="19.2" customHeight="1" x14ac:dyDescent="0.3">
      <c r="B1557" s="161"/>
      <c r="C1557" s="162"/>
      <c r="D1557" s="163"/>
      <c r="E1557" s="162"/>
      <c r="F1557" s="162"/>
      <c r="G1557" s="162"/>
      <c r="H1557" s="162"/>
      <c r="I1557" s="162"/>
      <c r="J1557" s="162"/>
      <c r="K1557" s="162"/>
      <c r="L1557" s="163"/>
    </row>
    <row r="1558" spans="2:12" ht="19.2" customHeight="1" x14ac:dyDescent="0.3">
      <c r="B1558" s="161"/>
      <c r="C1558" s="162"/>
      <c r="D1558" s="163"/>
      <c r="E1558" s="162"/>
      <c r="F1558" s="162"/>
      <c r="G1558" s="162"/>
      <c r="H1558" s="162"/>
      <c r="I1558" s="162"/>
      <c r="J1558" s="162"/>
      <c r="K1558" s="162"/>
      <c r="L1558" s="163"/>
    </row>
    <row r="1559" spans="2:12" ht="19.2" customHeight="1" x14ac:dyDescent="0.3">
      <c r="B1559" s="161"/>
      <c r="C1559" s="162"/>
      <c r="D1559" s="163"/>
      <c r="E1559" s="162"/>
      <c r="F1559" s="162"/>
      <c r="G1559" s="162"/>
      <c r="H1559" s="162"/>
      <c r="I1559" s="162"/>
      <c r="J1559" s="162"/>
      <c r="K1559" s="162"/>
      <c r="L1559" s="163"/>
    </row>
    <row r="1560" spans="2:12" ht="19.2" customHeight="1" x14ac:dyDescent="0.3">
      <c r="B1560" s="161"/>
      <c r="C1560" s="162"/>
      <c r="D1560" s="163"/>
      <c r="E1560" s="162"/>
      <c r="F1560" s="162"/>
      <c r="G1560" s="162"/>
      <c r="H1560" s="162"/>
      <c r="I1560" s="162"/>
      <c r="J1560" s="162"/>
      <c r="K1560" s="162"/>
      <c r="L1560" s="163"/>
    </row>
    <row r="1561" spans="2:12" ht="19.2" customHeight="1" x14ac:dyDescent="0.3">
      <c r="B1561" s="161"/>
      <c r="C1561" s="162"/>
      <c r="D1561" s="163"/>
      <c r="E1561" s="162"/>
      <c r="F1561" s="162"/>
      <c r="G1561" s="162"/>
      <c r="H1561" s="162"/>
      <c r="I1561" s="162"/>
      <c r="J1561" s="162"/>
      <c r="K1561" s="162"/>
      <c r="L1561" s="163"/>
    </row>
    <row r="1562" spans="2:12" ht="19.2" customHeight="1" x14ac:dyDescent="0.3">
      <c r="B1562" s="161"/>
      <c r="C1562" s="162"/>
      <c r="D1562" s="163"/>
      <c r="E1562" s="162"/>
      <c r="F1562" s="162"/>
      <c r="G1562" s="162"/>
      <c r="H1562" s="162"/>
      <c r="I1562" s="162"/>
      <c r="J1562" s="162"/>
      <c r="K1562" s="162"/>
      <c r="L1562" s="163"/>
    </row>
    <row r="1563" spans="2:12" ht="19.2" customHeight="1" x14ac:dyDescent="0.3">
      <c r="B1563" s="161"/>
      <c r="C1563" s="162"/>
      <c r="D1563" s="163"/>
      <c r="E1563" s="162"/>
      <c r="F1563" s="162"/>
      <c r="G1563" s="162"/>
      <c r="H1563" s="162"/>
      <c r="I1563" s="162"/>
      <c r="J1563" s="162"/>
      <c r="K1563" s="162"/>
      <c r="L1563" s="163"/>
    </row>
    <row r="1564" spans="2:12" ht="19.2" customHeight="1" x14ac:dyDescent="0.3">
      <c r="B1564" s="161"/>
      <c r="C1564" s="162"/>
      <c r="D1564" s="163"/>
      <c r="E1564" s="162"/>
      <c r="F1564" s="162"/>
      <c r="G1564" s="162"/>
      <c r="H1564" s="162"/>
      <c r="I1564" s="162"/>
      <c r="J1564" s="162"/>
      <c r="K1564" s="162"/>
      <c r="L1564" s="163"/>
    </row>
    <row r="1565" spans="2:12" ht="19.2" customHeight="1" x14ac:dyDescent="0.3">
      <c r="B1565" s="161"/>
      <c r="C1565" s="162"/>
      <c r="D1565" s="163"/>
      <c r="E1565" s="162"/>
      <c r="F1565" s="162"/>
      <c r="G1565" s="162"/>
      <c r="H1565" s="162"/>
      <c r="I1565" s="162"/>
      <c r="J1565" s="162"/>
      <c r="K1565" s="162"/>
      <c r="L1565" s="163"/>
    </row>
    <row r="1566" spans="2:12" ht="19.2" customHeight="1" x14ac:dyDescent="0.3">
      <c r="B1566" s="161"/>
      <c r="C1566" s="162"/>
      <c r="D1566" s="163"/>
      <c r="E1566" s="162"/>
      <c r="F1566" s="162"/>
      <c r="G1566" s="162"/>
      <c r="H1566" s="162"/>
      <c r="I1566" s="162"/>
      <c r="J1566" s="162"/>
      <c r="K1566" s="162"/>
      <c r="L1566" s="163"/>
    </row>
    <row r="1567" spans="2:12" ht="19.2" customHeight="1" x14ac:dyDescent="0.3">
      <c r="B1567" s="161"/>
      <c r="C1567" s="162"/>
      <c r="D1567" s="163"/>
      <c r="E1567" s="162"/>
      <c r="F1567" s="162"/>
      <c r="G1567" s="162"/>
      <c r="H1567" s="162"/>
      <c r="I1567" s="162"/>
      <c r="J1567" s="162"/>
      <c r="K1567" s="162"/>
      <c r="L1567" s="163"/>
    </row>
    <row r="1568" spans="2:12" ht="19.2" customHeight="1" x14ac:dyDescent="0.3">
      <c r="B1568" s="161"/>
      <c r="C1568" s="162"/>
      <c r="D1568" s="163"/>
      <c r="E1568" s="162"/>
      <c r="F1568" s="162"/>
      <c r="G1568" s="162"/>
      <c r="H1568" s="162"/>
      <c r="I1568" s="162"/>
      <c r="J1568" s="162"/>
      <c r="K1568" s="162"/>
      <c r="L1568" s="163"/>
    </row>
    <row r="1569" spans="2:12" ht="19.2" customHeight="1" x14ac:dyDescent="0.3">
      <c r="B1569" s="161"/>
      <c r="C1569" s="162"/>
      <c r="D1569" s="163"/>
      <c r="E1569" s="162"/>
      <c r="F1569" s="162"/>
      <c r="G1569" s="162"/>
      <c r="H1569" s="162"/>
      <c r="I1569" s="162"/>
      <c r="J1569" s="162"/>
      <c r="K1569" s="162"/>
      <c r="L1569" s="163"/>
    </row>
    <row r="1570" spans="2:12" ht="19.2" customHeight="1" x14ac:dyDescent="0.3">
      <c r="B1570" s="161"/>
      <c r="C1570" s="162"/>
      <c r="D1570" s="163"/>
      <c r="E1570" s="162"/>
      <c r="F1570" s="162"/>
      <c r="G1570" s="162"/>
      <c r="H1570" s="162"/>
      <c r="I1570" s="162"/>
      <c r="J1570" s="162"/>
      <c r="K1570" s="162"/>
      <c r="L1570" s="163"/>
    </row>
    <row r="1571" spans="2:12" ht="19.2" customHeight="1" x14ac:dyDescent="0.3">
      <c r="B1571" s="161"/>
      <c r="C1571" s="162"/>
      <c r="D1571" s="163"/>
      <c r="E1571" s="162"/>
      <c r="F1571" s="162"/>
      <c r="G1571" s="162"/>
      <c r="H1571" s="162"/>
      <c r="I1571" s="162"/>
      <c r="J1571" s="162"/>
      <c r="K1571" s="162"/>
      <c r="L1571" s="163"/>
    </row>
    <row r="1572" spans="2:12" ht="19.2" customHeight="1" x14ac:dyDescent="0.3">
      <c r="B1572" s="161"/>
      <c r="C1572" s="162"/>
      <c r="D1572" s="163"/>
      <c r="E1572" s="162"/>
      <c r="F1572" s="162"/>
      <c r="G1572" s="162"/>
      <c r="H1572" s="162"/>
      <c r="I1572" s="162"/>
      <c r="J1572" s="162"/>
      <c r="K1572" s="162"/>
      <c r="L1572" s="163"/>
    </row>
    <row r="1573" spans="2:12" ht="19.2" customHeight="1" x14ac:dyDescent="0.3">
      <c r="B1573" s="161"/>
      <c r="C1573" s="162"/>
      <c r="D1573" s="163"/>
      <c r="E1573" s="162"/>
      <c r="F1573" s="162"/>
      <c r="G1573" s="162"/>
      <c r="H1573" s="162"/>
      <c r="I1573" s="162"/>
      <c r="J1573" s="162"/>
      <c r="K1573" s="162"/>
      <c r="L1573" s="163"/>
    </row>
    <row r="1574" spans="2:12" ht="19.2" customHeight="1" x14ac:dyDescent="0.3">
      <c r="B1574" s="161"/>
      <c r="C1574" s="162"/>
      <c r="D1574" s="163"/>
      <c r="E1574" s="162"/>
      <c r="F1574" s="162"/>
      <c r="G1574" s="162"/>
      <c r="H1574" s="162"/>
      <c r="I1574" s="162"/>
      <c r="J1574" s="162"/>
      <c r="K1574" s="162"/>
      <c r="L1574" s="163"/>
    </row>
    <row r="1575" spans="2:12" ht="19.2" customHeight="1" x14ac:dyDescent="0.3">
      <c r="B1575" s="161"/>
      <c r="C1575" s="162"/>
      <c r="D1575" s="163"/>
      <c r="E1575" s="162"/>
      <c r="F1575" s="162"/>
      <c r="G1575" s="162"/>
      <c r="H1575" s="162"/>
      <c r="I1575" s="162"/>
      <c r="J1575" s="162"/>
      <c r="K1575" s="162"/>
      <c r="L1575" s="163"/>
    </row>
    <row r="1576" spans="2:12" ht="19.2" customHeight="1" x14ac:dyDescent="0.3">
      <c r="B1576" s="161"/>
      <c r="C1576" s="162"/>
      <c r="D1576" s="163"/>
      <c r="E1576" s="162"/>
      <c r="F1576" s="162"/>
      <c r="G1576" s="162"/>
      <c r="H1576" s="162"/>
      <c r="I1576" s="162"/>
      <c r="J1576" s="162"/>
      <c r="K1576" s="162"/>
      <c r="L1576" s="163"/>
    </row>
    <row r="1577" spans="2:12" ht="19.2" customHeight="1" x14ac:dyDescent="0.3">
      <c r="B1577" s="161"/>
      <c r="C1577" s="162"/>
      <c r="D1577" s="163"/>
      <c r="E1577" s="162"/>
      <c r="F1577" s="162"/>
      <c r="G1577" s="162"/>
      <c r="H1577" s="162"/>
      <c r="I1577" s="162"/>
      <c r="J1577" s="162"/>
      <c r="K1577" s="162"/>
      <c r="L1577" s="163"/>
    </row>
    <row r="1578" spans="2:12" ht="19.2" customHeight="1" x14ac:dyDescent="0.3">
      <c r="B1578" s="161"/>
      <c r="C1578" s="162"/>
      <c r="D1578" s="163"/>
      <c r="E1578" s="162"/>
      <c r="F1578" s="162"/>
      <c r="G1578" s="162"/>
      <c r="H1578" s="162"/>
      <c r="I1578" s="162"/>
      <c r="J1578" s="162"/>
      <c r="K1578" s="162"/>
      <c r="L1578" s="163"/>
    </row>
    <row r="1579" spans="2:12" ht="19.2" customHeight="1" x14ac:dyDescent="0.3">
      <c r="B1579" s="161"/>
      <c r="C1579" s="162"/>
      <c r="D1579" s="163"/>
      <c r="E1579" s="162"/>
      <c r="F1579" s="162"/>
      <c r="G1579" s="162"/>
      <c r="H1579" s="162"/>
      <c r="I1579" s="162"/>
      <c r="J1579" s="162"/>
      <c r="K1579" s="162"/>
      <c r="L1579" s="163"/>
    </row>
    <row r="1580" spans="2:12" ht="19.2" customHeight="1" x14ac:dyDescent="0.3">
      <c r="B1580" s="161"/>
      <c r="C1580" s="162"/>
      <c r="D1580" s="163"/>
      <c r="E1580" s="162"/>
      <c r="F1580" s="162"/>
      <c r="G1580" s="162"/>
      <c r="H1580" s="162"/>
      <c r="I1580" s="162"/>
      <c r="J1580" s="162"/>
      <c r="K1580" s="162"/>
      <c r="L1580" s="163"/>
    </row>
    <row r="1581" spans="2:12" ht="19.2" customHeight="1" x14ac:dyDescent="0.3">
      <c r="B1581" s="161"/>
      <c r="C1581" s="162"/>
      <c r="D1581" s="163"/>
      <c r="E1581" s="162"/>
      <c r="F1581" s="162"/>
      <c r="G1581" s="162"/>
      <c r="H1581" s="162"/>
      <c r="I1581" s="162"/>
      <c r="J1581" s="162"/>
      <c r="K1581" s="162"/>
      <c r="L1581" s="163"/>
    </row>
    <row r="1582" spans="2:12" ht="19.2" customHeight="1" x14ac:dyDescent="0.3">
      <c r="B1582" s="161"/>
      <c r="C1582" s="162"/>
      <c r="D1582" s="163"/>
      <c r="E1582" s="162"/>
      <c r="F1582" s="162"/>
      <c r="G1582" s="162"/>
      <c r="H1582" s="162"/>
      <c r="I1582" s="162"/>
      <c r="J1582" s="162"/>
      <c r="K1582" s="162"/>
      <c r="L1582" s="163"/>
    </row>
    <row r="1583" spans="2:12" ht="19.2" customHeight="1" x14ac:dyDescent="0.3">
      <c r="B1583" s="161"/>
      <c r="C1583" s="162"/>
      <c r="D1583" s="163"/>
      <c r="E1583" s="162"/>
      <c r="F1583" s="162"/>
      <c r="G1583" s="162"/>
      <c r="H1583" s="162"/>
      <c r="I1583" s="162"/>
      <c r="J1583" s="162"/>
      <c r="K1583" s="162"/>
      <c r="L1583" s="163"/>
    </row>
    <row r="1584" spans="2:12" ht="19.2" customHeight="1" x14ac:dyDescent="0.3">
      <c r="B1584" s="161"/>
      <c r="C1584" s="162"/>
      <c r="D1584" s="163"/>
      <c r="E1584" s="162"/>
      <c r="F1584" s="162"/>
      <c r="G1584" s="162"/>
      <c r="H1584" s="162"/>
      <c r="I1584" s="162"/>
      <c r="J1584" s="162"/>
      <c r="K1584" s="162"/>
      <c r="L1584" s="163"/>
    </row>
    <row r="1585" spans="2:12" ht="19.2" customHeight="1" x14ac:dyDescent="0.3">
      <c r="B1585" s="161"/>
      <c r="C1585" s="162"/>
      <c r="D1585" s="163"/>
      <c r="E1585" s="162"/>
      <c r="F1585" s="162"/>
      <c r="G1585" s="162"/>
      <c r="H1585" s="162"/>
      <c r="I1585" s="162"/>
      <c r="J1585" s="162"/>
      <c r="K1585" s="162"/>
      <c r="L1585" s="163"/>
    </row>
    <row r="1586" spans="2:12" ht="19.2" customHeight="1" x14ac:dyDescent="0.3">
      <c r="B1586" s="161"/>
      <c r="C1586" s="162"/>
      <c r="D1586" s="163"/>
      <c r="E1586" s="162"/>
      <c r="F1586" s="162"/>
      <c r="G1586" s="162"/>
      <c r="H1586" s="162"/>
      <c r="I1586" s="162"/>
      <c r="J1586" s="162"/>
      <c r="K1586" s="162"/>
      <c r="L1586" s="163"/>
    </row>
    <row r="1587" spans="2:12" ht="19.2" customHeight="1" x14ac:dyDescent="0.3">
      <c r="B1587" s="161"/>
      <c r="C1587" s="162"/>
      <c r="D1587" s="163"/>
      <c r="E1587" s="162"/>
      <c r="F1587" s="162"/>
      <c r="G1587" s="162"/>
      <c r="H1587" s="162"/>
      <c r="I1587" s="162"/>
      <c r="J1587" s="162"/>
      <c r="K1587" s="162"/>
      <c r="L1587" s="163"/>
    </row>
    <row r="1588" spans="2:12" ht="19.2" customHeight="1" x14ac:dyDescent="0.3">
      <c r="B1588" s="161"/>
      <c r="C1588" s="162"/>
      <c r="D1588" s="163"/>
      <c r="E1588" s="162"/>
      <c r="F1588" s="162"/>
      <c r="G1588" s="162"/>
      <c r="H1588" s="162"/>
      <c r="I1588" s="162"/>
      <c r="J1588" s="162"/>
      <c r="K1588" s="162"/>
      <c r="L1588" s="163"/>
    </row>
    <row r="1589" spans="2:12" ht="19.2" customHeight="1" x14ac:dyDescent="0.3">
      <c r="B1589" s="161"/>
      <c r="C1589" s="162"/>
      <c r="D1589" s="163"/>
      <c r="E1589" s="162"/>
      <c r="F1589" s="162"/>
      <c r="G1589" s="162"/>
      <c r="H1589" s="162"/>
      <c r="I1589" s="162"/>
      <c r="J1589" s="162"/>
      <c r="K1589" s="162"/>
      <c r="L1589" s="163"/>
    </row>
    <row r="1590" spans="2:12" ht="19.2" customHeight="1" x14ac:dyDescent="0.3">
      <c r="B1590" s="161"/>
      <c r="C1590" s="162"/>
      <c r="D1590" s="163"/>
      <c r="E1590" s="162"/>
      <c r="F1590" s="162"/>
      <c r="G1590" s="162"/>
      <c r="H1590" s="162"/>
      <c r="I1590" s="162"/>
      <c r="J1590" s="162"/>
      <c r="K1590" s="162"/>
      <c r="L1590" s="163"/>
    </row>
    <row r="1591" spans="2:12" ht="19.2" customHeight="1" x14ac:dyDescent="0.3">
      <c r="B1591" s="161"/>
      <c r="C1591" s="162"/>
      <c r="D1591" s="163"/>
      <c r="E1591" s="162"/>
      <c r="F1591" s="162"/>
      <c r="G1591" s="162"/>
      <c r="H1591" s="162"/>
      <c r="I1591" s="162"/>
      <c r="J1591" s="162"/>
      <c r="K1591" s="162"/>
      <c r="L1591" s="163"/>
    </row>
    <row r="1592" spans="2:12" ht="19.2" customHeight="1" x14ac:dyDescent="0.3">
      <c r="B1592" s="161"/>
      <c r="C1592" s="162"/>
      <c r="D1592" s="163"/>
      <c r="E1592" s="162"/>
      <c r="F1592" s="162"/>
      <c r="G1592" s="162"/>
      <c r="H1592" s="162"/>
      <c r="I1592" s="162"/>
      <c r="J1592" s="162"/>
      <c r="K1592" s="162"/>
      <c r="L1592" s="163"/>
    </row>
    <row r="1593" spans="2:12" ht="19.2" customHeight="1" x14ac:dyDescent="0.3">
      <c r="B1593" s="161"/>
      <c r="C1593" s="162"/>
      <c r="D1593" s="163"/>
      <c r="E1593" s="162"/>
      <c r="F1593" s="162"/>
      <c r="G1593" s="162"/>
      <c r="H1593" s="162"/>
      <c r="I1593" s="162"/>
      <c r="J1593" s="162"/>
      <c r="K1593" s="162"/>
      <c r="L1593" s="163"/>
    </row>
    <row r="1594" spans="2:12" ht="19.2" customHeight="1" x14ac:dyDescent="0.3">
      <c r="B1594" s="161"/>
      <c r="C1594" s="162"/>
      <c r="D1594" s="163"/>
      <c r="E1594" s="162"/>
      <c r="F1594" s="162"/>
      <c r="G1594" s="162"/>
      <c r="H1594" s="162"/>
      <c r="I1594" s="162"/>
      <c r="J1594" s="162"/>
      <c r="K1594" s="162"/>
      <c r="L1594" s="163"/>
    </row>
    <row r="1595" spans="2:12" ht="19.2" customHeight="1" x14ac:dyDescent="0.3">
      <c r="B1595" s="161"/>
      <c r="C1595" s="162"/>
      <c r="D1595" s="163"/>
      <c r="E1595" s="162"/>
      <c r="F1595" s="162"/>
      <c r="G1595" s="162"/>
      <c r="H1595" s="162"/>
      <c r="I1595" s="162"/>
      <c r="J1595" s="162"/>
      <c r="K1595" s="162"/>
      <c r="L1595" s="163"/>
    </row>
    <row r="1596" spans="2:12" ht="19.2" customHeight="1" x14ac:dyDescent="0.3">
      <c r="B1596" s="161"/>
      <c r="C1596" s="162"/>
      <c r="D1596" s="163"/>
      <c r="E1596" s="162"/>
      <c r="F1596" s="162"/>
      <c r="G1596" s="162"/>
      <c r="H1596" s="162"/>
      <c r="I1596" s="162"/>
      <c r="J1596" s="162"/>
      <c r="K1596" s="162"/>
      <c r="L1596" s="163"/>
    </row>
    <row r="1597" spans="2:12" ht="19.2" customHeight="1" x14ac:dyDescent="0.3">
      <c r="B1597" s="161"/>
      <c r="C1597" s="162"/>
      <c r="D1597" s="163"/>
      <c r="E1597" s="162"/>
      <c r="F1597" s="162"/>
      <c r="G1597" s="162"/>
      <c r="H1597" s="162"/>
      <c r="I1597" s="162"/>
      <c r="J1597" s="162"/>
      <c r="K1597" s="162"/>
      <c r="L1597" s="163"/>
    </row>
    <row r="1598" spans="2:12" ht="19.2" customHeight="1" x14ac:dyDescent="0.3">
      <c r="B1598" s="161"/>
      <c r="C1598" s="162"/>
      <c r="D1598" s="163"/>
      <c r="E1598" s="162"/>
      <c r="F1598" s="162"/>
      <c r="G1598" s="162"/>
      <c r="H1598" s="162"/>
      <c r="I1598" s="162"/>
      <c r="J1598" s="162"/>
      <c r="K1598" s="162"/>
      <c r="L1598" s="163"/>
    </row>
    <row r="1599" spans="2:12" ht="19.2" customHeight="1" x14ac:dyDescent="0.3">
      <c r="B1599" s="161"/>
      <c r="C1599" s="162"/>
      <c r="D1599" s="163"/>
      <c r="E1599" s="162"/>
      <c r="F1599" s="162"/>
      <c r="G1599" s="162"/>
      <c r="H1599" s="162"/>
      <c r="I1599" s="162"/>
      <c r="J1599" s="162"/>
      <c r="K1599" s="162"/>
      <c r="L1599" s="163"/>
    </row>
    <row r="1600" spans="2:12" ht="19.2" customHeight="1" x14ac:dyDescent="0.3">
      <c r="B1600" s="161"/>
      <c r="C1600" s="162"/>
      <c r="D1600" s="163"/>
      <c r="E1600" s="162"/>
      <c r="F1600" s="162"/>
      <c r="G1600" s="162"/>
      <c r="H1600" s="162"/>
      <c r="I1600" s="162"/>
      <c r="J1600" s="162"/>
      <c r="K1600" s="162"/>
      <c r="L1600" s="163"/>
    </row>
    <row r="1601" spans="2:12" ht="19.2" customHeight="1" x14ac:dyDescent="0.3">
      <c r="B1601" s="161"/>
      <c r="C1601" s="162"/>
      <c r="D1601" s="163"/>
      <c r="E1601" s="162"/>
      <c r="F1601" s="162"/>
      <c r="G1601" s="162"/>
      <c r="H1601" s="162"/>
      <c r="I1601" s="162"/>
      <c r="J1601" s="162"/>
      <c r="K1601" s="162"/>
      <c r="L1601" s="163"/>
    </row>
    <row r="1602" spans="2:12" ht="19.2" customHeight="1" x14ac:dyDescent="0.3">
      <c r="B1602" s="161"/>
      <c r="C1602" s="162"/>
      <c r="D1602" s="163"/>
      <c r="E1602" s="162"/>
      <c r="F1602" s="162"/>
      <c r="G1602" s="162"/>
      <c r="H1602" s="162"/>
      <c r="I1602" s="162"/>
      <c r="J1602" s="162"/>
      <c r="K1602" s="162"/>
      <c r="L1602" s="163"/>
    </row>
    <row r="1603" spans="2:12" ht="19.2" customHeight="1" x14ac:dyDescent="0.3">
      <c r="B1603" s="161"/>
      <c r="C1603" s="162"/>
      <c r="D1603" s="163"/>
      <c r="E1603" s="162"/>
      <c r="F1603" s="162"/>
      <c r="G1603" s="162"/>
      <c r="H1603" s="162"/>
      <c r="I1603" s="162"/>
      <c r="J1603" s="162"/>
      <c r="K1603" s="162"/>
      <c r="L1603" s="163"/>
    </row>
    <row r="1604" spans="2:12" ht="19.2" customHeight="1" x14ac:dyDescent="0.3">
      <c r="B1604" s="161"/>
      <c r="C1604" s="162"/>
      <c r="D1604" s="163"/>
      <c r="E1604" s="162"/>
      <c r="F1604" s="162"/>
      <c r="G1604" s="162"/>
      <c r="H1604" s="162"/>
      <c r="I1604" s="162"/>
      <c r="J1604" s="162"/>
      <c r="K1604" s="162"/>
      <c r="L1604" s="163"/>
    </row>
    <row r="1605" spans="2:12" ht="19.2" customHeight="1" x14ac:dyDescent="0.3">
      <c r="B1605" s="161"/>
      <c r="C1605" s="162"/>
      <c r="D1605" s="163"/>
      <c r="E1605" s="162"/>
      <c r="F1605" s="162"/>
      <c r="G1605" s="162"/>
      <c r="H1605" s="162"/>
      <c r="I1605" s="162"/>
      <c r="J1605" s="162"/>
      <c r="K1605" s="162"/>
      <c r="L1605" s="163"/>
    </row>
    <row r="1606" spans="2:12" ht="19.2" customHeight="1" x14ac:dyDescent="0.3">
      <c r="B1606" s="161"/>
      <c r="C1606" s="162"/>
      <c r="D1606" s="163"/>
      <c r="E1606" s="162"/>
      <c r="F1606" s="162"/>
      <c r="G1606" s="162"/>
      <c r="H1606" s="162"/>
      <c r="I1606" s="162"/>
      <c r="J1606" s="162"/>
      <c r="K1606" s="162"/>
      <c r="L1606" s="163"/>
    </row>
    <row r="1607" spans="2:12" ht="19.2" customHeight="1" x14ac:dyDescent="0.3">
      <c r="B1607" s="161"/>
      <c r="C1607" s="162"/>
      <c r="D1607" s="163"/>
      <c r="E1607" s="162"/>
      <c r="F1607" s="162"/>
      <c r="G1607" s="162"/>
      <c r="H1607" s="162"/>
      <c r="I1607" s="162"/>
      <c r="J1607" s="162"/>
      <c r="K1607" s="162"/>
      <c r="L1607" s="163"/>
    </row>
    <row r="1608" spans="2:12" ht="19.2" customHeight="1" x14ac:dyDescent="0.3">
      <c r="B1608" s="161"/>
      <c r="C1608" s="162"/>
      <c r="D1608" s="163"/>
      <c r="E1608" s="162"/>
      <c r="F1608" s="162"/>
      <c r="G1608" s="162"/>
      <c r="H1608" s="162"/>
      <c r="I1608" s="162"/>
      <c r="J1608" s="162"/>
      <c r="K1608" s="162"/>
      <c r="L1608" s="163"/>
    </row>
    <row r="1609" spans="2:12" ht="19.2" customHeight="1" x14ac:dyDescent="0.3">
      <c r="B1609" s="161"/>
      <c r="C1609" s="162"/>
      <c r="D1609" s="163"/>
      <c r="E1609" s="162"/>
      <c r="F1609" s="162"/>
      <c r="G1609" s="162"/>
      <c r="H1609" s="162"/>
      <c r="I1609" s="162"/>
      <c r="J1609" s="162"/>
      <c r="K1609" s="162"/>
      <c r="L1609" s="163"/>
    </row>
    <row r="1610" spans="2:12" ht="19.2" customHeight="1" x14ac:dyDescent="0.3">
      <c r="B1610" s="161"/>
      <c r="C1610" s="162"/>
      <c r="D1610" s="163"/>
      <c r="E1610" s="162"/>
      <c r="F1610" s="162"/>
      <c r="G1610" s="162"/>
      <c r="H1610" s="162"/>
      <c r="I1610" s="162"/>
      <c r="J1610" s="162"/>
      <c r="K1610" s="162"/>
      <c r="L1610" s="163"/>
    </row>
    <row r="1611" spans="2:12" ht="19.2" customHeight="1" x14ac:dyDescent="0.3">
      <c r="B1611" s="161"/>
      <c r="C1611" s="162"/>
      <c r="D1611" s="163"/>
      <c r="E1611" s="162"/>
      <c r="F1611" s="162"/>
      <c r="G1611" s="162"/>
      <c r="H1611" s="162"/>
      <c r="I1611" s="162"/>
      <c r="J1611" s="162"/>
      <c r="K1611" s="162"/>
      <c r="L1611" s="163"/>
    </row>
    <row r="1612" spans="2:12" ht="19.2" customHeight="1" x14ac:dyDescent="0.3">
      <c r="B1612" s="161"/>
      <c r="C1612" s="162"/>
      <c r="D1612" s="163"/>
      <c r="E1612" s="162"/>
      <c r="F1612" s="162"/>
      <c r="G1612" s="162"/>
      <c r="H1612" s="162"/>
      <c r="I1612" s="162"/>
      <c r="J1612" s="162"/>
      <c r="K1612" s="162"/>
      <c r="L1612" s="163"/>
    </row>
    <row r="1613" spans="2:12" ht="19.2" customHeight="1" x14ac:dyDescent="0.3">
      <c r="B1613" s="161"/>
      <c r="C1613" s="162"/>
      <c r="D1613" s="163"/>
      <c r="E1613" s="162"/>
      <c r="F1613" s="162"/>
      <c r="G1613" s="162"/>
      <c r="H1613" s="162"/>
      <c r="I1613" s="162"/>
      <c r="J1613" s="162"/>
      <c r="K1613" s="162"/>
      <c r="L1613" s="163"/>
    </row>
    <row r="1614" spans="2:12" ht="19.2" customHeight="1" x14ac:dyDescent="0.3">
      <c r="B1614" s="161"/>
      <c r="C1614" s="162"/>
      <c r="D1614" s="163"/>
      <c r="E1614" s="162"/>
      <c r="F1614" s="162"/>
      <c r="G1614" s="162"/>
      <c r="H1614" s="162"/>
      <c r="I1614" s="162"/>
      <c r="J1614" s="162"/>
      <c r="K1614" s="162"/>
      <c r="L1614" s="163"/>
    </row>
    <row r="1615" spans="2:12" ht="19.2" customHeight="1" x14ac:dyDescent="0.3">
      <c r="B1615" s="161"/>
      <c r="C1615" s="162"/>
      <c r="D1615" s="163"/>
      <c r="E1615" s="162"/>
      <c r="F1615" s="162"/>
      <c r="G1615" s="162"/>
      <c r="H1615" s="162"/>
      <c r="I1615" s="162"/>
      <c r="J1615" s="162"/>
      <c r="K1615" s="162"/>
      <c r="L1615" s="163"/>
    </row>
    <row r="1616" spans="2:12" ht="19.2" customHeight="1" x14ac:dyDescent="0.3">
      <c r="B1616" s="161"/>
      <c r="C1616" s="162"/>
      <c r="D1616" s="163"/>
      <c r="E1616" s="162"/>
      <c r="F1616" s="162"/>
      <c r="G1616" s="162"/>
      <c r="H1616" s="162"/>
      <c r="I1616" s="162"/>
      <c r="J1616" s="162"/>
      <c r="K1616" s="162"/>
      <c r="L1616" s="163"/>
    </row>
    <row r="1617" spans="2:12" ht="19.2" customHeight="1" x14ac:dyDescent="0.3">
      <c r="B1617" s="161"/>
      <c r="C1617" s="162"/>
      <c r="D1617" s="163"/>
      <c r="E1617" s="162"/>
      <c r="F1617" s="162"/>
      <c r="G1617" s="162"/>
      <c r="H1617" s="162"/>
      <c r="I1617" s="162"/>
      <c r="J1617" s="162"/>
      <c r="K1617" s="162"/>
      <c r="L1617" s="163"/>
    </row>
    <row r="1618" spans="2:12" ht="19.2" customHeight="1" x14ac:dyDescent="0.3">
      <c r="B1618" s="161"/>
      <c r="C1618" s="162"/>
      <c r="D1618" s="163"/>
      <c r="E1618" s="162"/>
      <c r="F1618" s="162"/>
      <c r="G1618" s="162"/>
      <c r="H1618" s="162"/>
      <c r="I1618" s="162"/>
      <c r="J1618" s="162"/>
      <c r="K1618" s="162"/>
      <c r="L1618" s="163"/>
    </row>
    <row r="1619" spans="2:12" ht="19.2" customHeight="1" x14ac:dyDescent="0.3">
      <c r="B1619" s="161"/>
      <c r="C1619" s="162"/>
      <c r="D1619" s="163"/>
      <c r="E1619" s="162"/>
      <c r="F1619" s="162"/>
      <c r="G1619" s="162"/>
      <c r="H1619" s="162"/>
      <c r="I1619" s="162"/>
      <c r="J1619" s="162"/>
      <c r="K1619" s="162"/>
      <c r="L1619" s="163"/>
    </row>
    <row r="1620" spans="2:12" ht="19.2" customHeight="1" x14ac:dyDescent="0.3">
      <c r="B1620" s="161"/>
      <c r="C1620" s="162"/>
      <c r="D1620" s="163"/>
      <c r="E1620" s="162"/>
      <c r="F1620" s="162"/>
      <c r="G1620" s="162"/>
      <c r="H1620" s="162"/>
      <c r="I1620" s="162"/>
      <c r="J1620" s="162"/>
      <c r="K1620" s="162"/>
      <c r="L1620" s="163"/>
    </row>
    <row r="1621" spans="2:12" ht="19.2" customHeight="1" x14ac:dyDescent="0.3">
      <c r="B1621" s="161"/>
      <c r="C1621" s="162"/>
      <c r="D1621" s="163"/>
      <c r="E1621" s="162"/>
      <c r="F1621" s="162"/>
      <c r="G1621" s="162"/>
      <c r="H1621" s="162"/>
      <c r="I1621" s="162"/>
      <c r="J1621" s="162"/>
      <c r="K1621" s="162"/>
      <c r="L1621" s="163"/>
    </row>
    <row r="1622" spans="2:12" ht="19.2" customHeight="1" x14ac:dyDescent="0.3">
      <c r="B1622" s="161"/>
      <c r="C1622" s="162"/>
      <c r="D1622" s="163"/>
      <c r="E1622" s="162"/>
      <c r="F1622" s="162"/>
      <c r="G1622" s="162"/>
      <c r="H1622" s="162"/>
      <c r="I1622" s="162"/>
      <c r="J1622" s="162"/>
      <c r="K1622" s="162"/>
      <c r="L1622" s="163"/>
    </row>
    <row r="1623" spans="2:12" ht="19.2" customHeight="1" x14ac:dyDescent="0.3">
      <c r="B1623" s="161"/>
      <c r="C1623" s="162"/>
      <c r="D1623" s="163"/>
      <c r="E1623" s="162"/>
      <c r="F1623" s="162"/>
      <c r="G1623" s="162"/>
      <c r="H1623" s="162"/>
      <c r="I1623" s="162"/>
      <c r="J1623" s="162"/>
      <c r="K1623" s="162"/>
      <c r="L1623" s="163"/>
    </row>
    <row r="1624" spans="2:12" ht="19.2" customHeight="1" x14ac:dyDescent="0.3">
      <c r="B1624" s="161"/>
      <c r="C1624" s="162"/>
      <c r="D1624" s="163"/>
      <c r="E1624" s="162"/>
      <c r="F1624" s="162"/>
      <c r="G1624" s="162"/>
      <c r="H1624" s="162"/>
      <c r="I1624" s="162"/>
      <c r="J1624" s="162"/>
      <c r="K1624" s="162"/>
      <c r="L1624" s="163"/>
    </row>
    <row r="1625" spans="2:12" ht="19.2" customHeight="1" x14ac:dyDescent="0.3">
      <c r="B1625" s="161"/>
      <c r="C1625" s="162"/>
      <c r="D1625" s="163"/>
      <c r="E1625" s="162"/>
      <c r="F1625" s="162"/>
      <c r="G1625" s="162"/>
      <c r="H1625" s="162"/>
      <c r="I1625" s="162"/>
      <c r="J1625" s="162"/>
      <c r="K1625" s="162"/>
      <c r="L1625" s="163"/>
    </row>
    <row r="1626" spans="2:12" ht="19.2" customHeight="1" x14ac:dyDescent="0.3">
      <c r="B1626" s="161"/>
      <c r="C1626" s="162"/>
      <c r="D1626" s="163"/>
      <c r="E1626" s="162"/>
      <c r="F1626" s="162"/>
      <c r="G1626" s="162"/>
      <c r="H1626" s="162"/>
      <c r="I1626" s="162"/>
      <c r="J1626" s="162"/>
      <c r="K1626" s="162"/>
      <c r="L1626" s="163"/>
    </row>
    <row r="1627" spans="2:12" ht="19.2" customHeight="1" x14ac:dyDescent="0.3">
      <c r="B1627" s="161"/>
      <c r="C1627" s="162"/>
      <c r="D1627" s="163"/>
      <c r="E1627" s="162"/>
      <c r="F1627" s="162"/>
      <c r="G1627" s="162"/>
      <c r="H1627" s="162"/>
      <c r="I1627" s="162"/>
      <c r="J1627" s="162"/>
      <c r="K1627" s="162"/>
      <c r="L1627" s="163"/>
    </row>
    <row r="1628" spans="2:12" ht="19.2" customHeight="1" x14ac:dyDescent="0.3">
      <c r="B1628" s="161"/>
      <c r="C1628" s="162"/>
      <c r="D1628" s="163"/>
      <c r="E1628" s="162"/>
      <c r="F1628" s="162"/>
      <c r="G1628" s="162"/>
      <c r="H1628" s="162"/>
      <c r="I1628" s="162"/>
      <c r="J1628" s="162"/>
      <c r="K1628" s="162"/>
      <c r="L1628" s="163"/>
    </row>
    <row r="1629" spans="2:12" ht="19.2" customHeight="1" x14ac:dyDescent="0.3">
      <c r="B1629" s="161"/>
      <c r="C1629" s="162"/>
      <c r="D1629" s="163"/>
      <c r="E1629" s="162"/>
      <c r="F1629" s="162"/>
      <c r="G1629" s="162"/>
      <c r="H1629" s="162"/>
      <c r="I1629" s="162"/>
      <c r="J1629" s="162"/>
      <c r="K1629" s="162"/>
      <c r="L1629" s="163"/>
    </row>
    <row r="1630" spans="2:12" ht="19.2" customHeight="1" x14ac:dyDescent="0.3">
      <c r="B1630" s="161"/>
      <c r="C1630" s="162"/>
      <c r="D1630" s="163"/>
      <c r="E1630" s="162"/>
      <c r="F1630" s="162"/>
      <c r="G1630" s="162"/>
      <c r="H1630" s="162"/>
      <c r="I1630" s="162"/>
      <c r="J1630" s="162"/>
      <c r="K1630" s="162"/>
      <c r="L1630" s="163"/>
    </row>
    <row r="1631" spans="2:12" ht="19.2" customHeight="1" x14ac:dyDescent="0.3">
      <c r="B1631" s="161"/>
      <c r="C1631" s="162"/>
      <c r="D1631" s="163"/>
      <c r="E1631" s="162"/>
      <c r="F1631" s="162"/>
      <c r="G1631" s="162"/>
      <c r="H1631" s="162"/>
      <c r="I1631" s="162"/>
      <c r="J1631" s="162"/>
      <c r="K1631" s="162"/>
      <c r="L1631" s="163"/>
    </row>
    <row r="1632" spans="2:12" ht="19.2" customHeight="1" x14ac:dyDescent="0.3">
      <c r="B1632" s="161"/>
      <c r="C1632" s="162"/>
      <c r="D1632" s="163"/>
      <c r="E1632" s="162"/>
      <c r="F1632" s="162"/>
      <c r="G1632" s="162"/>
      <c r="H1632" s="162"/>
      <c r="I1632" s="162"/>
      <c r="J1632" s="162"/>
      <c r="K1632" s="162"/>
      <c r="L1632" s="163"/>
    </row>
    <row r="1633" spans="2:12" ht="19.2" customHeight="1" x14ac:dyDescent="0.3">
      <c r="B1633" s="161"/>
      <c r="C1633" s="162"/>
      <c r="D1633" s="163"/>
      <c r="E1633" s="162"/>
      <c r="F1633" s="162"/>
      <c r="G1633" s="162"/>
      <c r="H1633" s="162"/>
      <c r="I1633" s="162"/>
      <c r="J1633" s="162"/>
      <c r="K1633" s="162"/>
      <c r="L1633" s="163"/>
    </row>
    <row r="1634" spans="2:12" ht="19.2" customHeight="1" x14ac:dyDescent="0.3">
      <c r="B1634" s="161"/>
      <c r="C1634" s="162"/>
      <c r="D1634" s="163"/>
      <c r="E1634" s="162"/>
      <c r="F1634" s="162"/>
      <c r="G1634" s="162"/>
      <c r="H1634" s="162"/>
      <c r="I1634" s="162"/>
      <c r="J1634" s="162"/>
      <c r="K1634" s="162"/>
      <c r="L1634" s="163"/>
    </row>
    <row r="1635" spans="2:12" ht="19.2" customHeight="1" x14ac:dyDescent="0.3">
      <c r="B1635" s="161"/>
      <c r="C1635" s="162"/>
      <c r="D1635" s="163"/>
      <c r="E1635" s="162"/>
      <c r="F1635" s="162"/>
      <c r="G1635" s="162"/>
      <c r="H1635" s="162"/>
      <c r="I1635" s="162"/>
      <c r="J1635" s="162"/>
      <c r="K1635" s="162"/>
      <c r="L1635" s="163"/>
    </row>
    <row r="1636" spans="2:12" ht="19.2" customHeight="1" x14ac:dyDescent="0.3">
      <c r="B1636" s="161"/>
      <c r="C1636" s="162"/>
      <c r="D1636" s="163"/>
      <c r="E1636" s="162"/>
      <c r="F1636" s="162"/>
      <c r="G1636" s="162"/>
      <c r="H1636" s="162"/>
      <c r="I1636" s="162"/>
      <c r="J1636" s="162"/>
      <c r="K1636" s="162"/>
      <c r="L1636" s="163"/>
    </row>
    <row r="1637" spans="2:12" ht="19.2" customHeight="1" x14ac:dyDescent="0.3">
      <c r="B1637" s="161"/>
      <c r="C1637" s="162"/>
      <c r="D1637" s="163"/>
      <c r="E1637" s="162"/>
      <c r="F1637" s="162"/>
      <c r="G1637" s="162"/>
      <c r="H1637" s="162"/>
      <c r="I1637" s="162"/>
      <c r="J1637" s="162"/>
      <c r="K1637" s="162"/>
      <c r="L1637" s="163"/>
    </row>
    <row r="1638" spans="2:12" ht="19.2" customHeight="1" x14ac:dyDescent="0.3">
      <c r="B1638" s="161"/>
      <c r="C1638" s="162"/>
      <c r="D1638" s="163"/>
      <c r="E1638" s="162"/>
      <c r="F1638" s="162"/>
      <c r="G1638" s="162"/>
      <c r="H1638" s="162"/>
      <c r="I1638" s="162"/>
      <c r="J1638" s="162"/>
      <c r="K1638" s="162"/>
      <c r="L1638" s="163"/>
    </row>
    <row r="1639" spans="2:12" ht="19.2" customHeight="1" x14ac:dyDescent="0.3">
      <c r="B1639" s="161"/>
      <c r="C1639" s="162"/>
      <c r="D1639" s="163"/>
      <c r="E1639" s="162"/>
      <c r="F1639" s="162"/>
      <c r="G1639" s="162"/>
      <c r="H1639" s="162"/>
      <c r="I1639" s="162"/>
      <c r="J1639" s="162"/>
      <c r="K1639" s="162"/>
      <c r="L1639" s="163"/>
    </row>
    <row r="1640" spans="2:12" ht="19.2" customHeight="1" x14ac:dyDescent="0.3">
      <c r="B1640" s="161"/>
      <c r="C1640" s="162"/>
      <c r="D1640" s="163"/>
      <c r="E1640" s="162"/>
      <c r="F1640" s="162"/>
      <c r="G1640" s="162"/>
      <c r="H1640" s="162"/>
      <c r="I1640" s="162"/>
      <c r="J1640" s="162"/>
      <c r="K1640" s="162"/>
      <c r="L1640" s="163"/>
    </row>
    <row r="1641" spans="2:12" ht="19.2" customHeight="1" x14ac:dyDescent="0.3">
      <c r="B1641" s="161"/>
      <c r="C1641" s="162"/>
      <c r="D1641" s="163"/>
      <c r="E1641" s="162"/>
      <c r="F1641" s="162"/>
      <c r="G1641" s="162"/>
      <c r="H1641" s="162"/>
      <c r="I1641" s="162"/>
      <c r="J1641" s="162"/>
      <c r="K1641" s="162"/>
      <c r="L1641" s="163"/>
    </row>
    <row r="1642" spans="2:12" ht="19.2" customHeight="1" x14ac:dyDescent="0.3">
      <c r="B1642" s="161"/>
      <c r="C1642" s="162"/>
      <c r="D1642" s="163"/>
      <c r="E1642" s="162"/>
      <c r="F1642" s="162"/>
      <c r="G1642" s="162"/>
      <c r="H1642" s="162"/>
      <c r="I1642" s="162"/>
      <c r="J1642" s="162"/>
      <c r="K1642" s="162"/>
      <c r="L1642" s="163"/>
    </row>
    <row r="1643" spans="2:12" ht="19.2" customHeight="1" x14ac:dyDescent="0.3">
      <c r="B1643" s="161"/>
      <c r="C1643" s="162"/>
      <c r="D1643" s="163"/>
      <c r="E1643" s="162"/>
      <c r="F1643" s="162"/>
      <c r="G1643" s="162"/>
      <c r="H1643" s="162"/>
      <c r="I1643" s="162"/>
      <c r="J1643" s="162"/>
      <c r="K1643" s="162"/>
      <c r="L1643" s="163"/>
    </row>
    <row r="1644" spans="2:12" ht="19.2" customHeight="1" x14ac:dyDescent="0.3">
      <c r="B1644" s="161"/>
      <c r="C1644" s="162"/>
      <c r="D1644" s="163"/>
      <c r="E1644" s="162"/>
      <c r="F1644" s="162"/>
      <c r="G1644" s="162"/>
      <c r="H1644" s="162"/>
      <c r="I1644" s="162"/>
      <c r="J1644" s="162"/>
      <c r="K1644" s="162"/>
      <c r="L1644" s="163"/>
    </row>
    <row r="1645" spans="2:12" ht="19.2" customHeight="1" x14ac:dyDescent="0.3">
      <c r="B1645" s="161"/>
      <c r="C1645" s="162"/>
      <c r="D1645" s="163"/>
      <c r="E1645" s="162"/>
      <c r="F1645" s="162"/>
      <c r="G1645" s="162"/>
      <c r="H1645" s="162"/>
      <c r="I1645" s="162"/>
      <c r="J1645" s="162"/>
      <c r="K1645" s="162"/>
      <c r="L1645" s="163"/>
    </row>
    <row r="1646" spans="2:12" ht="19.2" customHeight="1" x14ac:dyDescent="0.3">
      <c r="B1646" s="161"/>
      <c r="C1646" s="162"/>
      <c r="D1646" s="163"/>
      <c r="E1646" s="162"/>
      <c r="F1646" s="162"/>
      <c r="G1646" s="162"/>
      <c r="H1646" s="162"/>
      <c r="I1646" s="162"/>
      <c r="J1646" s="162"/>
      <c r="K1646" s="162"/>
      <c r="L1646" s="163"/>
    </row>
    <row r="1647" spans="2:12" ht="19.2" customHeight="1" x14ac:dyDescent="0.3">
      <c r="B1647" s="161"/>
      <c r="C1647" s="162"/>
      <c r="D1647" s="163"/>
      <c r="E1647" s="162"/>
      <c r="F1647" s="162"/>
      <c r="G1647" s="162"/>
      <c r="H1647" s="162"/>
      <c r="I1647" s="162"/>
      <c r="J1647" s="162"/>
      <c r="K1647" s="162"/>
      <c r="L1647" s="163"/>
    </row>
    <row r="1648" spans="2:12" ht="19.2" customHeight="1" x14ac:dyDescent="0.3">
      <c r="B1648" s="161"/>
      <c r="C1648" s="162"/>
      <c r="D1648" s="163"/>
      <c r="E1648" s="162"/>
      <c r="F1648" s="162"/>
      <c r="G1648" s="162"/>
      <c r="H1648" s="162"/>
      <c r="I1648" s="162"/>
      <c r="J1648" s="162"/>
      <c r="K1648" s="162"/>
      <c r="L1648" s="163"/>
    </row>
    <row r="1649" spans="2:12" ht="19.2" customHeight="1" x14ac:dyDescent="0.3">
      <c r="B1649" s="161"/>
      <c r="C1649" s="162"/>
      <c r="D1649" s="163"/>
      <c r="E1649" s="162"/>
      <c r="F1649" s="162"/>
      <c r="G1649" s="162"/>
      <c r="H1649" s="162"/>
      <c r="I1649" s="162"/>
      <c r="J1649" s="162"/>
      <c r="K1649" s="162"/>
      <c r="L1649" s="163"/>
    </row>
    <row r="1650" spans="2:12" ht="19.2" customHeight="1" x14ac:dyDescent="0.3">
      <c r="B1650" s="161"/>
      <c r="C1650" s="162"/>
      <c r="D1650" s="163"/>
      <c r="E1650" s="162"/>
      <c r="F1650" s="162"/>
      <c r="G1650" s="162"/>
      <c r="H1650" s="162"/>
      <c r="I1650" s="162"/>
      <c r="J1650" s="162"/>
      <c r="K1650" s="162"/>
      <c r="L1650" s="163"/>
    </row>
    <row r="1651" spans="2:12" ht="19.2" customHeight="1" x14ac:dyDescent="0.3">
      <c r="B1651" s="161"/>
      <c r="C1651" s="162"/>
      <c r="D1651" s="163"/>
      <c r="E1651" s="162"/>
      <c r="F1651" s="162"/>
      <c r="G1651" s="162"/>
      <c r="H1651" s="162"/>
      <c r="I1651" s="162"/>
      <c r="J1651" s="162"/>
      <c r="K1651" s="162"/>
      <c r="L1651" s="163"/>
    </row>
    <row r="1652" spans="2:12" ht="19.2" customHeight="1" x14ac:dyDescent="0.3">
      <c r="B1652" s="161"/>
      <c r="C1652" s="162"/>
      <c r="D1652" s="163"/>
      <c r="E1652" s="162"/>
      <c r="F1652" s="162"/>
      <c r="G1652" s="162"/>
      <c r="H1652" s="162"/>
      <c r="I1652" s="162"/>
      <c r="J1652" s="162"/>
      <c r="K1652" s="162"/>
      <c r="L1652" s="163"/>
    </row>
    <row r="1653" spans="2:12" ht="19.2" customHeight="1" x14ac:dyDescent="0.3">
      <c r="B1653" s="161"/>
      <c r="C1653" s="162"/>
      <c r="D1653" s="163"/>
      <c r="E1653" s="162"/>
      <c r="F1653" s="162"/>
      <c r="G1653" s="162"/>
      <c r="H1653" s="162"/>
      <c r="I1653" s="162"/>
      <c r="J1653" s="162"/>
      <c r="K1653" s="162"/>
      <c r="L1653" s="163"/>
    </row>
    <row r="1654" spans="2:12" ht="19.2" customHeight="1" x14ac:dyDescent="0.3">
      <c r="B1654" s="161"/>
      <c r="C1654" s="162"/>
      <c r="D1654" s="163"/>
      <c r="E1654" s="162"/>
      <c r="F1654" s="162"/>
      <c r="G1654" s="162"/>
      <c r="H1654" s="162"/>
      <c r="I1654" s="162"/>
      <c r="J1654" s="162"/>
      <c r="K1654" s="162"/>
      <c r="L1654" s="163"/>
    </row>
    <row r="1655" spans="2:12" ht="19.2" customHeight="1" x14ac:dyDescent="0.3">
      <c r="B1655" s="161"/>
      <c r="C1655" s="162"/>
      <c r="D1655" s="163"/>
      <c r="E1655" s="162"/>
      <c r="F1655" s="162"/>
      <c r="G1655" s="162"/>
      <c r="H1655" s="162"/>
      <c r="I1655" s="162"/>
      <c r="J1655" s="162"/>
      <c r="K1655" s="162"/>
      <c r="L1655" s="163"/>
    </row>
    <row r="1656" spans="2:12" ht="19.2" customHeight="1" x14ac:dyDescent="0.3">
      <c r="B1656" s="161"/>
      <c r="C1656" s="162"/>
      <c r="D1656" s="163"/>
      <c r="E1656" s="162"/>
      <c r="F1656" s="162"/>
      <c r="G1656" s="162"/>
      <c r="H1656" s="162"/>
      <c r="I1656" s="162"/>
      <c r="J1656" s="162"/>
      <c r="K1656" s="162"/>
      <c r="L1656" s="163"/>
    </row>
    <row r="1657" spans="2:12" ht="19.2" customHeight="1" x14ac:dyDescent="0.3">
      <c r="B1657" s="161"/>
      <c r="C1657" s="162"/>
      <c r="D1657" s="163"/>
      <c r="E1657" s="162"/>
      <c r="F1657" s="162"/>
      <c r="G1657" s="162"/>
      <c r="H1657" s="162"/>
      <c r="I1657" s="162"/>
      <c r="J1657" s="162"/>
      <c r="K1657" s="162"/>
      <c r="L1657" s="163"/>
    </row>
    <row r="1658" spans="2:12" ht="19.2" customHeight="1" x14ac:dyDescent="0.3">
      <c r="B1658" s="161"/>
      <c r="C1658" s="162"/>
      <c r="D1658" s="163"/>
      <c r="E1658" s="162"/>
      <c r="F1658" s="162"/>
      <c r="G1658" s="162"/>
      <c r="H1658" s="162"/>
      <c r="I1658" s="162"/>
      <c r="J1658" s="162"/>
      <c r="K1658" s="162"/>
      <c r="L1658" s="163"/>
    </row>
    <row r="1659" spans="2:12" ht="19.2" customHeight="1" x14ac:dyDescent="0.3">
      <c r="B1659" s="161"/>
      <c r="C1659" s="162"/>
      <c r="D1659" s="163"/>
      <c r="E1659" s="162"/>
      <c r="F1659" s="162"/>
      <c r="G1659" s="162"/>
      <c r="H1659" s="162"/>
      <c r="I1659" s="162"/>
      <c r="J1659" s="162"/>
      <c r="K1659" s="162"/>
      <c r="L1659" s="163"/>
    </row>
    <row r="1660" spans="2:12" ht="19.2" customHeight="1" x14ac:dyDescent="0.3">
      <c r="B1660" s="161"/>
      <c r="C1660" s="162"/>
      <c r="D1660" s="163"/>
      <c r="E1660" s="162"/>
      <c r="F1660" s="162"/>
      <c r="G1660" s="162"/>
      <c r="H1660" s="162"/>
      <c r="I1660" s="162"/>
      <c r="J1660" s="162"/>
      <c r="K1660" s="162"/>
      <c r="L1660" s="163"/>
    </row>
    <row r="1661" spans="2:12" ht="19.2" customHeight="1" x14ac:dyDescent="0.3">
      <c r="B1661" s="161"/>
      <c r="C1661" s="162"/>
      <c r="D1661" s="163"/>
      <c r="E1661" s="162"/>
      <c r="F1661" s="162"/>
      <c r="G1661" s="162"/>
      <c r="H1661" s="162"/>
      <c r="I1661" s="162"/>
      <c r="J1661" s="162"/>
      <c r="K1661" s="162"/>
      <c r="L1661" s="163"/>
    </row>
    <row r="1662" spans="2:12" ht="19.2" customHeight="1" x14ac:dyDescent="0.3">
      <c r="B1662" s="161"/>
      <c r="C1662" s="162"/>
      <c r="D1662" s="163"/>
      <c r="E1662" s="162"/>
      <c r="F1662" s="162"/>
      <c r="G1662" s="162"/>
      <c r="H1662" s="162"/>
      <c r="I1662" s="162"/>
      <c r="J1662" s="162"/>
      <c r="K1662" s="162"/>
      <c r="L1662" s="163"/>
    </row>
    <row r="1663" spans="2:12" ht="19.2" customHeight="1" x14ac:dyDescent="0.3">
      <c r="B1663" s="161"/>
      <c r="C1663" s="162"/>
      <c r="D1663" s="163"/>
      <c r="E1663" s="162"/>
      <c r="F1663" s="162"/>
      <c r="G1663" s="162"/>
      <c r="H1663" s="162"/>
      <c r="I1663" s="162"/>
      <c r="J1663" s="162"/>
      <c r="K1663" s="162"/>
      <c r="L1663" s="163"/>
    </row>
    <row r="1664" spans="2:12" ht="19.2" customHeight="1" x14ac:dyDescent="0.3">
      <c r="B1664" s="161"/>
      <c r="C1664" s="162"/>
      <c r="D1664" s="163"/>
      <c r="E1664" s="162"/>
      <c r="F1664" s="162"/>
      <c r="G1664" s="162"/>
      <c r="H1664" s="162"/>
      <c r="I1664" s="162"/>
      <c r="J1664" s="162"/>
      <c r="K1664" s="162"/>
      <c r="L1664" s="163"/>
    </row>
    <row r="1665" spans="2:12" ht="19.2" customHeight="1" x14ac:dyDescent="0.3">
      <c r="B1665" s="161"/>
      <c r="C1665" s="162"/>
      <c r="D1665" s="163"/>
      <c r="E1665" s="162"/>
      <c r="F1665" s="162"/>
      <c r="G1665" s="162"/>
      <c r="H1665" s="162"/>
      <c r="I1665" s="162"/>
      <c r="J1665" s="162"/>
      <c r="K1665" s="162"/>
      <c r="L1665" s="163"/>
    </row>
    <row r="1666" spans="2:12" ht="19.2" customHeight="1" x14ac:dyDescent="0.3">
      <c r="B1666" s="161"/>
      <c r="C1666" s="162"/>
      <c r="D1666" s="163"/>
      <c r="E1666" s="162"/>
      <c r="F1666" s="162"/>
      <c r="G1666" s="162"/>
      <c r="H1666" s="162"/>
      <c r="I1666" s="162"/>
      <c r="J1666" s="162"/>
      <c r="K1666" s="162"/>
      <c r="L1666" s="163"/>
    </row>
    <row r="1667" spans="2:12" ht="19.2" customHeight="1" x14ac:dyDescent="0.3">
      <c r="B1667" s="161"/>
      <c r="C1667" s="162"/>
      <c r="D1667" s="163"/>
      <c r="E1667" s="162"/>
      <c r="F1667" s="162"/>
      <c r="G1667" s="162"/>
      <c r="H1667" s="162"/>
      <c r="I1667" s="162"/>
      <c r="J1667" s="162"/>
      <c r="K1667" s="162"/>
      <c r="L1667" s="163"/>
    </row>
    <row r="1668" spans="2:12" ht="19.2" customHeight="1" x14ac:dyDescent="0.3">
      <c r="B1668" s="161"/>
      <c r="C1668" s="162"/>
      <c r="D1668" s="163"/>
      <c r="E1668" s="162"/>
      <c r="F1668" s="162"/>
      <c r="G1668" s="162"/>
      <c r="H1668" s="162"/>
      <c r="I1668" s="162"/>
      <c r="J1668" s="162"/>
      <c r="K1668" s="162"/>
      <c r="L1668" s="163"/>
    </row>
    <row r="1669" spans="2:12" ht="19.2" customHeight="1" x14ac:dyDescent="0.3">
      <c r="B1669" s="161"/>
      <c r="C1669" s="162"/>
      <c r="D1669" s="163"/>
      <c r="E1669" s="162"/>
      <c r="F1669" s="162"/>
      <c r="G1669" s="162"/>
      <c r="H1669" s="162"/>
      <c r="I1669" s="162"/>
      <c r="J1669" s="162"/>
      <c r="K1669" s="162"/>
      <c r="L1669" s="163"/>
    </row>
    <row r="1670" spans="2:12" ht="19.2" customHeight="1" x14ac:dyDescent="0.3">
      <c r="B1670" s="161"/>
      <c r="C1670" s="162"/>
      <c r="D1670" s="163"/>
      <c r="E1670" s="162"/>
      <c r="F1670" s="162"/>
      <c r="G1670" s="162"/>
      <c r="H1670" s="162"/>
      <c r="I1670" s="162"/>
      <c r="J1670" s="162"/>
      <c r="K1670" s="162"/>
      <c r="L1670" s="163"/>
    </row>
    <row r="1671" spans="2:12" ht="19.2" customHeight="1" x14ac:dyDescent="0.3">
      <c r="B1671" s="161"/>
      <c r="C1671" s="162"/>
      <c r="D1671" s="163"/>
      <c r="E1671" s="162"/>
      <c r="F1671" s="162"/>
      <c r="G1671" s="162"/>
      <c r="H1671" s="162"/>
      <c r="I1671" s="162"/>
      <c r="J1671" s="162"/>
      <c r="K1671" s="162"/>
      <c r="L1671" s="163"/>
    </row>
    <row r="1672" spans="2:12" ht="19.2" customHeight="1" x14ac:dyDescent="0.3">
      <c r="B1672" s="161"/>
      <c r="C1672" s="162"/>
      <c r="D1672" s="163"/>
      <c r="E1672" s="162"/>
      <c r="F1672" s="162"/>
      <c r="G1672" s="162"/>
      <c r="H1672" s="162"/>
      <c r="I1672" s="162"/>
      <c r="J1672" s="162"/>
      <c r="K1672" s="162"/>
      <c r="L1672" s="163"/>
    </row>
    <row r="1673" spans="2:12" ht="19.2" customHeight="1" x14ac:dyDescent="0.3">
      <c r="B1673" s="161"/>
      <c r="C1673" s="162"/>
      <c r="D1673" s="163"/>
      <c r="E1673" s="162"/>
      <c r="F1673" s="162"/>
      <c r="G1673" s="162"/>
      <c r="H1673" s="162"/>
      <c r="I1673" s="162"/>
      <c r="J1673" s="162"/>
      <c r="K1673" s="162"/>
      <c r="L1673" s="163"/>
    </row>
    <row r="1674" spans="2:12" ht="19.2" customHeight="1" x14ac:dyDescent="0.3">
      <c r="B1674" s="161"/>
      <c r="C1674" s="162"/>
      <c r="D1674" s="163"/>
      <c r="E1674" s="162"/>
      <c r="F1674" s="162"/>
      <c r="G1674" s="162"/>
      <c r="H1674" s="162"/>
      <c r="I1674" s="162"/>
      <c r="J1674" s="162"/>
      <c r="K1674" s="162"/>
      <c r="L1674" s="163"/>
    </row>
    <row r="1675" spans="2:12" ht="19.2" customHeight="1" x14ac:dyDescent="0.3">
      <c r="B1675" s="161"/>
      <c r="C1675" s="162"/>
      <c r="D1675" s="163"/>
      <c r="E1675" s="162"/>
      <c r="F1675" s="162"/>
      <c r="G1675" s="162"/>
      <c r="H1675" s="162"/>
      <c r="I1675" s="162"/>
      <c r="J1675" s="162"/>
      <c r="K1675" s="162"/>
      <c r="L1675" s="163"/>
    </row>
    <row r="1676" spans="2:12" ht="19.2" customHeight="1" x14ac:dyDescent="0.3">
      <c r="B1676" s="161"/>
      <c r="C1676" s="162"/>
      <c r="D1676" s="163"/>
      <c r="E1676" s="162"/>
      <c r="F1676" s="162"/>
      <c r="G1676" s="162"/>
      <c r="H1676" s="162"/>
      <c r="I1676" s="162"/>
      <c r="J1676" s="162"/>
      <c r="K1676" s="162"/>
      <c r="L1676" s="163"/>
    </row>
    <row r="1677" spans="2:12" ht="19.2" customHeight="1" x14ac:dyDescent="0.3">
      <c r="B1677" s="161"/>
      <c r="C1677" s="162"/>
      <c r="D1677" s="163"/>
      <c r="E1677" s="162"/>
      <c r="F1677" s="162"/>
      <c r="G1677" s="162"/>
      <c r="H1677" s="162"/>
      <c r="I1677" s="162"/>
      <c r="J1677" s="162"/>
      <c r="K1677" s="162"/>
      <c r="L1677" s="163"/>
    </row>
    <row r="1678" spans="2:12" ht="19.2" customHeight="1" x14ac:dyDescent="0.3">
      <c r="B1678" s="161"/>
      <c r="C1678" s="162"/>
      <c r="D1678" s="163"/>
      <c r="E1678" s="162"/>
      <c r="F1678" s="162"/>
      <c r="G1678" s="162"/>
      <c r="H1678" s="162"/>
      <c r="I1678" s="162"/>
      <c r="J1678" s="162"/>
      <c r="K1678" s="162"/>
      <c r="L1678" s="163"/>
    </row>
    <row r="1679" spans="2:12" ht="19.2" customHeight="1" x14ac:dyDescent="0.3">
      <c r="B1679" s="161"/>
      <c r="C1679" s="162"/>
      <c r="D1679" s="163"/>
      <c r="E1679" s="162"/>
      <c r="F1679" s="162"/>
      <c r="G1679" s="162"/>
      <c r="H1679" s="162"/>
      <c r="I1679" s="162"/>
      <c r="J1679" s="162"/>
      <c r="K1679" s="162"/>
      <c r="L1679" s="163"/>
    </row>
    <row r="1680" spans="2:12" ht="19.2" customHeight="1" x14ac:dyDescent="0.3">
      <c r="B1680" s="161"/>
      <c r="C1680" s="162"/>
      <c r="D1680" s="163"/>
      <c r="E1680" s="162"/>
      <c r="F1680" s="162"/>
      <c r="G1680" s="162"/>
      <c r="H1680" s="162"/>
      <c r="I1680" s="162"/>
      <c r="J1680" s="162"/>
      <c r="K1680" s="162"/>
      <c r="L1680" s="163"/>
    </row>
    <row r="1681" spans="2:12" ht="19.2" customHeight="1" x14ac:dyDescent="0.3">
      <c r="B1681" s="161"/>
      <c r="C1681" s="162"/>
      <c r="D1681" s="163"/>
      <c r="E1681" s="162"/>
      <c r="F1681" s="162"/>
      <c r="G1681" s="162"/>
      <c r="H1681" s="162"/>
      <c r="I1681" s="162"/>
      <c r="J1681" s="162"/>
      <c r="K1681" s="162"/>
      <c r="L1681" s="163"/>
    </row>
    <row r="1682" spans="2:12" ht="19.2" customHeight="1" x14ac:dyDescent="0.3">
      <c r="B1682" s="161"/>
      <c r="C1682" s="162"/>
      <c r="D1682" s="163"/>
      <c r="E1682" s="162"/>
      <c r="F1682" s="162"/>
      <c r="G1682" s="162"/>
      <c r="H1682" s="162"/>
      <c r="I1682" s="162"/>
      <c r="J1682" s="162"/>
      <c r="K1682" s="162"/>
      <c r="L1682" s="163"/>
    </row>
    <row r="1683" spans="2:12" ht="19.2" customHeight="1" x14ac:dyDescent="0.3">
      <c r="B1683" s="161"/>
      <c r="C1683" s="162"/>
      <c r="D1683" s="163"/>
      <c r="E1683" s="162"/>
      <c r="F1683" s="162"/>
      <c r="G1683" s="162"/>
      <c r="H1683" s="162"/>
      <c r="I1683" s="162"/>
      <c r="J1683" s="162"/>
      <c r="K1683" s="162"/>
      <c r="L1683" s="163"/>
    </row>
    <row r="1684" spans="2:12" ht="19.2" customHeight="1" x14ac:dyDescent="0.3">
      <c r="B1684" s="161"/>
      <c r="C1684" s="162"/>
      <c r="D1684" s="163"/>
      <c r="E1684" s="162"/>
      <c r="F1684" s="162"/>
      <c r="G1684" s="162"/>
      <c r="H1684" s="162"/>
      <c r="I1684" s="162"/>
      <c r="J1684" s="162"/>
      <c r="K1684" s="162"/>
      <c r="L1684" s="163"/>
    </row>
    <row r="1685" spans="2:12" ht="19.2" customHeight="1" x14ac:dyDescent="0.3">
      <c r="B1685" s="161"/>
      <c r="C1685" s="162"/>
      <c r="D1685" s="163"/>
      <c r="E1685" s="162"/>
      <c r="F1685" s="162"/>
      <c r="G1685" s="162"/>
      <c r="H1685" s="162"/>
      <c r="I1685" s="162"/>
      <c r="J1685" s="162"/>
      <c r="K1685" s="162"/>
      <c r="L1685" s="163"/>
    </row>
    <row r="1686" spans="2:12" ht="19.2" customHeight="1" x14ac:dyDescent="0.3">
      <c r="B1686" s="161"/>
      <c r="C1686" s="162"/>
      <c r="D1686" s="163"/>
      <c r="E1686" s="162"/>
      <c r="F1686" s="162"/>
      <c r="G1686" s="162"/>
      <c r="H1686" s="162"/>
      <c r="I1686" s="162"/>
      <c r="J1686" s="162"/>
      <c r="K1686" s="162"/>
      <c r="L1686" s="163"/>
    </row>
    <row r="1687" spans="2:12" ht="19.2" customHeight="1" x14ac:dyDescent="0.3">
      <c r="B1687" s="161"/>
      <c r="C1687" s="162"/>
      <c r="D1687" s="163"/>
      <c r="E1687" s="162"/>
      <c r="F1687" s="162"/>
      <c r="G1687" s="162"/>
      <c r="H1687" s="162"/>
      <c r="I1687" s="162"/>
      <c r="J1687" s="162"/>
      <c r="K1687" s="162"/>
      <c r="L1687" s="163"/>
    </row>
    <row r="1688" spans="2:12" ht="19.2" customHeight="1" x14ac:dyDescent="0.3">
      <c r="B1688" s="161"/>
      <c r="C1688" s="162"/>
      <c r="D1688" s="163"/>
      <c r="E1688" s="162"/>
      <c r="F1688" s="162"/>
      <c r="G1688" s="162"/>
      <c r="H1688" s="162"/>
      <c r="I1688" s="162"/>
      <c r="J1688" s="162"/>
      <c r="K1688" s="162"/>
      <c r="L1688" s="163"/>
    </row>
    <row r="1689" spans="2:12" ht="19.2" customHeight="1" x14ac:dyDescent="0.3">
      <c r="B1689" s="161"/>
      <c r="C1689" s="162"/>
      <c r="D1689" s="163"/>
      <c r="E1689" s="162"/>
      <c r="F1689" s="162"/>
      <c r="G1689" s="162"/>
      <c r="H1689" s="162"/>
      <c r="I1689" s="162"/>
      <c r="J1689" s="162"/>
      <c r="K1689" s="162"/>
      <c r="L1689" s="163"/>
    </row>
    <row r="1690" spans="2:12" ht="19.2" customHeight="1" x14ac:dyDescent="0.3">
      <c r="B1690" s="161"/>
      <c r="C1690" s="162"/>
      <c r="D1690" s="163"/>
      <c r="E1690" s="162"/>
      <c r="F1690" s="162"/>
      <c r="G1690" s="162"/>
      <c r="H1690" s="162"/>
      <c r="I1690" s="162"/>
      <c r="J1690" s="162"/>
      <c r="K1690" s="162"/>
      <c r="L1690" s="163"/>
    </row>
    <row r="1691" spans="2:12" ht="19.2" customHeight="1" x14ac:dyDescent="0.3">
      <c r="B1691" s="161"/>
      <c r="C1691" s="162"/>
      <c r="D1691" s="163"/>
      <c r="E1691" s="162"/>
      <c r="F1691" s="162"/>
      <c r="G1691" s="162"/>
      <c r="H1691" s="162"/>
      <c r="I1691" s="162"/>
      <c r="J1691" s="162"/>
      <c r="K1691" s="162"/>
      <c r="L1691" s="163"/>
    </row>
    <row r="1692" spans="2:12" ht="19.2" customHeight="1" x14ac:dyDescent="0.3">
      <c r="B1692" s="161"/>
      <c r="C1692" s="162"/>
      <c r="D1692" s="163"/>
      <c r="E1692" s="162"/>
      <c r="F1692" s="162"/>
      <c r="G1692" s="162"/>
      <c r="H1692" s="162"/>
      <c r="I1692" s="162"/>
      <c r="J1692" s="162"/>
      <c r="K1692" s="162"/>
      <c r="L1692" s="163"/>
    </row>
    <row r="1693" spans="2:12" ht="19.2" customHeight="1" x14ac:dyDescent="0.3">
      <c r="B1693" s="161"/>
      <c r="C1693" s="162"/>
      <c r="D1693" s="163"/>
      <c r="E1693" s="162"/>
      <c r="F1693" s="162"/>
      <c r="G1693" s="162"/>
      <c r="H1693" s="162"/>
      <c r="I1693" s="162"/>
      <c r="J1693" s="162"/>
      <c r="K1693" s="162"/>
      <c r="L1693" s="163"/>
    </row>
    <row r="1694" spans="2:12" ht="19.2" customHeight="1" x14ac:dyDescent="0.3">
      <c r="B1694" s="161"/>
      <c r="C1694" s="162"/>
      <c r="D1694" s="163"/>
      <c r="E1694" s="162"/>
      <c r="F1694" s="162"/>
      <c r="G1694" s="162"/>
      <c r="H1694" s="162"/>
      <c r="I1694" s="162"/>
      <c r="J1694" s="162"/>
      <c r="K1694" s="162"/>
      <c r="L1694" s="163"/>
    </row>
    <row r="1695" spans="2:12" ht="19.2" customHeight="1" x14ac:dyDescent="0.3">
      <c r="B1695" s="161"/>
      <c r="C1695" s="162"/>
      <c r="D1695" s="163"/>
      <c r="E1695" s="162"/>
      <c r="F1695" s="162"/>
      <c r="G1695" s="162"/>
      <c r="H1695" s="162"/>
      <c r="I1695" s="162"/>
      <c r="J1695" s="162"/>
      <c r="K1695" s="162"/>
      <c r="L1695" s="163"/>
    </row>
    <row r="1696" spans="2:12" ht="19.2" customHeight="1" x14ac:dyDescent="0.3">
      <c r="B1696" s="161"/>
      <c r="C1696" s="162"/>
      <c r="D1696" s="163"/>
      <c r="E1696" s="162"/>
      <c r="F1696" s="162"/>
      <c r="G1696" s="162"/>
      <c r="H1696" s="162"/>
      <c r="I1696" s="162"/>
      <c r="J1696" s="162"/>
      <c r="K1696" s="162"/>
      <c r="L1696" s="163"/>
    </row>
    <row r="1697" spans="2:12" ht="19.2" customHeight="1" x14ac:dyDescent="0.3">
      <c r="B1697" s="161"/>
      <c r="C1697" s="162"/>
      <c r="D1697" s="163"/>
      <c r="E1697" s="162"/>
      <c r="F1697" s="162"/>
      <c r="G1697" s="162"/>
      <c r="H1697" s="162"/>
      <c r="I1697" s="162"/>
      <c r="J1697" s="162"/>
      <c r="K1697" s="162"/>
      <c r="L1697" s="163"/>
    </row>
    <row r="1698" spans="2:12" ht="19.2" customHeight="1" x14ac:dyDescent="0.3">
      <c r="B1698" s="161"/>
      <c r="C1698" s="162"/>
      <c r="D1698" s="163"/>
      <c r="E1698" s="162"/>
      <c r="F1698" s="162"/>
      <c r="G1698" s="162"/>
      <c r="H1698" s="162"/>
      <c r="I1698" s="162"/>
      <c r="J1698" s="162"/>
      <c r="K1698" s="162"/>
      <c r="L1698" s="163"/>
    </row>
    <row r="1699" spans="2:12" ht="19.2" customHeight="1" x14ac:dyDescent="0.3">
      <c r="B1699" s="161"/>
      <c r="C1699" s="162"/>
      <c r="D1699" s="163"/>
      <c r="E1699" s="162"/>
      <c r="F1699" s="162"/>
      <c r="G1699" s="162"/>
      <c r="H1699" s="162"/>
      <c r="I1699" s="162"/>
      <c r="J1699" s="162"/>
      <c r="K1699" s="162"/>
      <c r="L1699" s="163"/>
    </row>
    <row r="1700" spans="2:12" ht="19.2" customHeight="1" x14ac:dyDescent="0.3">
      <c r="B1700" s="161"/>
      <c r="C1700" s="162"/>
      <c r="D1700" s="163"/>
      <c r="E1700" s="162"/>
      <c r="F1700" s="162"/>
      <c r="G1700" s="162"/>
      <c r="H1700" s="162"/>
      <c r="I1700" s="162"/>
      <c r="J1700" s="162"/>
      <c r="K1700" s="162"/>
      <c r="L1700" s="163"/>
    </row>
    <row r="1701" spans="2:12" ht="19.2" customHeight="1" x14ac:dyDescent="0.3">
      <c r="B1701" s="161"/>
      <c r="C1701" s="162"/>
      <c r="D1701" s="163"/>
      <c r="E1701" s="162"/>
      <c r="F1701" s="162"/>
      <c r="G1701" s="162"/>
      <c r="H1701" s="162"/>
      <c r="I1701" s="162"/>
      <c r="J1701" s="162"/>
      <c r="K1701" s="162"/>
      <c r="L1701" s="163"/>
    </row>
    <row r="1702" spans="2:12" ht="19.2" customHeight="1" x14ac:dyDescent="0.3">
      <c r="B1702" s="161"/>
      <c r="C1702" s="162"/>
      <c r="D1702" s="163"/>
      <c r="E1702" s="162"/>
      <c r="F1702" s="162"/>
      <c r="G1702" s="162"/>
      <c r="H1702" s="162"/>
      <c r="I1702" s="162"/>
      <c r="J1702" s="162"/>
      <c r="K1702" s="162"/>
      <c r="L1702" s="163"/>
    </row>
    <row r="1703" spans="2:12" ht="19.2" customHeight="1" x14ac:dyDescent="0.3">
      <c r="B1703" s="161"/>
      <c r="C1703" s="162"/>
      <c r="D1703" s="163"/>
      <c r="E1703" s="162"/>
      <c r="F1703" s="162"/>
      <c r="G1703" s="162"/>
      <c r="H1703" s="162"/>
      <c r="I1703" s="162"/>
      <c r="J1703" s="162"/>
      <c r="K1703" s="162"/>
      <c r="L1703" s="163"/>
    </row>
    <row r="1704" spans="2:12" ht="19.2" customHeight="1" x14ac:dyDescent="0.3">
      <c r="B1704" s="161"/>
      <c r="C1704" s="162"/>
      <c r="D1704" s="163"/>
      <c r="E1704" s="162"/>
      <c r="F1704" s="162"/>
      <c r="G1704" s="162"/>
      <c r="H1704" s="162"/>
      <c r="I1704" s="162"/>
      <c r="J1704" s="162"/>
      <c r="K1704" s="162"/>
      <c r="L1704" s="163"/>
    </row>
    <row r="1705" spans="2:12" ht="19.2" customHeight="1" x14ac:dyDescent="0.3">
      <c r="B1705" s="161"/>
      <c r="C1705" s="162"/>
      <c r="D1705" s="163"/>
      <c r="E1705" s="162"/>
      <c r="F1705" s="162"/>
      <c r="G1705" s="162"/>
      <c r="H1705" s="162"/>
      <c r="I1705" s="162"/>
      <c r="J1705" s="162"/>
      <c r="K1705" s="162"/>
      <c r="L1705" s="163"/>
    </row>
    <row r="1706" spans="2:12" ht="19.2" customHeight="1" x14ac:dyDescent="0.3">
      <c r="B1706" s="161"/>
      <c r="C1706" s="162"/>
      <c r="D1706" s="163"/>
      <c r="E1706" s="162"/>
      <c r="F1706" s="162"/>
      <c r="G1706" s="162"/>
      <c r="H1706" s="162"/>
      <c r="I1706" s="162"/>
      <c r="J1706" s="162"/>
      <c r="K1706" s="162"/>
      <c r="L1706" s="163"/>
    </row>
    <row r="1707" spans="2:12" ht="19.2" customHeight="1" x14ac:dyDescent="0.3">
      <c r="B1707" s="161"/>
      <c r="C1707" s="162"/>
      <c r="D1707" s="163"/>
      <c r="E1707" s="162"/>
      <c r="F1707" s="162"/>
      <c r="G1707" s="162"/>
      <c r="H1707" s="162"/>
      <c r="I1707" s="162"/>
      <c r="J1707" s="162"/>
      <c r="K1707" s="162"/>
      <c r="L1707" s="163"/>
    </row>
    <row r="1708" spans="2:12" ht="19.2" customHeight="1" x14ac:dyDescent="0.3">
      <c r="B1708" s="161"/>
      <c r="C1708" s="162"/>
      <c r="D1708" s="163"/>
      <c r="E1708" s="162"/>
      <c r="F1708" s="162"/>
      <c r="G1708" s="162"/>
      <c r="H1708" s="162"/>
      <c r="I1708" s="162"/>
      <c r="J1708" s="162"/>
      <c r="K1708" s="162"/>
      <c r="L1708" s="163"/>
    </row>
    <row r="1709" spans="2:12" ht="19.2" customHeight="1" x14ac:dyDescent="0.3">
      <c r="B1709" s="161"/>
      <c r="C1709" s="162"/>
      <c r="D1709" s="163"/>
      <c r="E1709" s="162"/>
      <c r="F1709" s="162"/>
      <c r="G1709" s="162"/>
      <c r="H1709" s="162"/>
      <c r="I1709" s="162"/>
      <c r="J1709" s="162"/>
      <c r="K1709" s="162"/>
      <c r="L1709" s="163"/>
    </row>
    <row r="1710" spans="2:12" ht="19.2" customHeight="1" x14ac:dyDescent="0.3">
      <c r="B1710" s="161"/>
      <c r="C1710" s="162"/>
      <c r="D1710" s="163"/>
      <c r="E1710" s="162"/>
      <c r="F1710" s="162"/>
      <c r="G1710" s="162"/>
      <c r="H1710" s="162"/>
      <c r="I1710" s="162"/>
      <c r="J1710" s="162"/>
      <c r="K1710" s="162"/>
      <c r="L1710" s="163"/>
    </row>
    <row r="1711" spans="2:12" ht="19.2" customHeight="1" x14ac:dyDescent="0.3">
      <c r="B1711" s="161"/>
      <c r="C1711" s="162"/>
      <c r="D1711" s="163"/>
      <c r="E1711" s="162"/>
      <c r="F1711" s="162"/>
      <c r="G1711" s="162"/>
      <c r="H1711" s="162"/>
      <c r="I1711" s="162"/>
      <c r="J1711" s="162"/>
      <c r="K1711" s="162"/>
      <c r="L1711" s="163"/>
    </row>
    <row r="1712" spans="2:12" ht="19.2" customHeight="1" x14ac:dyDescent="0.3">
      <c r="B1712" s="161"/>
      <c r="C1712" s="162"/>
      <c r="D1712" s="163"/>
      <c r="E1712" s="162"/>
      <c r="F1712" s="162"/>
      <c r="G1712" s="162"/>
      <c r="H1712" s="162"/>
      <c r="I1712" s="162"/>
      <c r="J1712" s="162"/>
      <c r="K1712" s="162"/>
      <c r="L1712" s="163"/>
    </row>
    <row r="1713" spans="2:12" ht="19.2" customHeight="1" x14ac:dyDescent="0.3">
      <c r="B1713" s="161"/>
      <c r="C1713" s="162"/>
      <c r="D1713" s="163"/>
      <c r="E1713" s="162"/>
      <c r="F1713" s="162"/>
      <c r="G1713" s="162"/>
      <c r="H1713" s="162"/>
      <c r="I1713" s="162"/>
      <c r="J1713" s="162"/>
      <c r="K1713" s="162"/>
      <c r="L1713" s="163"/>
    </row>
    <row r="1714" spans="2:12" ht="19.2" customHeight="1" x14ac:dyDescent="0.3">
      <c r="B1714" s="161"/>
      <c r="C1714" s="162"/>
      <c r="D1714" s="163"/>
      <c r="E1714" s="162"/>
      <c r="F1714" s="162"/>
      <c r="G1714" s="162"/>
      <c r="H1714" s="162"/>
      <c r="I1714" s="162"/>
      <c r="J1714" s="162"/>
      <c r="K1714" s="162"/>
      <c r="L1714" s="163"/>
    </row>
    <row r="1715" spans="2:12" ht="19.2" customHeight="1" x14ac:dyDescent="0.3">
      <c r="B1715" s="161"/>
      <c r="C1715" s="162"/>
      <c r="D1715" s="163"/>
      <c r="E1715" s="162"/>
      <c r="F1715" s="162"/>
      <c r="G1715" s="162"/>
      <c r="H1715" s="162"/>
      <c r="I1715" s="162"/>
      <c r="J1715" s="162"/>
      <c r="K1715" s="162"/>
      <c r="L1715" s="163"/>
    </row>
    <row r="1716" spans="2:12" ht="19.2" customHeight="1" x14ac:dyDescent="0.3">
      <c r="B1716" s="161"/>
      <c r="C1716" s="162"/>
      <c r="D1716" s="163"/>
      <c r="E1716" s="162"/>
      <c r="F1716" s="162"/>
      <c r="G1716" s="162"/>
      <c r="H1716" s="162"/>
      <c r="I1716" s="162"/>
      <c r="J1716" s="162"/>
      <c r="K1716" s="162"/>
      <c r="L1716" s="163"/>
    </row>
    <row r="1717" spans="2:12" ht="19.2" customHeight="1" x14ac:dyDescent="0.3">
      <c r="B1717" s="161"/>
      <c r="C1717" s="162"/>
      <c r="D1717" s="163"/>
      <c r="E1717" s="162"/>
      <c r="F1717" s="162"/>
      <c r="G1717" s="162"/>
      <c r="H1717" s="162"/>
      <c r="I1717" s="162"/>
      <c r="J1717" s="162"/>
      <c r="K1717" s="162"/>
      <c r="L1717" s="163"/>
    </row>
    <row r="1718" spans="2:12" ht="19.2" customHeight="1" x14ac:dyDescent="0.3">
      <c r="B1718" s="161"/>
      <c r="C1718" s="162"/>
      <c r="D1718" s="163"/>
      <c r="E1718" s="162"/>
      <c r="F1718" s="162"/>
      <c r="G1718" s="162"/>
      <c r="H1718" s="162"/>
      <c r="I1718" s="162"/>
      <c r="J1718" s="162"/>
      <c r="K1718" s="162"/>
      <c r="L1718" s="163"/>
    </row>
    <row r="1719" spans="2:12" ht="19.2" customHeight="1" x14ac:dyDescent="0.3">
      <c r="B1719" s="161"/>
      <c r="C1719" s="162"/>
      <c r="D1719" s="163"/>
      <c r="E1719" s="162"/>
      <c r="F1719" s="162"/>
      <c r="G1719" s="162"/>
      <c r="H1719" s="162"/>
      <c r="I1719" s="162"/>
      <c r="J1719" s="162"/>
      <c r="K1719" s="162"/>
      <c r="L1719" s="163"/>
    </row>
    <row r="1720" spans="2:12" ht="19.2" customHeight="1" x14ac:dyDescent="0.3">
      <c r="B1720" s="161"/>
      <c r="C1720" s="162"/>
      <c r="D1720" s="163"/>
      <c r="E1720" s="162"/>
      <c r="F1720" s="162"/>
      <c r="G1720" s="162"/>
      <c r="H1720" s="162"/>
      <c r="I1720" s="162"/>
      <c r="J1720" s="162"/>
      <c r="K1720" s="162"/>
      <c r="L1720" s="163"/>
    </row>
    <row r="1721" spans="2:12" ht="19.2" customHeight="1" x14ac:dyDescent="0.3">
      <c r="B1721" s="161"/>
      <c r="C1721" s="162"/>
      <c r="D1721" s="163"/>
      <c r="E1721" s="162"/>
      <c r="F1721" s="162"/>
      <c r="G1721" s="162"/>
      <c r="H1721" s="162"/>
      <c r="I1721" s="162"/>
      <c r="J1721" s="162"/>
      <c r="K1721" s="162"/>
      <c r="L1721" s="163"/>
    </row>
    <row r="1722" spans="2:12" ht="19.2" customHeight="1" x14ac:dyDescent="0.3">
      <c r="B1722" s="161"/>
      <c r="C1722" s="162"/>
      <c r="D1722" s="163"/>
      <c r="E1722" s="162"/>
      <c r="F1722" s="162"/>
      <c r="G1722" s="162"/>
      <c r="H1722" s="162"/>
      <c r="I1722" s="162"/>
      <c r="J1722" s="162"/>
      <c r="K1722" s="162"/>
      <c r="L1722" s="163"/>
    </row>
    <row r="1723" spans="2:12" ht="19.2" customHeight="1" x14ac:dyDescent="0.3">
      <c r="B1723" s="161"/>
      <c r="C1723" s="162"/>
      <c r="D1723" s="163"/>
      <c r="E1723" s="162"/>
      <c r="F1723" s="162"/>
      <c r="G1723" s="162"/>
      <c r="H1723" s="162"/>
      <c r="I1723" s="162"/>
      <c r="J1723" s="162"/>
      <c r="K1723" s="162"/>
      <c r="L1723" s="163"/>
    </row>
    <row r="1724" spans="2:12" ht="19.2" customHeight="1" x14ac:dyDescent="0.3">
      <c r="B1724" s="161"/>
      <c r="C1724" s="162"/>
      <c r="D1724" s="163"/>
      <c r="E1724" s="162"/>
      <c r="F1724" s="162"/>
      <c r="G1724" s="162"/>
      <c r="H1724" s="162"/>
      <c r="I1724" s="162"/>
      <c r="J1724" s="162"/>
      <c r="K1724" s="162"/>
      <c r="L1724" s="163"/>
    </row>
    <row r="1725" spans="2:12" ht="19.2" customHeight="1" x14ac:dyDescent="0.3">
      <c r="B1725" s="161"/>
      <c r="C1725" s="162"/>
      <c r="D1725" s="163"/>
      <c r="E1725" s="162"/>
      <c r="F1725" s="162"/>
      <c r="G1725" s="162"/>
      <c r="H1725" s="162"/>
      <c r="I1725" s="162"/>
      <c r="J1725" s="162"/>
      <c r="K1725" s="162"/>
      <c r="L1725" s="163"/>
    </row>
    <row r="1726" spans="2:12" ht="19.2" customHeight="1" x14ac:dyDescent="0.3">
      <c r="B1726" s="161"/>
      <c r="C1726" s="162"/>
      <c r="D1726" s="163"/>
      <c r="E1726" s="162"/>
      <c r="F1726" s="162"/>
      <c r="G1726" s="162"/>
      <c r="H1726" s="162"/>
      <c r="I1726" s="162"/>
      <c r="J1726" s="162"/>
      <c r="K1726" s="162"/>
      <c r="L1726" s="163"/>
    </row>
    <row r="1727" spans="2:12" ht="19.2" customHeight="1" x14ac:dyDescent="0.3">
      <c r="B1727" s="161"/>
      <c r="C1727" s="162"/>
      <c r="D1727" s="163"/>
      <c r="E1727" s="162"/>
      <c r="F1727" s="162"/>
      <c r="G1727" s="162"/>
      <c r="H1727" s="162"/>
      <c r="I1727" s="162"/>
      <c r="J1727" s="162"/>
      <c r="K1727" s="162"/>
      <c r="L1727" s="163"/>
    </row>
    <row r="1728" spans="2:12" ht="19.2" customHeight="1" x14ac:dyDescent="0.3">
      <c r="B1728" s="161"/>
      <c r="C1728" s="162"/>
      <c r="D1728" s="163"/>
      <c r="E1728" s="162"/>
      <c r="F1728" s="162"/>
      <c r="G1728" s="162"/>
      <c r="H1728" s="162"/>
      <c r="I1728" s="162"/>
      <c r="J1728" s="162"/>
      <c r="K1728" s="162"/>
      <c r="L1728" s="163"/>
    </row>
    <row r="1729" spans="2:12" ht="19.2" customHeight="1" x14ac:dyDescent="0.3">
      <c r="B1729" s="161"/>
      <c r="C1729" s="162"/>
      <c r="D1729" s="163"/>
      <c r="E1729" s="162"/>
      <c r="F1729" s="162"/>
      <c r="G1729" s="162"/>
      <c r="H1729" s="162"/>
      <c r="I1729" s="162"/>
      <c r="J1729" s="162"/>
      <c r="K1729" s="162"/>
      <c r="L1729" s="163"/>
    </row>
    <row r="1730" spans="2:12" ht="19.2" customHeight="1" x14ac:dyDescent="0.3">
      <c r="B1730" s="161"/>
      <c r="C1730" s="162"/>
      <c r="D1730" s="163"/>
      <c r="E1730" s="162"/>
      <c r="F1730" s="162"/>
      <c r="G1730" s="162"/>
      <c r="H1730" s="162"/>
      <c r="I1730" s="162"/>
      <c r="J1730" s="162"/>
      <c r="K1730" s="162"/>
      <c r="L1730" s="163"/>
    </row>
    <row r="1731" spans="2:12" ht="19.2" customHeight="1" x14ac:dyDescent="0.3">
      <c r="B1731" s="161"/>
      <c r="C1731" s="162"/>
      <c r="D1731" s="163"/>
      <c r="E1731" s="162"/>
      <c r="F1731" s="162"/>
      <c r="G1731" s="162"/>
      <c r="H1731" s="162"/>
      <c r="I1731" s="162"/>
      <c r="J1731" s="162"/>
      <c r="K1731" s="162"/>
      <c r="L1731" s="163"/>
    </row>
    <row r="1732" spans="2:12" ht="19.2" customHeight="1" x14ac:dyDescent="0.3">
      <c r="B1732" s="161"/>
      <c r="C1732" s="162"/>
      <c r="D1732" s="163"/>
      <c r="E1732" s="162"/>
      <c r="F1732" s="162"/>
      <c r="G1732" s="162"/>
      <c r="H1732" s="162"/>
      <c r="I1732" s="162"/>
      <c r="J1732" s="162"/>
      <c r="K1732" s="162"/>
      <c r="L1732" s="163"/>
    </row>
    <row r="1733" spans="2:12" ht="19.2" customHeight="1" x14ac:dyDescent="0.3">
      <c r="B1733" s="161"/>
      <c r="C1733" s="162"/>
      <c r="D1733" s="163"/>
      <c r="E1733" s="162"/>
      <c r="F1733" s="162"/>
      <c r="G1733" s="162"/>
      <c r="H1733" s="162"/>
      <c r="I1733" s="162"/>
      <c r="J1733" s="162"/>
      <c r="K1733" s="162"/>
      <c r="L1733" s="163"/>
    </row>
    <row r="1734" spans="2:12" ht="19.2" customHeight="1" x14ac:dyDescent="0.3">
      <c r="B1734" s="161"/>
      <c r="C1734" s="162"/>
      <c r="D1734" s="163"/>
      <c r="E1734" s="162"/>
      <c r="F1734" s="162"/>
      <c r="G1734" s="162"/>
      <c r="H1734" s="162"/>
      <c r="I1734" s="162"/>
      <c r="J1734" s="162"/>
      <c r="K1734" s="162"/>
      <c r="L1734" s="163"/>
    </row>
    <row r="1735" spans="2:12" ht="19.2" customHeight="1" x14ac:dyDescent="0.3">
      <c r="B1735" s="161"/>
      <c r="C1735" s="162"/>
      <c r="D1735" s="163"/>
      <c r="E1735" s="162"/>
      <c r="F1735" s="162"/>
      <c r="G1735" s="162"/>
      <c r="H1735" s="162"/>
      <c r="I1735" s="162"/>
      <c r="J1735" s="162"/>
      <c r="K1735" s="162"/>
      <c r="L1735" s="163"/>
    </row>
    <row r="1736" spans="2:12" ht="19.2" customHeight="1" x14ac:dyDescent="0.3">
      <c r="B1736" s="161"/>
      <c r="C1736" s="162"/>
      <c r="D1736" s="163"/>
      <c r="E1736" s="162"/>
      <c r="F1736" s="162"/>
      <c r="G1736" s="162"/>
      <c r="H1736" s="162"/>
      <c r="I1736" s="162"/>
      <c r="J1736" s="162"/>
      <c r="K1736" s="162"/>
      <c r="L1736" s="163"/>
    </row>
    <row r="1737" spans="2:12" ht="19.2" customHeight="1" x14ac:dyDescent="0.3">
      <c r="B1737" s="161"/>
      <c r="C1737" s="162"/>
      <c r="D1737" s="163"/>
      <c r="E1737" s="162"/>
      <c r="F1737" s="162"/>
      <c r="G1737" s="162"/>
      <c r="H1737" s="162"/>
      <c r="I1737" s="162"/>
      <c r="J1737" s="162"/>
      <c r="K1737" s="162"/>
      <c r="L1737" s="163"/>
    </row>
    <row r="1738" spans="2:12" ht="19.2" customHeight="1" x14ac:dyDescent="0.3">
      <c r="B1738" s="161"/>
      <c r="C1738" s="162"/>
      <c r="D1738" s="163"/>
      <c r="E1738" s="162"/>
      <c r="F1738" s="162"/>
      <c r="G1738" s="162"/>
      <c r="H1738" s="162"/>
      <c r="I1738" s="162"/>
      <c r="J1738" s="162"/>
      <c r="K1738" s="162"/>
      <c r="L1738" s="163"/>
    </row>
    <row r="1739" spans="2:12" ht="19.2" customHeight="1" x14ac:dyDescent="0.3">
      <c r="B1739" s="161"/>
      <c r="C1739" s="162"/>
      <c r="D1739" s="163"/>
      <c r="E1739" s="162"/>
      <c r="F1739" s="162"/>
      <c r="G1739" s="162"/>
      <c r="H1739" s="162"/>
      <c r="I1739" s="162"/>
      <c r="J1739" s="162"/>
      <c r="K1739" s="162"/>
      <c r="L1739" s="163"/>
    </row>
    <row r="1740" spans="2:12" ht="19.2" customHeight="1" x14ac:dyDescent="0.3">
      <c r="B1740" s="161"/>
      <c r="C1740" s="162"/>
      <c r="D1740" s="163"/>
      <c r="E1740" s="162"/>
      <c r="F1740" s="162"/>
      <c r="G1740" s="162"/>
      <c r="H1740" s="162"/>
      <c r="I1740" s="162"/>
      <c r="J1740" s="162"/>
      <c r="K1740" s="162"/>
      <c r="L1740" s="163"/>
    </row>
    <row r="1741" spans="2:12" ht="19.2" customHeight="1" x14ac:dyDescent="0.3">
      <c r="B1741" s="161"/>
      <c r="C1741" s="162"/>
      <c r="D1741" s="163"/>
      <c r="E1741" s="162"/>
      <c r="F1741" s="162"/>
      <c r="G1741" s="162"/>
      <c r="H1741" s="162"/>
      <c r="I1741" s="162"/>
      <c r="J1741" s="162"/>
      <c r="K1741" s="162"/>
      <c r="L1741" s="163"/>
    </row>
    <row r="1742" spans="2:12" ht="19.2" customHeight="1" x14ac:dyDescent="0.3">
      <c r="B1742" s="161"/>
      <c r="C1742" s="162"/>
      <c r="D1742" s="163"/>
      <c r="E1742" s="162"/>
      <c r="F1742" s="162"/>
      <c r="G1742" s="162"/>
      <c r="H1742" s="162"/>
      <c r="I1742" s="162"/>
      <c r="J1742" s="162"/>
      <c r="K1742" s="162"/>
      <c r="L1742" s="163"/>
    </row>
    <row r="1743" spans="2:12" ht="19.2" customHeight="1" x14ac:dyDescent="0.3">
      <c r="B1743" s="161"/>
      <c r="C1743" s="162"/>
      <c r="D1743" s="163"/>
      <c r="E1743" s="162"/>
      <c r="F1743" s="162"/>
      <c r="G1743" s="162"/>
      <c r="H1743" s="162"/>
      <c r="I1743" s="162"/>
      <c r="J1743" s="162"/>
      <c r="K1743" s="162"/>
      <c r="L1743" s="163"/>
    </row>
    <row r="1744" spans="2:12" ht="19.2" customHeight="1" x14ac:dyDescent="0.3">
      <c r="B1744" s="161"/>
      <c r="C1744" s="162"/>
      <c r="D1744" s="163"/>
      <c r="E1744" s="162"/>
      <c r="F1744" s="162"/>
      <c r="G1744" s="162"/>
      <c r="H1744" s="162"/>
      <c r="I1744" s="162"/>
      <c r="J1744" s="162"/>
      <c r="K1744" s="162"/>
      <c r="L1744" s="163"/>
    </row>
    <row r="1745" spans="2:12" ht="19.2" customHeight="1" x14ac:dyDescent="0.3">
      <c r="B1745" s="161"/>
      <c r="C1745" s="162"/>
      <c r="D1745" s="163"/>
      <c r="E1745" s="162"/>
      <c r="F1745" s="162"/>
      <c r="G1745" s="162"/>
      <c r="H1745" s="162"/>
      <c r="I1745" s="162"/>
      <c r="J1745" s="162"/>
      <c r="K1745" s="162"/>
      <c r="L1745" s="163"/>
    </row>
    <row r="1746" spans="2:12" ht="19.2" customHeight="1" x14ac:dyDescent="0.3">
      <c r="B1746" s="161"/>
      <c r="C1746" s="162"/>
      <c r="D1746" s="163"/>
      <c r="E1746" s="162"/>
      <c r="F1746" s="162"/>
      <c r="G1746" s="162"/>
      <c r="H1746" s="162"/>
      <c r="I1746" s="162"/>
      <c r="J1746" s="162"/>
      <c r="K1746" s="162"/>
      <c r="L1746" s="163"/>
    </row>
    <row r="1747" spans="2:12" ht="19.2" customHeight="1" x14ac:dyDescent="0.3">
      <c r="B1747" s="161"/>
      <c r="C1747" s="162"/>
      <c r="D1747" s="163"/>
      <c r="E1747" s="162"/>
      <c r="F1747" s="162"/>
      <c r="G1747" s="162"/>
      <c r="H1747" s="162"/>
      <c r="I1747" s="162"/>
      <c r="J1747" s="162"/>
      <c r="K1747" s="162"/>
      <c r="L1747" s="163"/>
    </row>
    <row r="1748" spans="2:12" ht="19.2" customHeight="1" x14ac:dyDescent="0.3">
      <c r="B1748" s="161"/>
      <c r="C1748" s="162"/>
      <c r="D1748" s="163"/>
      <c r="E1748" s="162"/>
      <c r="F1748" s="162"/>
      <c r="G1748" s="162"/>
      <c r="H1748" s="162"/>
      <c r="I1748" s="162"/>
      <c r="J1748" s="162"/>
      <c r="K1748" s="162"/>
      <c r="L1748" s="163"/>
    </row>
    <row r="1749" spans="2:12" ht="19.2" customHeight="1" x14ac:dyDescent="0.3">
      <c r="B1749" s="161"/>
      <c r="C1749" s="162"/>
      <c r="D1749" s="163"/>
      <c r="E1749" s="162"/>
      <c r="F1749" s="162"/>
      <c r="G1749" s="162"/>
      <c r="H1749" s="162"/>
      <c r="I1749" s="162"/>
      <c r="J1749" s="162"/>
      <c r="K1749" s="162"/>
      <c r="L1749" s="163"/>
    </row>
    <row r="1750" spans="2:12" ht="19.2" customHeight="1" x14ac:dyDescent="0.3">
      <c r="B1750" s="161"/>
      <c r="C1750" s="162"/>
      <c r="D1750" s="163"/>
      <c r="E1750" s="162"/>
      <c r="F1750" s="162"/>
      <c r="G1750" s="162"/>
      <c r="H1750" s="162"/>
      <c r="I1750" s="162"/>
      <c r="J1750" s="162"/>
      <c r="K1750" s="162"/>
      <c r="L1750" s="163"/>
    </row>
    <row r="1751" spans="2:12" ht="19.2" customHeight="1" x14ac:dyDescent="0.3">
      <c r="B1751" s="161"/>
      <c r="C1751" s="162"/>
      <c r="D1751" s="163"/>
      <c r="E1751" s="162"/>
      <c r="F1751" s="162"/>
      <c r="G1751" s="162"/>
      <c r="H1751" s="162"/>
      <c r="I1751" s="162"/>
      <c r="J1751" s="162"/>
      <c r="K1751" s="162"/>
      <c r="L1751" s="163"/>
    </row>
    <row r="1752" spans="2:12" ht="19.2" customHeight="1" x14ac:dyDescent="0.3">
      <c r="B1752" s="161"/>
      <c r="C1752" s="162"/>
      <c r="D1752" s="163"/>
      <c r="E1752" s="162"/>
      <c r="F1752" s="162"/>
      <c r="G1752" s="162"/>
      <c r="H1752" s="162"/>
      <c r="I1752" s="162"/>
      <c r="J1752" s="162"/>
      <c r="K1752" s="162"/>
      <c r="L1752" s="163"/>
    </row>
    <row r="1753" spans="2:12" ht="19.2" customHeight="1" x14ac:dyDescent="0.3">
      <c r="B1753" s="161"/>
      <c r="C1753" s="162"/>
      <c r="D1753" s="163"/>
      <c r="E1753" s="162"/>
      <c r="F1753" s="162"/>
      <c r="G1753" s="162"/>
      <c r="H1753" s="162"/>
      <c r="I1753" s="162"/>
      <c r="J1753" s="162"/>
      <c r="K1753" s="162"/>
      <c r="L1753" s="163"/>
    </row>
    <row r="1754" spans="2:12" ht="19.2" customHeight="1" x14ac:dyDescent="0.3">
      <c r="B1754" s="161"/>
      <c r="C1754" s="162"/>
      <c r="D1754" s="163"/>
      <c r="E1754" s="162"/>
      <c r="F1754" s="162"/>
      <c r="G1754" s="162"/>
      <c r="H1754" s="162"/>
      <c r="I1754" s="162"/>
      <c r="J1754" s="162"/>
      <c r="K1754" s="162"/>
      <c r="L1754" s="163"/>
    </row>
    <row r="1755" spans="2:12" ht="19.2" customHeight="1" x14ac:dyDescent="0.3">
      <c r="B1755" s="161"/>
      <c r="C1755" s="162"/>
      <c r="D1755" s="163"/>
      <c r="E1755" s="162"/>
      <c r="F1755" s="162"/>
      <c r="G1755" s="162"/>
      <c r="H1755" s="162"/>
      <c r="I1755" s="162"/>
      <c r="J1755" s="162"/>
      <c r="K1755" s="162"/>
      <c r="L1755" s="163"/>
    </row>
    <row r="1756" spans="2:12" ht="19.2" customHeight="1" x14ac:dyDescent="0.3">
      <c r="B1756" s="161"/>
      <c r="C1756" s="162"/>
      <c r="D1756" s="163"/>
      <c r="E1756" s="162"/>
      <c r="F1756" s="162"/>
      <c r="G1756" s="162"/>
      <c r="H1756" s="162"/>
      <c r="I1756" s="162"/>
      <c r="J1756" s="162"/>
      <c r="K1756" s="162"/>
      <c r="L1756" s="163"/>
    </row>
    <row r="1757" spans="2:12" ht="19.2" customHeight="1" x14ac:dyDescent="0.3">
      <c r="B1757" s="161"/>
      <c r="C1757" s="162"/>
      <c r="D1757" s="163"/>
      <c r="E1757" s="162"/>
      <c r="F1757" s="162"/>
      <c r="G1757" s="162"/>
      <c r="H1757" s="162"/>
      <c r="I1757" s="162"/>
      <c r="J1757" s="162"/>
      <c r="K1757" s="162"/>
      <c r="L1757" s="163"/>
    </row>
    <row r="1758" spans="2:12" ht="19.2" customHeight="1" x14ac:dyDescent="0.3">
      <c r="B1758" s="161"/>
      <c r="C1758" s="162"/>
      <c r="D1758" s="163"/>
      <c r="E1758" s="162"/>
      <c r="F1758" s="162"/>
      <c r="G1758" s="162"/>
      <c r="H1758" s="162"/>
      <c r="I1758" s="162"/>
      <c r="J1758" s="162"/>
      <c r="K1758" s="162"/>
      <c r="L1758" s="163"/>
    </row>
    <row r="1759" spans="2:12" ht="19.2" customHeight="1" x14ac:dyDescent="0.3">
      <c r="B1759" s="161"/>
      <c r="C1759" s="162"/>
      <c r="D1759" s="163"/>
      <c r="E1759" s="162"/>
      <c r="F1759" s="162"/>
      <c r="G1759" s="162"/>
      <c r="H1759" s="162"/>
      <c r="I1759" s="162"/>
      <c r="J1759" s="162"/>
      <c r="K1759" s="162"/>
      <c r="L1759" s="163"/>
    </row>
    <row r="1760" spans="2:12" ht="19.2" customHeight="1" x14ac:dyDescent="0.3">
      <c r="B1760" s="161"/>
      <c r="C1760" s="162"/>
      <c r="D1760" s="163"/>
      <c r="E1760" s="162"/>
      <c r="F1760" s="162"/>
      <c r="G1760" s="162"/>
      <c r="H1760" s="162"/>
      <c r="I1760" s="162"/>
      <c r="J1760" s="162"/>
      <c r="K1760" s="162"/>
      <c r="L1760" s="163"/>
    </row>
    <row r="1761" spans="2:12" ht="19.2" customHeight="1" x14ac:dyDescent="0.3">
      <c r="B1761" s="161"/>
      <c r="C1761" s="162"/>
      <c r="D1761" s="163"/>
      <c r="E1761" s="162"/>
      <c r="F1761" s="162"/>
      <c r="G1761" s="162"/>
      <c r="H1761" s="162"/>
      <c r="I1761" s="162"/>
      <c r="J1761" s="162"/>
      <c r="K1761" s="162"/>
      <c r="L1761" s="163"/>
    </row>
    <row r="1762" spans="2:12" ht="19.2" customHeight="1" x14ac:dyDescent="0.3">
      <c r="B1762" s="161"/>
      <c r="C1762" s="162"/>
      <c r="D1762" s="163"/>
      <c r="E1762" s="162"/>
      <c r="F1762" s="162"/>
      <c r="G1762" s="162"/>
      <c r="H1762" s="162"/>
      <c r="I1762" s="162"/>
      <c r="J1762" s="162"/>
      <c r="K1762" s="162"/>
      <c r="L1762" s="163"/>
    </row>
    <row r="1763" spans="2:12" ht="19.2" customHeight="1" x14ac:dyDescent="0.3">
      <c r="B1763" s="161"/>
      <c r="C1763" s="162"/>
      <c r="D1763" s="163"/>
      <c r="E1763" s="162"/>
      <c r="F1763" s="162"/>
      <c r="G1763" s="162"/>
      <c r="H1763" s="162"/>
      <c r="I1763" s="162"/>
      <c r="J1763" s="162"/>
      <c r="K1763" s="162"/>
      <c r="L1763" s="163"/>
    </row>
    <row r="1764" spans="2:12" ht="19.2" customHeight="1" x14ac:dyDescent="0.3">
      <c r="B1764" s="161"/>
      <c r="C1764" s="162"/>
      <c r="D1764" s="163"/>
      <c r="E1764" s="162"/>
      <c r="F1764" s="162"/>
      <c r="G1764" s="162"/>
      <c r="H1764" s="162"/>
      <c r="I1764" s="162"/>
      <c r="J1764" s="162"/>
      <c r="K1764" s="162"/>
      <c r="L1764" s="163"/>
    </row>
    <row r="1765" spans="2:12" ht="19.2" customHeight="1" x14ac:dyDescent="0.3">
      <c r="B1765" s="161"/>
      <c r="C1765" s="162"/>
      <c r="D1765" s="163"/>
      <c r="E1765" s="162"/>
      <c r="F1765" s="162"/>
      <c r="G1765" s="162"/>
      <c r="H1765" s="162"/>
      <c r="I1765" s="162"/>
      <c r="J1765" s="162"/>
      <c r="K1765" s="162"/>
      <c r="L1765" s="163"/>
    </row>
    <row r="1766" spans="2:12" ht="19.2" customHeight="1" x14ac:dyDescent="0.3">
      <c r="B1766" s="161"/>
      <c r="C1766" s="162"/>
      <c r="D1766" s="163"/>
      <c r="E1766" s="162"/>
      <c r="F1766" s="162"/>
      <c r="G1766" s="162"/>
      <c r="H1766" s="162"/>
      <c r="I1766" s="162"/>
      <c r="J1766" s="162"/>
      <c r="K1766" s="162"/>
      <c r="L1766" s="163"/>
    </row>
    <row r="1767" spans="2:12" ht="19.2" customHeight="1" x14ac:dyDescent="0.3">
      <c r="B1767" s="161"/>
      <c r="C1767" s="162"/>
      <c r="D1767" s="163"/>
      <c r="E1767" s="162"/>
      <c r="F1767" s="162"/>
      <c r="G1767" s="162"/>
      <c r="H1767" s="162"/>
      <c r="I1767" s="162"/>
      <c r="J1767" s="162"/>
      <c r="K1767" s="162"/>
      <c r="L1767" s="163"/>
    </row>
    <row r="1768" spans="2:12" ht="19.2" customHeight="1" x14ac:dyDescent="0.3">
      <c r="B1768" s="161"/>
      <c r="C1768" s="162"/>
      <c r="D1768" s="163"/>
      <c r="E1768" s="162"/>
      <c r="F1768" s="162"/>
      <c r="G1768" s="162"/>
      <c r="H1768" s="162"/>
      <c r="I1768" s="162"/>
      <c r="J1768" s="162"/>
      <c r="K1768" s="162"/>
      <c r="L1768" s="163"/>
    </row>
    <row r="1769" spans="2:12" ht="19.2" customHeight="1" x14ac:dyDescent="0.3">
      <c r="B1769" s="161"/>
      <c r="C1769" s="162"/>
      <c r="D1769" s="163"/>
      <c r="E1769" s="162"/>
      <c r="F1769" s="162"/>
      <c r="G1769" s="162"/>
      <c r="H1769" s="162"/>
      <c r="I1769" s="162"/>
      <c r="J1769" s="162"/>
      <c r="K1769" s="162"/>
      <c r="L1769" s="163"/>
    </row>
    <row r="1770" spans="2:12" ht="19.2" customHeight="1" x14ac:dyDescent="0.3">
      <c r="B1770" s="161"/>
      <c r="C1770" s="162"/>
      <c r="D1770" s="163"/>
      <c r="E1770" s="162"/>
      <c r="F1770" s="162"/>
      <c r="G1770" s="162"/>
      <c r="H1770" s="162"/>
      <c r="I1770" s="162"/>
      <c r="J1770" s="162"/>
      <c r="K1770" s="162"/>
      <c r="L1770" s="163"/>
    </row>
    <row r="1771" spans="2:12" ht="19.2" customHeight="1" x14ac:dyDescent="0.3">
      <c r="B1771" s="161"/>
      <c r="C1771" s="162"/>
      <c r="D1771" s="163"/>
      <c r="E1771" s="162"/>
      <c r="F1771" s="162"/>
      <c r="G1771" s="162"/>
      <c r="H1771" s="162"/>
      <c r="I1771" s="162"/>
      <c r="J1771" s="162"/>
      <c r="K1771" s="162"/>
      <c r="L1771" s="163"/>
    </row>
    <row r="1772" spans="2:12" ht="19.2" customHeight="1" x14ac:dyDescent="0.3">
      <c r="B1772" s="161"/>
      <c r="C1772" s="162"/>
      <c r="D1772" s="163"/>
      <c r="E1772" s="162"/>
      <c r="F1772" s="162"/>
      <c r="G1772" s="162"/>
      <c r="H1772" s="162"/>
      <c r="I1772" s="162"/>
      <c r="J1772" s="162"/>
      <c r="K1772" s="162"/>
      <c r="L1772" s="163"/>
    </row>
    <row r="1773" spans="2:12" ht="19.2" customHeight="1" x14ac:dyDescent="0.3">
      <c r="B1773" s="161"/>
      <c r="C1773" s="162"/>
      <c r="D1773" s="163"/>
      <c r="E1773" s="162"/>
      <c r="F1773" s="162"/>
      <c r="G1773" s="162"/>
      <c r="H1773" s="162"/>
      <c r="I1773" s="162"/>
      <c r="J1773" s="162"/>
      <c r="K1773" s="162"/>
      <c r="L1773" s="163"/>
    </row>
    <row r="1774" spans="2:12" ht="19.2" customHeight="1" x14ac:dyDescent="0.3">
      <c r="B1774" s="161"/>
      <c r="C1774" s="162"/>
      <c r="D1774" s="163"/>
      <c r="E1774" s="162"/>
      <c r="F1774" s="162"/>
      <c r="G1774" s="162"/>
      <c r="H1774" s="162"/>
      <c r="I1774" s="162"/>
      <c r="J1774" s="162"/>
      <c r="K1774" s="162"/>
      <c r="L1774" s="163"/>
    </row>
    <row r="1775" spans="2:12" ht="19.2" customHeight="1" x14ac:dyDescent="0.3">
      <c r="B1775" s="161"/>
      <c r="C1775" s="162"/>
      <c r="D1775" s="163"/>
      <c r="E1775" s="162"/>
      <c r="F1775" s="162"/>
      <c r="G1775" s="162"/>
      <c r="H1775" s="162"/>
      <c r="I1775" s="162"/>
      <c r="J1775" s="162"/>
      <c r="K1775" s="162"/>
      <c r="L1775" s="163"/>
    </row>
    <row r="1776" spans="2:12" ht="19.2" customHeight="1" x14ac:dyDescent="0.3">
      <c r="B1776" s="161"/>
      <c r="C1776" s="162"/>
      <c r="D1776" s="163"/>
      <c r="E1776" s="162"/>
      <c r="F1776" s="162"/>
      <c r="G1776" s="162"/>
      <c r="H1776" s="162"/>
      <c r="I1776" s="162"/>
      <c r="J1776" s="162"/>
      <c r="K1776" s="162"/>
      <c r="L1776" s="163"/>
    </row>
    <row r="1777" spans="2:12" ht="19.2" customHeight="1" x14ac:dyDescent="0.3">
      <c r="B1777" s="161"/>
      <c r="C1777" s="162"/>
      <c r="D1777" s="163"/>
      <c r="E1777" s="162"/>
      <c r="F1777" s="162"/>
      <c r="G1777" s="162"/>
      <c r="H1777" s="162"/>
      <c r="I1777" s="162"/>
      <c r="J1777" s="162"/>
      <c r="K1777" s="162"/>
      <c r="L1777" s="163"/>
    </row>
    <row r="1778" spans="2:12" ht="19.2" customHeight="1" x14ac:dyDescent="0.3">
      <c r="B1778" s="161"/>
      <c r="C1778" s="162"/>
      <c r="D1778" s="163"/>
      <c r="E1778" s="162"/>
      <c r="F1778" s="162"/>
      <c r="G1778" s="162"/>
      <c r="H1778" s="162"/>
      <c r="I1778" s="162"/>
      <c r="J1778" s="162"/>
      <c r="K1778" s="162"/>
      <c r="L1778" s="163"/>
    </row>
    <row r="1779" spans="2:12" ht="19.2" customHeight="1" x14ac:dyDescent="0.3">
      <c r="B1779" s="161"/>
      <c r="C1779" s="162"/>
      <c r="D1779" s="163"/>
      <c r="E1779" s="162"/>
      <c r="F1779" s="162"/>
      <c r="G1779" s="162"/>
      <c r="H1779" s="162"/>
      <c r="I1779" s="162"/>
      <c r="J1779" s="162"/>
      <c r="K1779" s="162"/>
      <c r="L1779" s="163"/>
    </row>
    <row r="1780" spans="2:12" ht="19.2" customHeight="1" x14ac:dyDescent="0.3">
      <c r="B1780" s="161"/>
      <c r="C1780" s="162"/>
      <c r="D1780" s="163"/>
      <c r="E1780" s="162"/>
      <c r="F1780" s="162"/>
      <c r="G1780" s="162"/>
      <c r="H1780" s="162"/>
      <c r="I1780" s="162"/>
      <c r="J1780" s="162"/>
      <c r="K1780" s="162"/>
      <c r="L1780" s="163"/>
    </row>
    <row r="1781" spans="2:12" ht="19.2" customHeight="1" x14ac:dyDescent="0.3">
      <c r="B1781" s="161"/>
      <c r="C1781" s="162"/>
      <c r="D1781" s="163"/>
      <c r="E1781" s="162"/>
      <c r="F1781" s="162"/>
      <c r="G1781" s="162"/>
      <c r="H1781" s="162"/>
      <c r="I1781" s="162"/>
      <c r="J1781" s="162"/>
      <c r="K1781" s="162"/>
      <c r="L1781" s="163"/>
    </row>
    <row r="1782" spans="2:12" ht="19.2" customHeight="1" x14ac:dyDescent="0.3">
      <c r="B1782" s="161"/>
      <c r="C1782" s="162"/>
      <c r="D1782" s="163"/>
      <c r="E1782" s="162"/>
      <c r="F1782" s="162"/>
      <c r="G1782" s="162"/>
      <c r="H1782" s="162"/>
      <c r="I1782" s="162"/>
      <c r="J1782" s="162"/>
      <c r="K1782" s="162"/>
      <c r="L1782" s="163"/>
    </row>
    <row r="1783" spans="2:12" ht="19.2" customHeight="1" x14ac:dyDescent="0.3">
      <c r="B1783" s="161"/>
      <c r="C1783" s="162"/>
      <c r="D1783" s="163"/>
      <c r="E1783" s="162"/>
      <c r="F1783" s="162"/>
      <c r="G1783" s="162"/>
      <c r="H1783" s="162"/>
      <c r="I1783" s="162"/>
      <c r="J1783" s="162"/>
      <c r="K1783" s="162"/>
      <c r="L1783" s="163"/>
    </row>
    <row r="1784" spans="2:12" ht="19.2" customHeight="1" x14ac:dyDescent="0.3">
      <c r="B1784" s="161"/>
      <c r="C1784" s="162"/>
      <c r="D1784" s="163"/>
      <c r="E1784" s="162"/>
      <c r="F1784" s="162"/>
      <c r="G1784" s="162"/>
      <c r="H1784" s="162"/>
      <c r="I1784" s="162"/>
      <c r="J1784" s="162"/>
      <c r="K1784" s="162"/>
      <c r="L1784" s="163"/>
    </row>
    <row r="1785" spans="2:12" ht="19.2" customHeight="1" x14ac:dyDescent="0.3">
      <c r="B1785" s="161"/>
      <c r="C1785" s="162"/>
      <c r="D1785" s="163"/>
      <c r="E1785" s="162"/>
      <c r="F1785" s="162"/>
      <c r="G1785" s="162"/>
      <c r="H1785" s="162"/>
      <c r="I1785" s="162"/>
      <c r="J1785" s="162"/>
      <c r="K1785" s="162"/>
      <c r="L1785" s="163"/>
    </row>
    <row r="1786" spans="2:12" ht="19.2" customHeight="1" x14ac:dyDescent="0.3">
      <c r="B1786" s="161"/>
      <c r="C1786" s="162"/>
      <c r="D1786" s="163"/>
      <c r="E1786" s="162"/>
      <c r="F1786" s="162"/>
      <c r="G1786" s="162"/>
      <c r="H1786" s="162"/>
      <c r="I1786" s="162"/>
      <c r="J1786" s="162"/>
      <c r="K1786" s="162"/>
      <c r="L1786" s="163"/>
    </row>
    <row r="1787" spans="2:12" ht="19.2" customHeight="1" x14ac:dyDescent="0.3">
      <c r="B1787" s="161"/>
      <c r="C1787" s="162"/>
      <c r="D1787" s="163"/>
      <c r="E1787" s="162"/>
      <c r="F1787" s="162"/>
      <c r="G1787" s="162"/>
      <c r="H1787" s="162"/>
      <c r="I1787" s="162"/>
      <c r="J1787" s="162"/>
      <c r="K1787" s="162"/>
      <c r="L1787" s="163"/>
    </row>
    <row r="1788" spans="2:12" ht="19.2" customHeight="1" x14ac:dyDescent="0.3">
      <c r="B1788" s="161"/>
      <c r="C1788" s="162"/>
      <c r="D1788" s="163"/>
      <c r="E1788" s="162"/>
      <c r="F1788" s="162"/>
      <c r="G1788" s="162"/>
      <c r="H1788" s="162"/>
      <c r="I1788" s="162"/>
      <c r="J1788" s="162"/>
      <c r="K1788" s="162"/>
      <c r="L1788" s="163"/>
    </row>
    <row r="1789" spans="2:12" ht="19.2" customHeight="1" x14ac:dyDescent="0.3">
      <c r="B1789" s="161"/>
      <c r="C1789" s="162"/>
      <c r="D1789" s="163"/>
      <c r="E1789" s="162"/>
      <c r="F1789" s="162"/>
      <c r="G1789" s="162"/>
      <c r="H1789" s="162"/>
      <c r="I1789" s="162"/>
      <c r="J1789" s="162"/>
      <c r="K1789" s="162"/>
      <c r="L1789" s="163"/>
    </row>
    <row r="1790" spans="2:12" ht="19.2" customHeight="1" x14ac:dyDescent="0.3">
      <c r="B1790" s="161"/>
      <c r="C1790" s="162"/>
      <c r="D1790" s="163"/>
      <c r="E1790" s="162"/>
      <c r="F1790" s="162"/>
      <c r="G1790" s="162"/>
      <c r="H1790" s="162"/>
      <c r="I1790" s="162"/>
      <c r="J1790" s="162"/>
      <c r="K1790" s="162"/>
      <c r="L1790" s="163"/>
    </row>
    <row r="1791" spans="2:12" ht="19.2" customHeight="1" x14ac:dyDescent="0.3">
      <c r="B1791" s="161"/>
      <c r="C1791" s="162"/>
      <c r="D1791" s="163"/>
      <c r="E1791" s="162"/>
      <c r="F1791" s="162"/>
      <c r="G1791" s="162"/>
      <c r="H1791" s="162"/>
      <c r="I1791" s="162"/>
      <c r="J1791" s="162"/>
      <c r="K1791" s="162"/>
      <c r="L1791" s="163"/>
    </row>
    <row r="1792" spans="2:12" ht="19.2" customHeight="1" x14ac:dyDescent="0.3">
      <c r="B1792" s="161"/>
      <c r="C1792" s="162"/>
      <c r="D1792" s="163"/>
      <c r="E1792" s="162"/>
      <c r="F1792" s="162"/>
      <c r="G1792" s="162"/>
      <c r="H1792" s="162"/>
      <c r="I1792" s="162"/>
      <c r="J1792" s="162"/>
      <c r="K1792" s="162"/>
      <c r="L1792" s="163"/>
    </row>
    <row r="1793" spans="2:12" ht="19.2" customHeight="1" x14ac:dyDescent="0.3">
      <c r="B1793" s="161"/>
      <c r="C1793" s="162"/>
      <c r="D1793" s="163"/>
      <c r="E1793" s="162"/>
      <c r="F1793" s="162"/>
      <c r="G1793" s="162"/>
      <c r="H1793" s="162"/>
      <c r="I1793" s="162"/>
      <c r="J1793" s="162"/>
      <c r="K1793" s="162"/>
      <c r="L1793" s="163"/>
    </row>
    <row r="1794" spans="2:12" ht="19.2" customHeight="1" x14ac:dyDescent="0.3">
      <c r="B1794" s="161"/>
      <c r="C1794" s="162"/>
      <c r="D1794" s="163"/>
      <c r="E1794" s="162"/>
      <c r="F1794" s="162"/>
      <c r="G1794" s="162"/>
      <c r="H1794" s="162"/>
      <c r="I1794" s="162"/>
      <c r="J1794" s="162"/>
      <c r="K1794" s="162"/>
      <c r="L1794" s="163"/>
    </row>
    <row r="1795" spans="2:12" ht="19.2" customHeight="1" x14ac:dyDescent="0.3">
      <c r="B1795" s="161"/>
      <c r="C1795" s="162"/>
      <c r="D1795" s="163"/>
      <c r="E1795" s="162"/>
      <c r="F1795" s="162"/>
      <c r="G1795" s="162"/>
      <c r="H1795" s="162"/>
      <c r="I1795" s="162"/>
      <c r="J1795" s="162"/>
      <c r="K1795" s="162"/>
      <c r="L1795" s="163"/>
    </row>
    <row r="1796" spans="2:12" ht="19.2" customHeight="1" x14ac:dyDescent="0.3">
      <c r="B1796" s="161"/>
      <c r="C1796" s="162"/>
      <c r="D1796" s="163"/>
      <c r="E1796" s="162"/>
      <c r="F1796" s="162"/>
      <c r="G1796" s="162"/>
      <c r="H1796" s="162"/>
      <c r="I1796" s="162"/>
      <c r="J1796" s="162"/>
      <c r="K1796" s="162"/>
      <c r="L1796" s="163"/>
    </row>
    <row r="1797" spans="2:12" ht="19.2" customHeight="1" x14ac:dyDescent="0.3">
      <c r="B1797" s="161"/>
      <c r="C1797" s="162"/>
      <c r="D1797" s="163"/>
      <c r="E1797" s="162"/>
      <c r="F1797" s="162"/>
      <c r="G1797" s="162"/>
      <c r="H1797" s="162"/>
      <c r="I1797" s="162"/>
      <c r="J1797" s="162"/>
      <c r="K1797" s="162"/>
      <c r="L1797" s="163"/>
    </row>
    <row r="1798" spans="2:12" ht="19.2" customHeight="1" x14ac:dyDescent="0.3">
      <c r="B1798" s="161"/>
      <c r="C1798" s="162"/>
      <c r="D1798" s="163"/>
      <c r="E1798" s="162"/>
      <c r="F1798" s="162"/>
      <c r="G1798" s="162"/>
      <c r="H1798" s="162"/>
      <c r="I1798" s="162"/>
      <c r="J1798" s="162"/>
      <c r="K1798" s="162"/>
      <c r="L1798" s="163"/>
    </row>
    <row r="1799" spans="2:12" ht="19.2" customHeight="1" x14ac:dyDescent="0.3">
      <c r="B1799" s="161"/>
      <c r="C1799" s="162"/>
      <c r="D1799" s="163"/>
      <c r="E1799" s="162"/>
      <c r="F1799" s="162"/>
      <c r="G1799" s="162"/>
      <c r="H1799" s="162"/>
      <c r="I1799" s="162"/>
      <c r="J1799" s="162"/>
      <c r="K1799" s="162"/>
      <c r="L1799" s="163"/>
    </row>
    <row r="1800" spans="2:12" ht="19.2" customHeight="1" x14ac:dyDescent="0.3">
      <c r="B1800" s="161"/>
      <c r="C1800" s="162"/>
      <c r="D1800" s="163"/>
      <c r="E1800" s="162"/>
      <c r="F1800" s="162"/>
      <c r="G1800" s="162"/>
      <c r="H1800" s="162"/>
      <c r="I1800" s="162"/>
      <c r="J1800" s="162"/>
      <c r="K1800" s="162"/>
      <c r="L1800" s="163"/>
    </row>
    <row r="1801" spans="2:12" ht="19.2" customHeight="1" x14ac:dyDescent="0.3">
      <c r="B1801" s="161"/>
      <c r="C1801" s="162"/>
      <c r="D1801" s="163"/>
      <c r="E1801" s="162"/>
      <c r="F1801" s="162"/>
      <c r="G1801" s="162"/>
      <c r="H1801" s="162"/>
      <c r="I1801" s="162"/>
      <c r="J1801" s="162"/>
      <c r="K1801" s="162"/>
      <c r="L1801" s="163"/>
    </row>
    <row r="1802" spans="2:12" ht="19.2" customHeight="1" x14ac:dyDescent="0.3">
      <c r="B1802" s="161"/>
      <c r="C1802" s="162"/>
      <c r="D1802" s="163"/>
      <c r="E1802" s="162"/>
      <c r="F1802" s="162"/>
      <c r="G1802" s="162"/>
      <c r="H1802" s="162"/>
      <c r="I1802" s="162"/>
      <c r="J1802" s="162"/>
      <c r="K1802" s="162"/>
      <c r="L1802" s="163"/>
    </row>
    <row r="1803" spans="2:12" ht="19.2" customHeight="1" x14ac:dyDescent="0.3">
      <c r="B1803" s="161"/>
      <c r="C1803" s="162"/>
      <c r="D1803" s="163"/>
      <c r="E1803" s="162"/>
      <c r="F1803" s="162"/>
      <c r="G1803" s="162"/>
      <c r="H1803" s="162"/>
      <c r="I1803" s="162"/>
      <c r="J1803" s="162"/>
      <c r="K1803" s="162"/>
      <c r="L1803" s="163"/>
    </row>
    <row r="1804" spans="2:12" ht="19.2" customHeight="1" x14ac:dyDescent="0.3">
      <c r="B1804" s="161"/>
      <c r="C1804" s="162"/>
      <c r="D1804" s="163"/>
      <c r="E1804" s="162"/>
      <c r="F1804" s="162"/>
      <c r="G1804" s="162"/>
      <c r="H1804" s="162"/>
      <c r="I1804" s="162"/>
      <c r="J1804" s="162"/>
      <c r="K1804" s="162"/>
      <c r="L1804" s="163"/>
    </row>
    <row r="1805" spans="2:12" ht="19.2" customHeight="1" x14ac:dyDescent="0.3">
      <c r="B1805" s="161"/>
      <c r="C1805" s="162"/>
      <c r="D1805" s="163"/>
      <c r="E1805" s="162"/>
      <c r="F1805" s="162"/>
      <c r="G1805" s="162"/>
      <c r="H1805" s="162"/>
      <c r="I1805" s="162"/>
      <c r="J1805" s="162"/>
      <c r="K1805" s="162"/>
      <c r="L1805" s="163"/>
    </row>
    <row r="1806" spans="2:12" ht="19.2" customHeight="1" x14ac:dyDescent="0.3">
      <c r="B1806" s="161"/>
      <c r="C1806" s="162"/>
      <c r="D1806" s="163"/>
      <c r="E1806" s="162"/>
      <c r="F1806" s="162"/>
      <c r="G1806" s="162"/>
      <c r="H1806" s="162"/>
      <c r="I1806" s="162"/>
      <c r="J1806" s="162"/>
      <c r="K1806" s="162"/>
      <c r="L1806" s="163"/>
    </row>
    <row r="1807" spans="2:12" ht="19.2" customHeight="1" x14ac:dyDescent="0.3">
      <c r="B1807" s="161"/>
      <c r="C1807" s="162"/>
      <c r="D1807" s="163"/>
      <c r="E1807" s="162"/>
      <c r="F1807" s="162"/>
      <c r="G1807" s="162"/>
      <c r="H1807" s="162"/>
      <c r="I1807" s="162"/>
      <c r="J1807" s="162"/>
      <c r="K1807" s="162"/>
      <c r="L1807" s="163"/>
    </row>
    <row r="1808" spans="2:12" ht="19.2" customHeight="1" x14ac:dyDescent="0.3">
      <c r="B1808" s="161"/>
      <c r="C1808" s="162"/>
      <c r="D1808" s="163"/>
      <c r="E1808" s="162"/>
      <c r="F1808" s="162"/>
      <c r="G1808" s="162"/>
      <c r="H1808" s="162"/>
      <c r="I1808" s="162"/>
      <c r="J1808" s="162"/>
      <c r="K1808" s="162"/>
      <c r="L1808" s="163"/>
    </row>
    <row r="1809" spans="2:12" ht="19.2" customHeight="1" x14ac:dyDescent="0.3">
      <c r="B1809" s="161"/>
      <c r="C1809" s="162"/>
      <c r="D1809" s="163"/>
      <c r="E1809" s="162"/>
      <c r="F1809" s="162"/>
      <c r="G1809" s="162"/>
      <c r="H1809" s="162"/>
      <c r="I1809" s="162"/>
      <c r="J1809" s="162"/>
      <c r="K1809" s="162"/>
      <c r="L1809" s="163"/>
    </row>
    <row r="1810" spans="2:12" ht="19.2" customHeight="1" x14ac:dyDescent="0.3">
      <c r="B1810" s="161"/>
      <c r="C1810" s="162"/>
      <c r="D1810" s="163"/>
      <c r="E1810" s="162"/>
      <c r="F1810" s="162"/>
      <c r="G1810" s="162"/>
      <c r="H1810" s="162"/>
      <c r="I1810" s="162"/>
      <c r="J1810" s="162"/>
      <c r="K1810" s="162"/>
      <c r="L1810" s="163"/>
    </row>
    <row r="1811" spans="2:12" ht="19.2" customHeight="1" x14ac:dyDescent="0.3">
      <c r="B1811" s="161"/>
      <c r="C1811" s="162"/>
      <c r="D1811" s="163"/>
      <c r="E1811" s="162"/>
      <c r="F1811" s="162"/>
      <c r="G1811" s="162"/>
      <c r="H1811" s="162"/>
      <c r="I1811" s="162"/>
      <c r="J1811" s="162"/>
      <c r="K1811" s="162"/>
      <c r="L1811" s="163"/>
    </row>
    <row r="1812" spans="2:12" ht="19.2" customHeight="1" x14ac:dyDescent="0.3">
      <c r="B1812" s="161"/>
      <c r="C1812" s="162"/>
      <c r="D1812" s="163"/>
      <c r="E1812" s="162"/>
      <c r="F1812" s="162"/>
      <c r="G1812" s="162"/>
      <c r="H1812" s="162"/>
      <c r="I1812" s="162"/>
      <c r="J1812" s="162"/>
      <c r="K1812" s="162"/>
      <c r="L1812" s="163"/>
    </row>
    <row r="1813" spans="2:12" ht="19.2" customHeight="1" x14ac:dyDescent="0.3">
      <c r="B1813" s="161"/>
      <c r="C1813" s="162"/>
      <c r="D1813" s="163"/>
      <c r="E1813" s="162"/>
      <c r="F1813" s="162"/>
      <c r="G1813" s="162"/>
      <c r="H1813" s="162"/>
      <c r="I1813" s="162"/>
      <c r="J1813" s="162"/>
      <c r="K1813" s="162"/>
      <c r="L1813" s="163"/>
    </row>
    <row r="1814" spans="2:12" ht="19.2" customHeight="1" x14ac:dyDescent="0.3">
      <c r="B1814" s="161"/>
      <c r="C1814" s="162"/>
      <c r="D1814" s="163"/>
      <c r="E1814" s="162"/>
      <c r="F1814" s="162"/>
      <c r="G1814" s="162"/>
      <c r="H1814" s="162"/>
      <c r="I1814" s="162"/>
      <c r="J1814" s="162"/>
      <c r="K1814" s="162"/>
      <c r="L1814" s="163"/>
    </row>
    <row r="1815" spans="2:12" ht="19.2" customHeight="1" x14ac:dyDescent="0.3">
      <c r="B1815" s="161"/>
      <c r="C1815" s="162"/>
      <c r="D1815" s="163"/>
      <c r="E1815" s="162"/>
      <c r="F1815" s="162"/>
      <c r="G1815" s="162"/>
      <c r="H1815" s="162"/>
      <c r="I1815" s="162"/>
      <c r="J1815" s="162"/>
      <c r="K1815" s="162"/>
      <c r="L1815" s="163"/>
    </row>
    <row r="1816" spans="2:12" ht="19.2" customHeight="1" x14ac:dyDescent="0.3">
      <c r="B1816" s="161"/>
      <c r="C1816" s="162"/>
      <c r="D1816" s="163"/>
      <c r="E1816" s="162"/>
      <c r="F1816" s="162"/>
      <c r="G1816" s="162"/>
      <c r="H1816" s="162"/>
      <c r="I1816" s="162"/>
      <c r="J1816" s="162"/>
      <c r="K1816" s="162"/>
      <c r="L1816" s="163"/>
    </row>
    <row r="1817" spans="2:12" ht="19.2" customHeight="1" x14ac:dyDescent="0.3">
      <c r="B1817" s="161"/>
      <c r="C1817" s="162"/>
      <c r="D1817" s="163"/>
      <c r="E1817" s="162"/>
      <c r="F1817" s="162"/>
      <c r="G1817" s="162"/>
      <c r="H1817" s="162"/>
      <c r="I1817" s="162"/>
      <c r="J1817" s="162"/>
      <c r="K1817" s="162"/>
      <c r="L1817" s="163"/>
    </row>
    <row r="1818" spans="2:12" ht="19.2" customHeight="1" x14ac:dyDescent="0.3">
      <c r="B1818" s="161"/>
      <c r="C1818" s="162"/>
      <c r="D1818" s="163"/>
      <c r="E1818" s="162"/>
      <c r="F1818" s="162"/>
      <c r="G1818" s="162"/>
      <c r="H1818" s="162"/>
      <c r="I1818" s="162"/>
      <c r="J1818" s="162"/>
      <c r="K1818" s="162"/>
      <c r="L1818" s="163"/>
    </row>
    <row r="1819" spans="2:12" ht="19.2" customHeight="1" x14ac:dyDescent="0.3">
      <c r="B1819" s="161"/>
      <c r="C1819" s="162"/>
      <c r="D1819" s="163"/>
      <c r="E1819" s="162"/>
      <c r="F1819" s="162"/>
      <c r="G1819" s="162"/>
      <c r="H1819" s="162"/>
      <c r="I1819" s="162"/>
      <c r="J1819" s="162"/>
      <c r="K1819" s="162"/>
      <c r="L1819" s="163"/>
    </row>
    <row r="1820" spans="2:12" ht="19.2" customHeight="1" x14ac:dyDescent="0.3">
      <c r="B1820" s="161"/>
      <c r="C1820" s="162"/>
      <c r="D1820" s="163"/>
      <c r="E1820" s="162"/>
      <c r="F1820" s="162"/>
      <c r="G1820" s="162"/>
      <c r="H1820" s="162"/>
      <c r="I1820" s="162"/>
      <c r="J1820" s="162"/>
      <c r="K1820" s="162"/>
      <c r="L1820" s="163"/>
    </row>
    <row r="1821" spans="2:12" ht="19.2" customHeight="1" x14ac:dyDescent="0.3">
      <c r="B1821" s="161"/>
      <c r="C1821" s="162"/>
      <c r="D1821" s="163"/>
      <c r="E1821" s="162"/>
      <c r="F1821" s="162"/>
      <c r="G1821" s="162"/>
      <c r="H1821" s="162"/>
      <c r="I1821" s="162"/>
      <c r="J1821" s="162"/>
      <c r="K1821" s="162"/>
      <c r="L1821" s="163"/>
    </row>
    <row r="1822" spans="2:12" ht="19.2" customHeight="1" x14ac:dyDescent="0.3">
      <c r="B1822" s="161"/>
      <c r="C1822" s="162"/>
      <c r="D1822" s="163"/>
      <c r="E1822" s="162"/>
      <c r="F1822" s="162"/>
      <c r="G1822" s="162"/>
      <c r="H1822" s="162"/>
      <c r="I1822" s="162"/>
      <c r="J1822" s="162"/>
      <c r="K1822" s="162"/>
      <c r="L1822" s="163"/>
    </row>
    <row r="1823" spans="2:12" ht="19.2" customHeight="1" x14ac:dyDescent="0.3">
      <c r="B1823" s="161"/>
      <c r="C1823" s="162"/>
      <c r="D1823" s="163"/>
      <c r="E1823" s="162"/>
      <c r="F1823" s="162"/>
      <c r="G1823" s="162"/>
      <c r="H1823" s="162"/>
      <c r="I1823" s="162"/>
      <c r="J1823" s="162"/>
      <c r="K1823" s="162"/>
      <c r="L1823" s="163"/>
    </row>
    <row r="1824" spans="2:12" ht="19.2" customHeight="1" x14ac:dyDescent="0.3">
      <c r="B1824" s="161"/>
      <c r="C1824" s="162"/>
      <c r="D1824" s="163"/>
      <c r="E1824" s="162"/>
      <c r="F1824" s="162"/>
      <c r="G1824" s="162"/>
      <c r="H1824" s="162"/>
      <c r="I1824" s="162"/>
      <c r="J1824" s="162"/>
      <c r="K1824" s="162"/>
      <c r="L1824" s="163"/>
    </row>
    <row r="1825" spans="2:12" ht="19.2" customHeight="1" x14ac:dyDescent="0.3">
      <c r="B1825" s="161"/>
      <c r="C1825" s="162"/>
      <c r="D1825" s="163"/>
      <c r="E1825" s="162"/>
      <c r="F1825" s="162"/>
      <c r="G1825" s="162"/>
      <c r="H1825" s="162"/>
      <c r="I1825" s="162"/>
      <c r="J1825" s="162"/>
      <c r="K1825" s="162"/>
      <c r="L1825" s="163"/>
    </row>
    <row r="1826" spans="2:12" ht="19.2" customHeight="1" x14ac:dyDescent="0.3">
      <c r="B1826" s="161"/>
      <c r="C1826" s="162"/>
      <c r="D1826" s="163"/>
      <c r="E1826" s="162"/>
      <c r="F1826" s="162"/>
      <c r="G1826" s="162"/>
      <c r="H1826" s="162"/>
      <c r="I1826" s="162"/>
      <c r="J1826" s="162"/>
      <c r="K1826" s="162"/>
      <c r="L1826" s="163"/>
    </row>
    <row r="1827" spans="2:12" ht="19.2" customHeight="1" x14ac:dyDescent="0.3">
      <c r="B1827" s="161"/>
      <c r="C1827" s="162"/>
      <c r="D1827" s="163"/>
      <c r="E1827" s="162"/>
      <c r="F1827" s="162"/>
      <c r="G1827" s="162"/>
      <c r="H1827" s="162"/>
      <c r="I1827" s="162"/>
      <c r="J1827" s="162"/>
      <c r="K1827" s="162"/>
      <c r="L1827" s="163"/>
    </row>
    <row r="1828" spans="2:12" ht="19.2" customHeight="1" x14ac:dyDescent="0.3">
      <c r="B1828" s="161"/>
      <c r="C1828" s="162"/>
      <c r="D1828" s="163"/>
      <c r="E1828" s="162"/>
      <c r="F1828" s="162"/>
      <c r="G1828" s="162"/>
      <c r="H1828" s="162"/>
      <c r="I1828" s="162"/>
      <c r="J1828" s="162"/>
      <c r="K1828" s="162"/>
      <c r="L1828" s="163"/>
    </row>
    <row r="1829" spans="2:12" ht="19.2" customHeight="1" x14ac:dyDescent="0.3">
      <c r="B1829" s="161"/>
      <c r="C1829" s="162"/>
      <c r="D1829" s="163"/>
      <c r="E1829" s="162"/>
      <c r="F1829" s="162"/>
      <c r="G1829" s="162"/>
      <c r="H1829" s="162"/>
      <c r="I1829" s="162"/>
      <c r="J1829" s="162"/>
      <c r="K1829" s="162"/>
      <c r="L1829" s="163"/>
    </row>
    <row r="1830" spans="2:12" ht="19.2" customHeight="1" x14ac:dyDescent="0.3">
      <c r="B1830" s="161"/>
      <c r="C1830" s="162"/>
      <c r="D1830" s="163"/>
      <c r="E1830" s="162"/>
      <c r="F1830" s="162"/>
      <c r="G1830" s="162"/>
      <c r="H1830" s="162"/>
      <c r="I1830" s="162"/>
      <c r="J1830" s="162"/>
      <c r="K1830" s="162"/>
      <c r="L1830" s="163"/>
    </row>
    <row r="1831" spans="2:12" ht="19.2" customHeight="1" x14ac:dyDescent="0.3">
      <c r="B1831" s="161"/>
      <c r="C1831" s="162"/>
      <c r="D1831" s="163"/>
      <c r="E1831" s="162"/>
      <c r="F1831" s="162"/>
      <c r="G1831" s="162"/>
      <c r="H1831" s="162"/>
      <c r="I1831" s="162"/>
      <c r="J1831" s="162"/>
      <c r="K1831" s="162"/>
      <c r="L1831" s="163"/>
    </row>
    <row r="1832" spans="2:12" ht="19.2" customHeight="1" x14ac:dyDescent="0.3">
      <c r="B1832" s="161"/>
      <c r="C1832" s="162"/>
      <c r="D1832" s="163"/>
      <c r="E1832" s="162"/>
      <c r="F1832" s="162"/>
      <c r="G1832" s="162"/>
      <c r="H1832" s="162"/>
      <c r="I1832" s="162"/>
      <c r="J1832" s="162"/>
      <c r="K1832" s="162"/>
      <c r="L1832" s="163"/>
    </row>
    <row r="1833" spans="2:12" ht="19.2" customHeight="1" x14ac:dyDescent="0.3">
      <c r="B1833" s="161"/>
      <c r="C1833" s="162"/>
      <c r="D1833" s="163"/>
      <c r="E1833" s="162"/>
      <c r="F1833" s="162"/>
      <c r="G1833" s="162"/>
      <c r="H1833" s="162"/>
      <c r="I1833" s="162"/>
      <c r="J1833" s="162"/>
      <c r="K1833" s="162"/>
      <c r="L1833" s="163"/>
    </row>
    <row r="1834" spans="2:12" ht="19.2" customHeight="1" x14ac:dyDescent="0.3">
      <c r="B1834" s="161"/>
      <c r="C1834" s="162"/>
      <c r="D1834" s="163"/>
      <c r="E1834" s="162"/>
      <c r="F1834" s="162"/>
      <c r="G1834" s="162"/>
      <c r="H1834" s="162"/>
      <c r="I1834" s="162"/>
      <c r="J1834" s="162"/>
      <c r="K1834" s="162"/>
      <c r="L1834" s="163"/>
    </row>
    <row r="1835" spans="2:12" ht="19.2" customHeight="1" x14ac:dyDescent="0.3">
      <c r="B1835" s="161"/>
      <c r="C1835" s="162"/>
      <c r="D1835" s="163"/>
      <c r="E1835" s="162"/>
      <c r="F1835" s="162"/>
      <c r="G1835" s="162"/>
      <c r="H1835" s="162"/>
      <c r="I1835" s="162"/>
      <c r="J1835" s="162"/>
      <c r="K1835" s="162"/>
      <c r="L1835" s="163"/>
    </row>
    <row r="1836" spans="2:12" ht="19.2" customHeight="1" x14ac:dyDescent="0.3">
      <c r="B1836" s="161"/>
      <c r="C1836" s="162"/>
      <c r="D1836" s="163"/>
      <c r="E1836" s="162"/>
      <c r="F1836" s="162"/>
      <c r="G1836" s="162"/>
      <c r="H1836" s="162"/>
      <c r="I1836" s="162"/>
      <c r="J1836" s="162"/>
      <c r="K1836" s="162"/>
      <c r="L1836" s="163"/>
    </row>
    <row r="1837" spans="2:12" ht="19.2" customHeight="1" x14ac:dyDescent="0.3">
      <c r="B1837" s="161"/>
      <c r="C1837" s="162"/>
      <c r="D1837" s="163"/>
      <c r="E1837" s="162"/>
      <c r="F1837" s="162"/>
      <c r="G1837" s="162"/>
      <c r="H1837" s="162"/>
      <c r="I1837" s="162"/>
      <c r="J1837" s="162"/>
      <c r="K1837" s="162"/>
      <c r="L1837" s="163"/>
    </row>
    <row r="1838" spans="2:12" ht="19.2" customHeight="1" x14ac:dyDescent="0.3">
      <c r="B1838" s="161"/>
      <c r="C1838" s="162"/>
      <c r="D1838" s="163"/>
      <c r="E1838" s="162"/>
      <c r="F1838" s="162"/>
      <c r="G1838" s="162"/>
      <c r="H1838" s="162"/>
      <c r="I1838" s="162"/>
      <c r="J1838" s="162"/>
      <c r="K1838" s="162"/>
      <c r="L1838" s="163"/>
    </row>
    <row r="1839" spans="2:12" ht="19.2" customHeight="1" x14ac:dyDescent="0.3">
      <c r="B1839" s="161"/>
      <c r="C1839" s="162"/>
      <c r="D1839" s="163"/>
      <c r="E1839" s="162"/>
      <c r="F1839" s="162"/>
      <c r="G1839" s="162"/>
      <c r="H1839" s="162"/>
      <c r="I1839" s="162"/>
      <c r="J1839" s="162"/>
      <c r="K1839" s="162"/>
      <c r="L1839" s="163"/>
    </row>
    <row r="1840" spans="2:12" ht="19.2" customHeight="1" x14ac:dyDescent="0.3">
      <c r="B1840" s="161"/>
      <c r="C1840" s="162"/>
      <c r="D1840" s="163"/>
      <c r="E1840" s="162"/>
      <c r="F1840" s="162"/>
      <c r="G1840" s="162"/>
      <c r="H1840" s="162"/>
      <c r="I1840" s="162"/>
      <c r="J1840" s="162"/>
      <c r="K1840" s="162"/>
      <c r="L1840" s="163"/>
    </row>
    <row r="1841" spans="2:12" ht="19.2" customHeight="1" x14ac:dyDescent="0.3">
      <c r="B1841" s="161"/>
      <c r="C1841" s="162"/>
      <c r="D1841" s="163"/>
      <c r="E1841" s="162"/>
      <c r="F1841" s="162"/>
      <c r="G1841" s="162"/>
      <c r="H1841" s="162"/>
      <c r="I1841" s="162"/>
      <c r="J1841" s="162"/>
      <c r="K1841" s="162"/>
      <c r="L1841" s="163"/>
    </row>
    <row r="1842" spans="2:12" ht="19.2" customHeight="1" x14ac:dyDescent="0.3">
      <c r="B1842" s="161"/>
      <c r="C1842" s="162"/>
      <c r="D1842" s="163"/>
      <c r="E1842" s="162"/>
      <c r="F1842" s="162"/>
      <c r="G1842" s="162"/>
      <c r="H1842" s="162"/>
      <c r="I1842" s="162"/>
      <c r="J1842" s="162"/>
      <c r="K1842" s="162"/>
      <c r="L1842" s="163"/>
    </row>
    <row r="1843" spans="2:12" ht="19.2" customHeight="1" x14ac:dyDescent="0.3">
      <c r="B1843" s="161"/>
      <c r="C1843" s="162"/>
      <c r="D1843" s="163"/>
      <c r="E1843" s="162"/>
      <c r="F1843" s="162"/>
      <c r="G1843" s="162"/>
      <c r="H1843" s="162"/>
      <c r="I1843" s="162"/>
      <c r="J1843" s="162"/>
      <c r="K1843" s="162"/>
      <c r="L1843" s="163"/>
    </row>
    <row r="1844" spans="2:12" ht="19.2" customHeight="1" x14ac:dyDescent="0.3">
      <c r="B1844" s="161"/>
      <c r="C1844" s="162"/>
      <c r="D1844" s="163"/>
      <c r="E1844" s="162"/>
      <c r="F1844" s="162"/>
      <c r="G1844" s="162"/>
      <c r="H1844" s="162"/>
      <c r="I1844" s="162"/>
      <c r="J1844" s="162"/>
      <c r="K1844" s="162"/>
      <c r="L1844" s="163"/>
    </row>
    <row r="1845" spans="2:12" ht="19.2" customHeight="1" x14ac:dyDescent="0.3">
      <c r="B1845" s="161"/>
      <c r="C1845" s="162"/>
      <c r="D1845" s="163"/>
      <c r="E1845" s="162"/>
      <c r="F1845" s="162"/>
      <c r="G1845" s="162"/>
      <c r="H1845" s="162"/>
      <c r="I1845" s="162"/>
      <c r="J1845" s="162"/>
      <c r="K1845" s="162"/>
      <c r="L1845" s="163"/>
    </row>
    <row r="1846" spans="2:12" ht="19.2" customHeight="1" x14ac:dyDescent="0.3">
      <c r="B1846" s="161"/>
      <c r="C1846" s="162"/>
      <c r="D1846" s="163"/>
      <c r="E1846" s="162"/>
      <c r="F1846" s="162"/>
      <c r="G1846" s="162"/>
      <c r="H1846" s="162"/>
      <c r="I1846" s="162"/>
      <c r="J1846" s="162"/>
      <c r="K1846" s="162"/>
      <c r="L1846" s="163"/>
    </row>
    <row r="1847" spans="2:12" ht="19.2" customHeight="1" x14ac:dyDescent="0.3">
      <c r="B1847" s="161"/>
      <c r="C1847" s="162"/>
      <c r="D1847" s="163"/>
      <c r="E1847" s="162"/>
      <c r="F1847" s="162"/>
      <c r="G1847" s="162"/>
      <c r="H1847" s="162"/>
      <c r="I1847" s="162"/>
      <c r="J1847" s="162"/>
      <c r="K1847" s="162"/>
      <c r="L1847" s="163"/>
    </row>
    <row r="1848" spans="2:12" ht="19.2" customHeight="1" x14ac:dyDescent="0.3">
      <c r="B1848" s="161"/>
      <c r="C1848" s="162"/>
      <c r="D1848" s="163"/>
      <c r="E1848" s="162"/>
      <c r="F1848" s="162"/>
      <c r="G1848" s="162"/>
      <c r="H1848" s="162"/>
      <c r="I1848" s="162"/>
      <c r="J1848" s="162"/>
      <c r="K1848" s="162"/>
      <c r="L1848" s="163"/>
    </row>
    <row r="1849" spans="2:12" ht="19.2" customHeight="1" x14ac:dyDescent="0.3">
      <c r="B1849" s="161"/>
      <c r="C1849" s="162"/>
      <c r="D1849" s="163"/>
      <c r="E1849" s="162"/>
      <c r="F1849" s="162"/>
      <c r="G1849" s="162"/>
      <c r="H1849" s="162"/>
      <c r="I1849" s="162"/>
      <c r="J1849" s="162"/>
      <c r="K1849" s="162"/>
      <c r="L1849" s="163"/>
    </row>
    <row r="1850" spans="2:12" ht="19.2" customHeight="1" x14ac:dyDescent="0.3">
      <c r="B1850" s="161"/>
      <c r="C1850" s="162"/>
      <c r="D1850" s="163"/>
      <c r="E1850" s="162"/>
      <c r="F1850" s="162"/>
      <c r="G1850" s="162"/>
      <c r="H1850" s="162"/>
      <c r="I1850" s="162"/>
      <c r="J1850" s="162"/>
      <c r="K1850" s="162"/>
      <c r="L1850" s="163"/>
    </row>
    <row r="1851" spans="2:12" ht="19.2" customHeight="1" x14ac:dyDescent="0.3">
      <c r="B1851" s="161"/>
      <c r="C1851" s="162"/>
      <c r="D1851" s="163"/>
      <c r="E1851" s="162"/>
      <c r="F1851" s="162"/>
      <c r="G1851" s="162"/>
      <c r="H1851" s="162"/>
      <c r="I1851" s="162"/>
      <c r="J1851" s="162"/>
      <c r="K1851" s="162"/>
      <c r="L1851" s="163"/>
    </row>
    <row r="1852" spans="2:12" ht="19.2" customHeight="1" x14ac:dyDescent="0.3">
      <c r="B1852" s="161"/>
      <c r="C1852" s="162"/>
      <c r="D1852" s="163"/>
      <c r="E1852" s="162"/>
      <c r="F1852" s="162"/>
      <c r="G1852" s="162"/>
      <c r="H1852" s="162"/>
      <c r="I1852" s="162"/>
      <c r="J1852" s="162"/>
      <c r="K1852" s="162"/>
      <c r="L1852" s="163"/>
    </row>
    <row r="1853" spans="2:12" ht="19.2" customHeight="1" x14ac:dyDescent="0.3">
      <c r="B1853" s="161"/>
      <c r="C1853" s="162"/>
      <c r="D1853" s="163"/>
      <c r="E1853" s="162"/>
      <c r="F1853" s="162"/>
      <c r="G1853" s="162"/>
      <c r="H1853" s="162"/>
      <c r="I1853" s="162"/>
      <c r="J1853" s="162"/>
      <c r="K1853" s="162"/>
      <c r="L1853" s="163"/>
    </row>
    <row r="1854" spans="2:12" ht="19.2" customHeight="1" x14ac:dyDescent="0.3">
      <c r="B1854" s="161"/>
      <c r="C1854" s="162"/>
      <c r="D1854" s="163"/>
      <c r="E1854" s="162"/>
      <c r="F1854" s="162"/>
      <c r="G1854" s="162"/>
      <c r="H1854" s="162"/>
      <c r="I1854" s="162"/>
      <c r="J1854" s="162"/>
      <c r="K1854" s="162"/>
      <c r="L1854" s="163"/>
    </row>
    <row r="1855" spans="2:12" ht="19.2" customHeight="1" x14ac:dyDescent="0.3">
      <c r="B1855" s="161"/>
      <c r="C1855" s="162"/>
      <c r="D1855" s="163"/>
      <c r="E1855" s="162"/>
      <c r="F1855" s="162"/>
      <c r="G1855" s="162"/>
      <c r="H1855" s="162"/>
      <c r="I1855" s="162"/>
      <c r="J1855" s="162"/>
      <c r="K1855" s="162"/>
      <c r="L1855" s="163"/>
    </row>
    <row r="1856" spans="2:12" ht="19.2" customHeight="1" x14ac:dyDescent="0.3">
      <c r="B1856" s="161"/>
      <c r="C1856" s="162"/>
      <c r="D1856" s="163"/>
      <c r="E1856" s="162"/>
      <c r="F1856" s="162"/>
      <c r="G1856" s="162"/>
      <c r="H1856" s="162"/>
      <c r="I1856" s="162"/>
      <c r="J1856" s="162"/>
      <c r="K1856" s="162"/>
      <c r="L1856" s="163"/>
    </row>
    <row r="1857" spans="2:12" ht="19.2" customHeight="1" x14ac:dyDescent="0.3">
      <c r="B1857" s="161"/>
      <c r="C1857" s="162"/>
      <c r="D1857" s="163"/>
      <c r="E1857" s="162"/>
      <c r="F1857" s="162"/>
      <c r="G1857" s="162"/>
      <c r="H1857" s="162"/>
      <c r="I1857" s="162"/>
      <c r="J1857" s="162"/>
      <c r="K1857" s="162"/>
      <c r="L1857" s="163"/>
    </row>
    <row r="1858" spans="2:12" ht="19.2" customHeight="1" x14ac:dyDescent="0.3">
      <c r="B1858" s="161"/>
      <c r="C1858" s="162"/>
      <c r="D1858" s="163"/>
      <c r="E1858" s="162"/>
      <c r="F1858" s="162"/>
      <c r="G1858" s="162"/>
      <c r="H1858" s="162"/>
      <c r="I1858" s="162"/>
      <c r="J1858" s="162"/>
      <c r="K1858" s="162"/>
      <c r="L1858" s="163"/>
    </row>
    <row r="1859" spans="2:12" ht="19.2" customHeight="1" x14ac:dyDescent="0.3">
      <c r="B1859" s="161"/>
      <c r="C1859" s="162"/>
      <c r="D1859" s="163"/>
      <c r="E1859" s="162"/>
      <c r="F1859" s="162"/>
      <c r="G1859" s="162"/>
      <c r="H1859" s="162"/>
      <c r="I1859" s="162"/>
      <c r="J1859" s="162"/>
      <c r="K1859" s="162"/>
      <c r="L1859" s="163"/>
    </row>
    <row r="1860" spans="2:12" ht="19.2" customHeight="1" x14ac:dyDescent="0.3">
      <c r="B1860" s="161"/>
      <c r="C1860" s="162"/>
      <c r="D1860" s="163"/>
      <c r="E1860" s="162"/>
      <c r="F1860" s="162"/>
      <c r="G1860" s="162"/>
      <c r="H1860" s="162"/>
      <c r="I1860" s="162"/>
      <c r="J1860" s="162"/>
      <c r="K1860" s="162"/>
      <c r="L1860" s="163"/>
    </row>
    <row r="1861" spans="2:12" ht="19.2" customHeight="1" x14ac:dyDescent="0.3">
      <c r="B1861" s="161"/>
      <c r="C1861" s="162"/>
      <c r="D1861" s="163"/>
      <c r="E1861" s="162"/>
      <c r="F1861" s="162"/>
      <c r="G1861" s="162"/>
      <c r="H1861" s="162"/>
      <c r="I1861" s="162"/>
      <c r="J1861" s="162"/>
      <c r="K1861" s="162"/>
      <c r="L1861" s="163"/>
    </row>
    <row r="1862" spans="2:12" ht="19.2" customHeight="1" x14ac:dyDescent="0.3">
      <c r="B1862" s="161"/>
      <c r="C1862" s="162"/>
      <c r="D1862" s="163"/>
      <c r="E1862" s="162"/>
      <c r="F1862" s="162"/>
      <c r="G1862" s="162"/>
      <c r="H1862" s="162"/>
      <c r="I1862" s="162"/>
      <c r="J1862" s="162"/>
      <c r="K1862" s="162"/>
      <c r="L1862" s="163"/>
    </row>
    <row r="1863" spans="2:12" ht="19.2" customHeight="1" x14ac:dyDescent="0.3">
      <c r="B1863" s="161"/>
      <c r="C1863" s="162"/>
      <c r="D1863" s="163"/>
      <c r="E1863" s="162"/>
      <c r="F1863" s="162"/>
      <c r="G1863" s="162"/>
      <c r="H1863" s="162"/>
      <c r="I1863" s="162"/>
      <c r="J1863" s="162"/>
      <c r="K1863" s="162"/>
      <c r="L1863" s="163"/>
    </row>
    <row r="1864" spans="2:12" ht="19.2" customHeight="1" x14ac:dyDescent="0.3">
      <c r="B1864" s="161"/>
      <c r="C1864" s="162"/>
      <c r="D1864" s="163"/>
      <c r="E1864" s="162"/>
      <c r="F1864" s="162"/>
      <c r="G1864" s="162"/>
      <c r="H1864" s="162"/>
      <c r="I1864" s="162"/>
      <c r="J1864" s="162"/>
      <c r="K1864" s="162"/>
      <c r="L1864" s="163"/>
    </row>
    <row r="1865" spans="2:12" ht="19.2" customHeight="1" x14ac:dyDescent="0.3">
      <c r="B1865" s="161"/>
      <c r="C1865" s="162"/>
      <c r="D1865" s="163"/>
      <c r="E1865" s="162"/>
      <c r="F1865" s="162"/>
      <c r="G1865" s="162"/>
      <c r="H1865" s="162"/>
      <c r="I1865" s="162"/>
      <c r="J1865" s="162"/>
      <c r="K1865" s="162"/>
      <c r="L1865" s="163"/>
    </row>
    <row r="1866" spans="2:12" ht="19.2" customHeight="1" x14ac:dyDescent="0.3">
      <c r="B1866" s="161"/>
      <c r="C1866" s="162"/>
      <c r="D1866" s="163"/>
      <c r="E1866" s="162"/>
      <c r="F1866" s="162"/>
      <c r="G1866" s="162"/>
      <c r="H1866" s="162"/>
      <c r="I1866" s="162"/>
      <c r="J1866" s="162"/>
      <c r="K1866" s="162"/>
      <c r="L1866" s="163"/>
    </row>
    <row r="1867" spans="2:12" ht="19.2" customHeight="1" x14ac:dyDescent="0.3">
      <c r="B1867" s="161"/>
      <c r="C1867" s="162"/>
      <c r="D1867" s="163"/>
      <c r="E1867" s="162"/>
      <c r="F1867" s="162"/>
      <c r="G1867" s="162"/>
      <c r="H1867" s="162"/>
      <c r="I1867" s="162"/>
      <c r="J1867" s="162"/>
      <c r="K1867" s="162"/>
      <c r="L1867" s="163"/>
    </row>
    <row r="1868" spans="2:12" ht="19.2" customHeight="1" x14ac:dyDescent="0.3">
      <c r="B1868" s="161"/>
      <c r="C1868" s="162"/>
      <c r="D1868" s="163"/>
      <c r="E1868" s="162"/>
      <c r="F1868" s="162"/>
      <c r="G1868" s="162"/>
      <c r="H1868" s="162"/>
      <c r="I1868" s="162"/>
      <c r="J1868" s="162"/>
      <c r="K1868" s="162"/>
      <c r="L1868" s="163"/>
    </row>
    <row r="1869" spans="2:12" ht="19.2" customHeight="1" x14ac:dyDescent="0.3">
      <c r="B1869" s="161"/>
      <c r="C1869" s="162"/>
      <c r="D1869" s="163"/>
      <c r="E1869" s="162"/>
      <c r="F1869" s="162"/>
      <c r="G1869" s="162"/>
      <c r="H1869" s="162"/>
      <c r="I1869" s="162"/>
      <c r="J1869" s="162"/>
      <c r="K1869" s="162"/>
      <c r="L1869" s="163"/>
    </row>
    <row r="1870" spans="2:12" ht="19.2" customHeight="1" x14ac:dyDescent="0.3">
      <c r="B1870" s="161"/>
      <c r="C1870" s="162"/>
      <c r="D1870" s="163"/>
      <c r="E1870" s="162"/>
      <c r="F1870" s="162"/>
      <c r="G1870" s="162"/>
      <c r="H1870" s="162"/>
      <c r="I1870" s="162"/>
      <c r="J1870" s="162"/>
      <c r="K1870" s="162"/>
      <c r="L1870" s="163"/>
    </row>
    <row r="1871" spans="2:12" ht="19.2" customHeight="1" x14ac:dyDescent="0.3">
      <c r="B1871" s="161"/>
      <c r="C1871" s="162"/>
      <c r="D1871" s="163"/>
      <c r="E1871" s="162"/>
      <c r="F1871" s="162"/>
      <c r="G1871" s="162"/>
      <c r="H1871" s="162"/>
      <c r="I1871" s="162"/>
      <c r="J1871" s="162"/>
      <c r="K1871" s="162"/>
      <c r="L1871" s="163"/>
    </row>
    <row r="1872" spans="2:12" ht="19.2" customHeight="1" x14ac:dyDescent="0.3">
      <c r="B1872" s="161"/>
      <c r="C1872" s="162"/>
      <c r="D1872" s="163"/>
      <c r="E1872" s="162"/>
      <c r="F1872" s="162"/>
      <c r="G1872" s="162"/>
      <c r="H1872" s="162"/>
      <c r="I1872" s="162"/>
      <c r="J1872" s="162"/>
      <c r="K1872" s="162"/>
      <c r="L1872" s="163"/>
    </row>
    <row r="1873" spans="2:12" ht="19.2" customHeight="1" x14ac:dyDescent="0.3">
      <c r="B1873" s="161"/>
      <c r="C1873" s="162"/>
      <c r="D1873" s="163"/>
      <c r="E1873" s="162"/>
      <c r="F1873" s="162"/>
      <c r="G1873" s="162"/>
      <c r="H1873" s="162"/>
      <c r="I1873" s="162"/>
      <c r="J1873" s="162"/>
      <c r="K1873" s="162"/>
      <c r="L1873" s="163"/>
    </row>
    <row r="1874" spans="2:12" ht="19.2" customHeight="1" x14ac:dyDescent="0.3">
      <c r="B1874" s="161"/>
      <c r="C1874" s="162"/>
      <c r="D1874" s="163"/>
      <c r="E1874" s="162"/>
      <c r="F1874" s="162"/>
      <c r="G1874" s="162"/>
      <c r="H1874" s="162"/>
      <c r="I1874" s="162"/>
      <c r="J1874" s="162"/>
      <c r="K1874" s="162"/>
      <c r="L1874" s="163"/>
    </row>
    <row r="1875" spans="2:12" ht="19.2" customHeight="1" x14ac:dyDescent="0.3">
      <c r="B1875" s="161"/>
      <c r="C1875" s="162"/>
      <c r="D1875" s="163"/>
      <c r="E1875" s="162"/>
      <c r="F1875" s="162"/>
      <c r="G1875" s="162"/>
      <c r="H1875" s="162"/>
      <c r="I1875" s="162"/>
      <c r="J1875" s="162"/>
      <c r="K1875" s="162"/>
      <c r="L1875" s="163"/>
    </row>
    <row r="1876" spans="2:12" ht="19.2" customHeight="1" x14ac:dyDescent="0.3">
      <c r="B1876" s="161"/>
      <c r="C1876" s="162"/>
      <c r="D1876" s="163"/>
      <c r="E1876" s="162"/>
      <c r="F1876" s="162"/>
      <c r="G1876" s="162"/>
      <c r="H1876" s="162"/>
      <c r="I1876" s="162"/>
      <c r="J1876" s="162"/>
      <c r="K1876" s="162"/>
      <c r="L1876" s="163"/>
    </row>
    <row r="1877" spans="2:12" ht="19.2" customHeight="1" x14ac:dyDescent="0.3">
      <c r="B1877" s="161"/>
      <c r="C1877" s="162"/>
      <c r="D1877" s="163"/>
      <c r="E1877" s="162"/>
      <c r="F1877" s="162"/>
      <c r="G1877" s="162"/>
      <c r="H1877" s="162"/>
      <c r="I1877" s="162"/>
      <c r="J1877" s="162"/>
      <c r="K1877" s="162"/>
      <c r="L1877" s="163"/>
    </row>
    <row r="1878" spans="2:12" ht="19.2" customHeight="1" x14ac:dyDescent="0.3">
      <c r="B1878" s="161"/>
      <c r="C1878" s="162"/>
      <c r="D1878" s="163"/>
      <c r="E1878" s="162"/>
      <c r="F1878" s="162"/>
      <c r="G1878" s="162"/>
      <c r="H1878" s="162"/>
      <c r="I1878" s="162"/>
      <c r="J1878" s="162"/>
      <c r="K1878" s="162"/>
      <c r="L1878" s="163"/>
    </row>
    <row r="1879" spans="2:12" ht="19.2" customHeight="1" x14ac:dyDescent="0.3">
      <c r="B1879" s="161"/>
      <c r="C1879" s="162"/>
      <c r="D1879" s="163"/>
      <c r="E1879" s="162"/>
      <c r="F1879" s="162"/>
      <c r="G1879" s="162"/>
      <c r="H1879" s="162"/>
      <c r="I1879" s="162"/>
      <c r="J1879" s="162"/>
      <c r="K1879" s="162"/>
      <c r="L1879" s="163"/>
    </row>
    <row r="1880" spans="2:12" ht="19.2" customHeight="1" x14ac:dyDescent="0.3">
      <c r="B1880" s="161"/>
      <c r="C1880" s="162"/>
      <c r="D1880" s="163"/>
      <c r="E1880" s="162"/>
      <c r="F1880" s="162"/>
      <c r="G1880" s="162"/>
      <c r="H1880" s="162"/>
      <c r="I1880" s="162"/>
      <c r="J1880" s="162"/>
      <c r="K1880" s="162"/>
      <c r="L1880" s="163"/>
    </row>
    <row r="1881" spans="2:12" ht="19.2" customHeight="1" x14ac:dyDescent="0.3">
      <c r="B1881" s="161"/>
      <c r="C1881" s="162"/>
      <c r="D1881" s="163"/>
      <c r="E1881" s="162"/>
      <c r="F1881" s="162"/>
      <c r="G1881" s="162"/>
      <c r="H1881" s="162"/>
      <c r="I1881" s="162"/>
      <c r="J1881" s="162"/>
      <c r="K1881" s="162"/>
      <c r="L1881" s="163"/>
    </row>
    <row r="1882" spans="2:12" ht="19.2" customHeight="1" x14ac:dyDescent="0.3">
      <c r="B1882" s="161"/>
      <c r="C1882" s="162"/>
      <c r="D1882" s="163"/>
      <c r="E1882" s="162"/>
      <c r="F1882" s="162"/>
      <c r="G1882" s="162"/>
      <c r="H1882" s="162"/>
      <c r="I1882" s="162"/>
      <c r="J1882" s="162"/>
      <c r="K1882" s="162"/>
      <c r="L1882" s="163"/>
    </row>
    <row r="1883" spans="2:12" ht="19.2" customHeight="1" x14ac:dyDescent="0.3">
      <c r="B1883" s="161"/>
      <c r="C1883" s="162"/>
      <c r="D1883" s="163"/>
      <c r="E1883" s="162"/>
      <c r="F1883" s="162"/>
      <c r="G1883" s="162"/>
      <c r="H1883" s="162"/>
      <c r="I1883" s="162"/>
      <c r="J1883" s="162"/>
      <c r="K1883" s="162"/>
      <c r="L1883" s="163"/>
    </row>
    <row r="1884" spans="2:12" ht="19.2" customHeight="1" x14ac:dyDescent="0.3">
      <c r="B1884" s="161"/>
      <c r="C1884" s="162"/>
      <c r="D1884" s="163"/>
      <c r="E1884" s="162"/>
      <c r="F1884" s="162"/>
      <c r="G1884" s="162"/>
      <c r="H1884" s="162"/>
      <c r="I1884" s="162"/>
      <c r="J1884" s="162"/>
      <c r="K1884" s="162"/>
      <c r="L1884" s="163"/>
    </row>
    <row r="1885" spans="2:12" ht="19.2" customHeight="1" x14ac:dyDescent="0.3">
      <c r="B1885" s="161"/>
      <c r="C1885" s="162"/>
      <c r="D1885" s="163"/>
      <c r="E1885" s="162"/>
      <c r="F1885" s="162"/>
      <c r="G1885" s="162"/>
      <c r="H1885" s="162"/>
      <c r="I1885" s="162"/>
      <c r="J1885" s="162"/>
      <c r="K1885" s="162"/>
      <c r="L1885" s="163"/>
    </row>
    <row r="1886" spans="2:12" ht="19.2" customHeight="1" x14ac:dyDescent="0.3">
      <c r="B1886" s="161"/>
      <c r="C1886" s="162"/>
      <c r="D1886" s="163"/>
      <c r="E1886" s="162"/>
      <c r="F1886" s="162"/>
      <c r="G1886" s="162"/>
      <c r="H1886" s="162"/>
      <c r="I1886" s="162"/>
      <c r="J1886" s="162"/>
      <c r="K1886" s="162"/>
      <c r="L1886" s="163"/>
    </row>
    <row r="1887" spans="2:12" ht="19.2" customHeight="1" x14ac:dyDescent="0.3">
      <c r="B1887" s="161"/>
      <c r="C1887" s="162"/>
      <c r="D1887" s="163"/>
      <c r="E1887" s="162"/>
      <c r="F1887" s="162"/>
      <c r="G1887" s="162"/>
      <c r="H1887" s="162"/>
      <c r="I1887" s="162"/>
      <c r="J1887" s="162"/>
      <c r="K1887" s="162"/>
      <c r="L1887" s="163"/>
    </row>
    <row r="1888" spans="2:12" ht="19.2" customHeight="1" x14ac:dyDescent="0.3">
      <c r="B1888" s="161"/>
      <c r="C1888" s="162"/>
      <c r="D1888" s="163"/>
      <c r="E1888" s="162"/>
      <c r="F1888" s="162"/>
      <c r="G1888" s="162"/>
      <c r="H1888" s="162"/>
      <c r="I1888" s="162"/>
      <c r="J1888" s="162"/>
      <c r="K1888" s="162"/>
      <c r="L1888" s="163"/>
    </row>
    <row r="1889" spans="2:12" ht="19.2" customHeight="1" x14ac:dyDescent="0.3">
      <c r="B1889" s="161"/>
      <c r="C1889" s="162"/>
      <c r="D1889" s="163"/>
      <c r="E1889" s="162"/>
      <c r="F1889" s="162"/>
      <c r="G1889" s="162"/>
      <c r="H1889" s="162"/>
      <c r="I1889" s="162"/>
      <c r="J1889" s="162"/>
      <c r="K1889" s="162"/>
      <c r="L1889" s="163"/>
    </row>
    <row r="1890" spans="2:12" ht="19.2" customHeight="1" x14ac:dyDescent="0.3">
      <c r="B1890" s="161"/>
      <c r="C1890" s="162"/>
      <c r="D1890" s="163"/>
      <c r="E1890" s="162"/>
      <c r="F1890" s="162"/>
      <c r="G1890" s="162"/>
      <c r="H1890" s="162"/>
      <c r="I1890" s="162"/>
      <c r="J1890" s="162"/>
      <c r="K1890" s="162"/>
      <c r="L1890" s="163"/>
    </row>
    <row r="1891" spans="2:12" ht="19.2" customHeight="1" x14ac:dyDescent="0.3">
      <c r="B1891" s="161"/>
      <c r="C1891" s="162"/>
      <c r="D1891" s="163"/>
      <c r="E1891" s="162"/>
      <c r="F1891" s="162"/>
      <c r="G1891" s="162"/>
      <c r="H1891" s="162"/>
      <c r="I1891" s="162"/>
      <c r="J1891" s="162"/>
      <c r="K1891" s="162"/>
      <c r="L1891" s="163"/>
    </row>
    <row r="1892" spans="2:12" ht="19.2" customHeight="1" x14ac:dyDescent="0.3">
      <c r="B1892" s="161"/>
      <c r="C1892" s="162"/>
      <c r="D1892" s="163"/>
      <c r="E1892" s="162"/>
      <c r="F1892" s="162"/>
      <c r="G1892" s="162"/>
      <c r="H1892" s="162"/>
      <c r="I1892" s="162"/>
      <c r="J1892" s="162"/>
      <c r="K1892" s="162"/>
      <c r="L1892" s="163"/>
    </row>
    <row r="1893" spans="2:12" ht="19.2" customHeight="1" x14ac:dyDescent="0.3">
      <c r="B1893" s="161"/>
      <c r="C1893" s="162"/>
      <c r="D1893" s="163"/>
      <c r="E1893" s="162"/>
      <c r="F1893" s="162"/>
      <c r="G1893" s="162"/>
      <c r="H1893" s="162"/>
      <c r="I1893" s="162"/>
      <c r="J1893" s="162"/>
      <c r="K1893" s="162"/>
      <c r="L1893" s="163"/>
    </row>
    <row r="1894" spans="2:12" ht="19.2" customHeight="1" x14ac:dyDescent="0.3">
      <c r="B1894" s="161"/>
      <c r="C1894" s="162"/>
      <c r="D1894" s="163"/>
      <c r="E1894" s="162"/>
      <c r="F1894" s="162"/>
      <c r="G1894" s="162"/>
      <c r="H1894" s="162"/>
      <c r="I1894" s="162"/>
      <c r="J1894" s="162"/>
      <c r="K1894" s="162"/>
      <c r="L1894" s="163"/>
    </row>
    <row r="1895" spans="2:12" ht="19.2" customHeight="1" x14ac:dyDescent="0.3">
      <c r="B1895" s="161"/>
      <c r="C1895" s="162"/>
      <c r="D1895" s="163"/>
      <c r="E1895" s="162"/>
      <c r="F1895" s="162"/>
      <c r="G1895" s="162"/>
      <c r="H1895" s="162"/>
      <c r="I1895" s="162"/>
      <c r="J1895" s="162"/>
      <c r="K1895" s="162"/>
      <c r="L1895" s="163"/>
    </row>
    <row r="1896" spans="2:12" ht="19.2" customHeight="1" x14ac:dyDescent="0.3">
      <c r="B1896" s="161"/>
      <c r="C1896" s="162"/>
      <c r="D1896" s="163"/>
      <c r="E1896" s="162"/>
      <c r="F1896" s="162"/>
      <c r="G1896" s="162"/>
      <c r="H1896" s="162"/>
      <c r="I1896" s="162"/>
      <c r="J1896" s="162"/>
      <c r="K1896" s="162"/>
      <c r="L1896" s="163"/>
    </row>
    <row r="1897" spans="2:12" ht="19.2" customHeight="1" x14ac:dyDescent="0.3">
      <c r="B1897" s="161"/>
      <c r="C1897" s="162"/>
      <c r="D1897" s="163"/>
      <c r="E1897" s="162"/>
      <c r="F1897" s="162"/>
      <c r="G1897" s="162"/>
      <c r="H1897" s="162"/>
      <c r="I1897" s="162"/>
      <c r="J1897" s="162"/>
      <c r="K1897" s="162"/>
      <c r="L1897" s="163"/>
    </row>
    <row r="1898" spans="2:12" ht="19.2" customHeight="1" x14ac:dyDescent="0.3">
      <c r="B1898" s="161"/>
      <c r="C1898" s="162"/>
      <c r="D1898" s="163"/>
      <c r="E1898" s="162"/>
      <c r="F1898" s="162"/>
      <c r="G1898" s="162"/>
      <c r="H1898" s="162"/>
      <c r="I1898" s="162"/>
      <c r="J1898" s="162"/>
      <c r="K1898" s="162"/>
      <c r="L1898" s="163"/>
    </row>
    <row r="1899" spans="2:12" ht="19.2" customHeight="1" x14ac:dyDescent="0.3">
      <c r="B1899" s="161"/>
      <c r="C1899" s="162"/>
      <c r="D1899" s="163"/>
      <c r="E1899" s="162"/>
      <c r="F1899" s="162"/>
      <c r="G1899" s="162"/>
      <c r="H1899" s="162"/>
      <c r="I1899" s="162"/>
      <c r="J1899" s="162"/>
      <c r="K1899" s="162"/>
      <c r="L1899" s="163"/>
    </row>
    <row r="1900" spans="2:12" ht="19.2" customHeight="1" x14ac:dyDescent="0.3">
      <c r="B1900" s="161"/>
      <c r="C1900" s="162"/>
      <c r="D1900" s="163"/>
      <c r="E1900" s="162"/>
      <c r="F1900" s="162"/>
      <c r="G1900" s="162"/>
      <c r="H1900" s="162"/>
      <c r="I1900" s="162"/>
      <c r="J1900" s="162"/>
      <c r="K1900" s="162"/>
      <c r="L1900" s="163"/>
    </row>
    <row r="1901" spans="2:12" ht="19.2" customHeight="1" x14ac:dyDescent="0.3">
      <c r="B1901" s="161"/>
      <c r="C1901" s="162"/>
      <c r="D1901" s="163"/>
      <c r="E1901" s="162"/>
      <c r="F1901" s="162"/>
      <c r="G1901" s="162"/>
      <c r="H1901" s="162"/>
      <c r="I1901" s="162"/>
      <c r="J1901" s="162"/>
      <c r="K1901" s="162"/>
      <c r="L1901" s="163"/>
    </row>
    <row r="1902" spans="2:12" ht="19.2" customHeight="1" x14ac:dyDescent="0.3">
      <c r="B1902" s="161"/>
      <c r="C1902" s="162"/>
      <c r="D1902" s="163"/>
      <c r="E1902" s="162"/>
      <c r="F1902" s="162"/>
      <c r="G1902" s="162"/>
      <c r="H1902" s="162"/>
      <c r="I1902" s="162"/>
      <c r="J1902" s="162"/>
      <c r="K1902" s="162"/>
      <c r="L1902" s="163"/>
    </row>
    <row r="1903" spans="2:12" ht="19.2" customHeight="1" x14ac:dyDescent="0.3">
      <c r="B1903" s="161"/>
      <c r="C1903" s="162"/>
      <c r="D1903" s="163"/>
      <c r="E1903" s="162"/>
      <c r="F1903" s="162"/>
      <c r="G1903" s="162"/>
      <c r="H1903" s="162"/>
      <c r="I1903" s="162"/>
      <c r="J1903" s="162"/>
      <c r="K1903" s="162"/>
      <c r="L1903" s="163"/>
    </row>
    <row r="1904" spans="2:12" ht="19.2" customHeight="1" x14ac:dyDescent="0.3">
      <c r="B1904" s="161"/>
      <c r="C1904" s="162"/>
      <c r="D1904" s="163"/>
      <c r="E1904" s="162"/>
      <c r="F1904" s="162"/>
      <c r="G1904" s="162"/>
      <c r="H1904" s="162"/>
      <c r="I1904" s="162"/>
      <c r="J1904" s="162"/>
      <c r="K1904" s="162"/>
      <c r="L1904" s="163"/>
    </row>
    <row r="1905" spans="2:12" ht="19.2" customHeight="1" x14ac:dyDescent="0.3">
      <c r="B1905" s="161"/>
      <c r="C1905" s="162"/>
      <c r="D1905" s="163"/>
      <c r="E1905" s="162"/>
      <c r="F1905" s="162"/>
      <c r="G1905" s="162"/>
      <c r="H1905" s="162"/>
      <c r="I1905" s="162"/>
      <c r="J1905" s="162"/>
      <c r="K1905" s="162"/>
      <c r="L1905" s="163"/>
    </row>
    <row r="1906" spans="2:12" ht="19.2" customHeight="1" x14ac:dyDescent="0.3">
      <c r="B1906" s="161"/>
      <c r="C1906" s="162"/>
      <c r="D1906" s="163"/>
      <c r="E1906" s="162"/>
      <c r="F1906" s="162"/>
      <c r="G1906" s="162"/>
      <c r="H1906" s="162"/>
      <c r="I1906" s="162"/>
      <c r="J1906" s="162"/>
      <c r="K1906" s="162"/>
      <c r="L1906" s="163"/>
    </row>
    <row r="1907" spans="2:12" ht="19.2" customHeight="1" x14ac:dyDescent="0.3">
      <c r="B1907" s="161"/>
      <c r="C1907" s="162"/>
      <c r="D1907" s="163"/>
      <c r="E1907" s="162"/>
      <c r="F1907" s="162"/>
      <c r="G1907" s="162"/>
      <c r="H1907" s="162"/>
      <c r="I1907" s="162"/>
      <c r="J1907" s="162"/>
      <c r="K1907" s="162"/>
      <c r="L1907" s="163"/>
    </row>
    <row r="1908" spans="2:12" ht="19.2" customHeight="1" x14ac:dyDescent="0.3">
      <c r="B1908" s="161"/>
      <c r="C1908" s="162"/>
      <c r="D1908" s="163"/>
      <c r="E1908" s="162"/>
      <c r="F1908" s="162"/>
      <c r="G1908" s="162"/>
      <c r="H1908" s="162"/>
      <c r="I1908" s="162"/>
      <c r="J1908" s="162"/>
      <c r="K1908" s="162"/>
      <c r="L1908" s="163"/>
    </row>
    <row r="1909" spans="2:12" ht="19.2" customHeight="1" x14ac:dyDescent="0.3">
      <c r="B1909" s="161"/>
      <c r="C1909" s="162"/>
      <c r="D1909" s="163"/>
      <c r="E1909" s="162"/>
      <c r="F1909" s="162"/>
      <c r="G1909" s="162"/>
      <c r="H1909" s="162"/>
      <c r="I1909" s="162"/>
      <c r="J1909" s="162"/>
      <c r="K1909" s="162"/>
      <c r="L1909" s="163"/>
    </row>
    <row r="1910" spans="2:12" ht="19.2" customHeight="1" x14ac:dyDescent="0.3">
      <c r="B1910" s="161"/>
      <c r="C1910" s="162"/>
      <c r="D1910" s="163"/>
      <c r="E1910" s="162"/>
      <c r="F1910" s="162"/>
      <c r="G1910" s="162"/>
      <c r="H1910" s="162"/>
      <c r="I1910" s="162"/>
      <c r="J1910" s="162"/>
      <c r="K1910" s="162"/>
      <c r="L1910" s="163"/>
    </row>
    <row r="1911" spans="2:12" ht="19.2" customHeight="1" x14ac:dyDescent="0.3">
      <c r="B1911" s="161"/>
      <c r="C1911" s="162"/>
      <c r="D1911" s="163"/>
      <c r="E1911" s="162"/>
      <c r="F1911" s="162"/>
      <c r="G1911" s="162"/>
      <c r="H1911" s="162"/>
      <c r="I1911" s="162"/>
      <c r="J1911" s="162"/>
      <c r="K1911" s="162"/>
      <c r="L1911" s="163"/>
    </row>
    <row r="1912" spans="2:12" ht="19.2" customHeight="1" x14ac:dyDescent="0.3">
      <c r="B1912" s="161"/>
      <c r="C1912" s="162"/>
      <c r="D1912" s="163"/>
      <c r="E1912" s="162"/>
      <c r="F1912" s="162"/>
      <c r="G1912" s="162"/>
      <c r="H1912" s="162"/>
      <c r="I1912" s="162"/>
      <c r="J1912" s="162"/>
      <c r="K1912" s="162"/>
      <c r="L1912" s="163"/>
    </row>
    <row r="1913" spans="2:12" ht="19.2" customHeight="1" x14ac:dyDescent="0.3">
      <c r="B1913" s="161"/>
      <c r="C1913" s="162"/>
      <c r="D1913" s="163"/>
      <c r="E1913" s="162"/>
      <c r="F1913" s="162"/>
      <c r="G1913" s="162"/>
      <c r="H1913" s="162"/>
      <c r="I1913" s="162"/>
      <c r="J1913" s="162"/>
      <c r="K1913" s="162"/>
      <c r="L1913" s="163"/>
    </row>
    <row r="1914" spans="2:12" ht="19.2" customHeight="1" x14ac:dyDescent="0.3">
      <c r="B1914" s="161"/>
      <c r="C1914" s="162"/>
      <c r="D1914" s="163"/>
      <c r="E1914" s="162"/>
      <c r="F1914" s="162"/>
      <c r="G1914" s="162"/>
      <c r="H1914" s="162"/>
      <c r="I1914" s="162"/>
      <c r="J1914" s="162"/>
      <c r="K1914" s="162"/>
      <c r="L1914" s="163"/>
    </row>
    <row r="1915" spans="2:12" ht="19.2" customHeight="1" x14ac:dyDescent="0.3">
      <c r="B1915" s="161"/>
      <c r="C1915" s="162"/>
      <c r="D1915" s="163"/>
      <c r="E1915" s="162"/>
      <c r="F1915" s="162"/>
      <c r="G1915" s="162"/>
      <c r="H1915" s="162"/>
      <c r="I1915" s="162"/>
      <c r="J1915" s="162"/>
      <c r="K1915" s="162"/>
      <c r="L1915" s="163"/>
    </row>
    <row r="1916" spans="2:12" ht="19.2" customHeight="1" x14ac:dyDescent="0.3">
      <c r="B1916" s="161"/>
      <c r="C1916" s="162"/>
      <c r="D1916" s="163"/>
      <c r="E1916" s="162"/>
      <c r="F1916" s="162"/>
      <c r="G1916" s="162"/>
      <c r="H1916" s="162"/>
      <c r="I1916" s="162"/>
      <c r="J1916" s="162"/>
      <c r="K1916" s="162"/>
      <c r="L1916" s="163"/>
    </row>
    <row r="1917" spans="2:12" ht="19.2" customHeight="1" x14ac:dyDescent="0.3">
      <c r="B1917" s="161"/>
      <c r="C1917" s="162"/>
      <c r="D1917" s="163"/>
      <c r="E1917" s="162"/>
      <c r="F1917" s="162"/>
      <c r="G1917" s="162"/>
      <c r="H1917" s="162"/>
      <c r="I1917" s="162"/>
      <c r="J1917" s="162"/>
      <c r="K1917" s="162"/>
      <c r="L1917" s="163"/>
    </row>
    <row r="1918" spans="2:12" ht="19.2" customHeight="1" x14ac:dyDescent="0.3">
      <c r="B1918" s="161"/>
      <c r="C1918" s="162"/>
      <c r="D1918" s="163"/>
      <c r="E1918" s="162"/>
      <c r="F1918" s="162"/>
      <c r="G1918" s="162"/>
      <c r="H1918" s="162"/>
      <c r="I1918" s="162"/>
      <c r="J1918" s="162"/>
      <c r="K1918" s="162"/>
      <c r="L1918" s="163"/>
    </row>
    <row r="1919" spans="2:12" ht="19.2" customHeight="1" x14ac:dyDescent="0.3">
      <c r="B1919" s="161"/>
      <c r="C1919" s="162"/>
      <c r="D1919" s="163"/>
      <c r="E1919" s="162"/>
      <c r="F1919" s="162"/>
      <c r="G1919" s="162"/>
      <c r="H1919" s="162"/>
      <c r="I1919" s="162"/>
      <c r="J1919" s="162"/>
      <c r="K1919" s="162"/>
      <c r="L1919" s="163"/>
    </row>
    <row r="1920" spans="2:12" ht="19.2" customHeight="1" x14ac:dyDescent="0.3">
      <c r="B1920" s="161"/>
      <c r="C1920" s="162"/>
      <c r="D1920" s="163"/>
      <c r="E1920" s="162"/>
      <c r="F1920" s="162"/>
      <c r="G1920" s="162"/>
      <c r="H1920" s="162"/>
      <c r="I1920" s="162"/>
      <c r="J1920" s="162"/>
      <c r="K1920" s="162"/>
      <c r="L1920" s="163"/>
    </row>
    <row r="1921" spans="2:12" ht="19.2" customHeight="1" x14ac:dyDescent="0.3">
      <c r="B1921" s="161"/>
      <c r="C1921" s="162"/>
      <c r="D1921" s="163"/>
      <c r="E1921" s="162"/>
      <c r="F1921" s="162"/>
      <c r="G1921" s="162"/>
      <c r="H1921" s="162"/>
      <c r="I1921" s="162"/>
      <c r="J1921" s="162"/>
      <c r="K1921" s="162"/>
      <c r="L1921" s="163"/>
    </row>
    <row r="1922" spans="2:12" ht="19.2" customHeight="1" x14ac:dyDescent="0.3">
      <c r="B1922" s="161"/>
      <c r="C1922" s="162"/>
      <c r="D1922" s="163"/>
      <c r="E1922" s="162"/>
      <c r="F1922" s="162"/>
      <c r="G1922" s="162"/>
      <c r="H1922" s="162"/>
      <c r="I1922" s="162"/>
      <c r="J1922" s="162"/>
      <c r="K1922" s="162"/>
      <c r="L1922" s="163"/>
    </row>
    <row r="1923" spans="2:12" ht="19.2" customHeight="1" x14ac:dyDescent="0.3">
      <c r="B1923" s="161"/>
      <c r="C1923" s="162"/>
      <c r="D1923" s="163"/>
      <c r="E1923" s="162"/>
      <c r="F1923" s="162"/>
      <c r="G1923" s="162"/>
      <c r="H1923" s="162"/>
      <c r="I1923" s="162"/>
      <c r="J1923" s="162"/>
      <c r="K1923" s="162"/>
      <c r="L1923" s="163"/>
    </row>
    <row r="1924" spans="2:12" ht="19.2" customHeight="1" x14ac:dyDescent="0.3">
      <c r="B1924" s="161"/>
      <c r="C1924" s="162"/>
      <c r="D1924" s="163"/>
      <c r="E1924" s="162"/>
      <c r="F1924" s="162"/>
      <c r="G1924" s="162"/>
      <c r="H1924" s="162"/>
      <c r="I1924" s="162"/>
      <c r="J1924" s="162"/>
      <c r="K1924" s="162"/>
      <c r="L1924" s="163"/>
    </row>
    <row r="1925" spans="2:12" ht="19.2" customHeight="1" x14ac:dyDescent="0.3">
      <c r="B1925" s="161"/>
      <c r="C1925" s="162"/>
      <c r="D1925" s="163"/>
      <c r="E1925" s="162"/>
      <c r="F1925" s="162"/>
      <c r="G1925" s="162"/>
      <c r="H1925" s="162"/>
      <c r="I1925" s="162"/>
      <c r="J1925" s="162"/>
      <c r="K1925" s="162"/>
      <c r="L1925" s="163"/>
    </row>
    <row r="1926" spans="2:12" ht="19.2" customHeight="1" x14ac:dyDescent="0.3">
      <c r="B1926" s="161"/>
      <c r="C1926" s="162"/>
      <c r="D1926" s="163"/>
      <c r="E1926" s="162"/>
      <c r="F1926" s="162"/>
      <c r="G1926" s="162"/>
      <c r="H1926" s="162"/>
      <c r="I1926" s="162"/>
      <c r="J1926" s="162"/>
      <c r="K1926" s="162"/>
      <c r="L1926" s="163"/>
    </row>
    <row r="1927" spans="2:12" ht="19.2" customHeight="1" x14ac:dyDescent="0.3">
      <c r="B1927" s="161"/>
      <c r="C1927" s="162"/>
      <c r="D1927" s="163"/>
      <c r="E1927" s="162"/>
      <c r="F1927" s="162"/>
      <c r="G1927" s="162"/>
      <c r="H1927" s="162"/>
      <c r="I1927" s="162"/>
      <c r="J1927" s="162"/>
      <c r="K1927" s="162"/>
      <c r="L1927" s="163"/>
    </row>
    <row r="1928" spans="2:12" ht="19.2" customHeight="1" x14ac:dyDescent="0.3">
      <c r="B1928" s="161"/>
      <c r="C1928" s="162"/>
      <c r="D1928" s="163"/>
      <c r="E1928" s="162"/>
      <c r="F1928" s="162"/>
      <c r="G1928" s="162"/>
      <c r="H1928" s="162"/>
      <c r="I1928" s="162"/>
      <c r="J1928" s="162"/>
      <c r="K1928" s="162"/>
      <c r="L1928" s="163"/>
    </row>
    <row r="1929" spans="2:12" ht="19.2" customHeight="1" x14ac:dyDescent="0.3">
      <c r="B1929" s="161"/>
      <c r="C1929" s="162"/>
      <c r="D1929" s="163"/>
      <c r="E1929" s="162"/>
      <c r="F1929" s="162"/>
      <c r="G1929" s="162"/>
      <c r="H1929" s="162"/>
      <c r="I1929" s="162"/>
      <c r="J1929" s="162"/>
      <c r="K1929" s="162"/>
      <c r="L1929" s="163"/>
    </row>
    <row r="1930" spans="2:12" ht="19.2" customHeight="1" x14ac:dyDescent="0.3">
      <c r="B1930" s="161"/>
      <c r="C1930" s="162"/>
      <c r="D1930" s="163"/>
      <c r="E1930" s="162"/>
      <c r="F1930" s="162"/>
      <c r="G1930" s="162"/>
      <c r="H1930" s="162"/>
      <c r="I1930" s="162"/>
      <c r="J1930" s="162"/>
      <c r="K1930" s="162"/>
      <c r="L1930" s="163"/>
    </row>
    <row r="1931" spans="2:12" ht="19.2" customHeight="1" x14ac:dyDescent="0.3">
      <c r="B1931" s="161"/>
      <c r="C1931" s="162"/>
      <c r="D1931" s="163"/>
      <c r="E1931" s="162"/>
      <c r="F1931" s="162"/>
      <c r="G1931" s="162"/>
      <c r="H1931" s="162"/>
      <c r="I1931" s="162"/>
      <c r="J1931" s="162"/>
      <c r="K1931" s="162"/>
      <c r="L1931" s="163"/>
    </row>
    <row r="1932" spans="2:12" ht="19.2" customHeight="1" x14ac:dyDescent="0.3">
      <c r="B1932" s="161"/>
      <c r="C1932" s="162"/>
      <c r="D1932" s="163"/>
      <c r="E1932" s="162"/>
      <c r="F1932" s="162"/>
      <c r="G1932" s="162"/>
      <c r="H1932" s="162"/>
      <c r="I1932" s="162"/>
      <c r="J1932" s="162"/>
      <c r="K1932" s="162"/>
      <c r="L1932" s="163"/>
    </row>
    <row r="1933" spans="2:12" ht="19.2" customHeight="1" x14ac:dyDescent="0.3">
      <c r="B1933" s="161"/>
      <c r="C1933" s="162"/>
      <c r="D1933" s="163"/>
      <c r="E1933" s="162"/>
      <c r="F1933" s="162"/>
      <c r="G1933" s="162"/>
      <c r="H1933" s="162"/>
      <c r="I1933" s="162"/>
      <c r="J1933" s="162"/>
      <c r="K1933" s="162"/>
      <c r="L1933" s="163"/>
    </row>
    <row r="1934" spans="2:12" ht="19.2" customHeight="1" x14ac:dyDescent="0.3">
      <c r="B1934" s="161"/>
      <c r="C1934" s="162"/>
      <c r="D1934" s="163"/>
      <c r="E1934" s="162"/>
      <c r="F1934" s="162"/>
      <c r="G1934" s="162"/>
      <c r="H1934" s="162"/>
      <c r="I1934" s="162"/>
      <c r="J1934" s="162"/>
      <c r="K1934" s="162"/>
      <c r="L1934" s="163"/>
    </row>
    <row r="1935" spans="2:12" ht="19.2" customHeight="1" x14ac:dyDescent="0.3">
      <c r="B1935" s="161"/>
      <c r="C1935" s="162"/>
      <c r="D1935" s="163"/>
      <c r="E1935" s="162"/>
      <c r="F1935" s="162"/>
      <c r="G1935" s="162"/>
      <c r="H1935" s="162"/>
      <c r="I1935" s="162"/>
      <c r="J1935" s="162"/>
      <c r="K1935" s="162"/>
      <c r="L1935" s="163"/>
    </row>
    <row r="1936" spans="2:12" ht="19.2" customHeight="1" x14ac:dyDescent="0.3">
      <c r="B1936" s="161"/>
      <c r="C1936" s="162"/>
      <c r="D1936" s="163"/>
      <c r="E1936" s="162"/>
      <c r="F1936" s="162"/>
      <c r="G1936" s="162"/>
      <c r="H1936" s="162"/>
      <c r="I1936" s="162"/>
      <c r="J1936" s="162"/>
      <c r="K1936" s="162"/>
      <c r="L1936" s="163"/>
    </row>
    <row r="1937" spans="2:12" ht="19.2" customHeight="1" x14ac:dyDescent="0.3">
      <c r="B1937" s="161"/>
      <c r="C1937" s="162"/>
      <c r="D1937" s="163"/>
      <c r="E1937" s="162"/>
      <c r="F1937" s="162"/>
      <c r="G1937" s="162"/>
      <c r="H1937" s="162"/>
      <c r="I1937" s="162"/>
      <c r="J1937" s="162"/>
      <c r="K1937" s="162"/>
      <c r="L1937" s="163"/>
    </row>
    <row r="1938" spans="2:12" ht="19.2" customHeight="1" x14ac:dyDescent="0.3">
      <c r="B1938" s="161"/>
      <c r="C1938" s="162"/>
      <c r="D1938" s="163"/>
      <c r="E1938" s="162"/>
      <c r="F1938" s="162"/>
      <c r="G1938" s="162"/>
      <c r="H1938" s="162"/>
      <c r="I1938" s="162"/>
      <c r="J1938" s="162"/>
      <c r="K1938" s="162"/>
      <c r="L1938" s="163"/>
    </row>
    <row r="1939" spans="2:12" ht="19.2" customHeight="1" x14ac:dyDescent="0.3">
      <c r="B1939" s="161"/>
      <c r="C1939" s="162"/>
      <c r="D1939" s="163"/>
      <c r="E1939" s="162"/>
      <c r="F1939" s="162"/>
      <c r="G1939" s="162"/>
      <c r="H1939" s="162"/>
      <c r="I1939" s="162"/>
      <c r="J1939" s="162"/>
      <c r="K1939" s="162"/>
      <c r="L1939" s="163"/>
    </row>
    <row r="1940" spans="2:12" ht="19.2" customHeight="1" x14ac:dyDescent="0.3">
      <c r="B1940" s="161"/>
      <c r="C1940" s="162"/>
      <c r="D1940" s="163"/>
      <c r="E1940" s="162"/>
      <c r="F1940" s="162"/>
      <c r="G1940" s="162"/>
      <c r="H1940" s="162"/>
      <c r="I1940" s="162"/>
      <c r="J1940" s="162"/>
      <c r="K1940" s="162"/>
      <c r="L1940" s="163"/>
    </row>
    <row r="1941" spans="2:12" ht="19.2" customHeight="1" x14ac:dyDescent="0.3">
      <c r="B1941" s="161"/>
      <c r="C1941" s="162"/>
      <c r="D1941" s="163"/>
      <c r="E1941" s="162"/>
      <c r="F1941" s="162"/>
      <c r="G1941" s="162"/>
      <c r="H1941" s="162"/>
      <c r="I1941" s="162"/>
      <c r="J1941" s="162"/>
      <c r="K1941" s="162"/>
      <c r="L1941" s="163"/>
    </row>
    <row r="1942" spans="2:12" ht="19.2" customHeight="1" x14ac:dyDescent="0.3">
      <c r="B1942" s="161"/>
      <c r="C1942" s="162"/>
      <c r="D1942" s="163"/>
      <c r="E1942" s="162"/>
      <c r="F1942" s="162"/>
      <c r="G1942" s="162"/>
      <c r="H1942" s="162"/>
      <c r="I1942" s="162"/>
      <c r="J1942" s="162"/>
      <c r="K1942" s="162"/>
      <c r="L1942" s="163"/>
    </row>
    <row r="1943" spans="2:12" ht="19.2" customHeight="1" x14ac:dyDescent="0.3">
      <c r="B1943" s="161"/>
      <c r="C1943" s="162"/>
      <c r="D1943" s="163"/>
      <c r="E1943" s="162"/>
      <c r="F1943" s="162"/>
      <c r="G1943" s="162"/>
      <c r="H1943" s="162"/>
      <c r="I1943" s="162"/>
      <c r="J1943" s="162"/>
      <c r="K1943" s="162"/>
      <c r="L1943" s="163"/>
    </row>
    <row r="1944" spans="2:12" ht="19.2" customHeight="1" x14ac:dyDescent="0.3">
      <c r="B1944" s="161"/>
      <c r="C1944" s="162"/>
      <c r="D1944" s="163"/>
      <c r="E1944" s="162"/>
      <c r="F1944" s="162"/>
      <c r="G1944" s="162"/>
      <c r="H1944" s="162"/>
      <c r="I1944" s="162"/>
      <c r="J1944" s="162"/>
      <c r="K1944" s="162"/>
      <c r="L1944" s="163"/>
    </row>
    <row r="1945" spans="2:12" ht="19.2" customHeight="1" x14ac:dyDescent="0.3">
      <c r="B1945" s="161"/>
      <c r="C1945" s="162"/>
      <c r="D1945" s="163"/>
      <c r="E1945" s="162"/>
      <c r="F1945" s="162"/>
      <c r="G1945" s="162"/>
      <c r="H1945" s="162"/>
      <c r="I1945" s="162"/>
      <c r="J1945" s="162"/>
      <c r="K1945" s="162"/>
      <c r="L1945" s="163"/>
    </row>
    <row r="1946" spans="2:12" ht="19.2" customHeight="1" x14ac:dyDescent="0.3">
      <c r="B1946" s="161"/>
      <c r="C1946" s="162"/>
      <c r="D1946" s="163"/>
      <c r="E1946" s="162"/>
      <c r="F1946" s="162"/>
      <c r="G1946" s="162"/>
      <c r="H1946" s="162"/>
      <c r="I1946" s="162"/>
      <c r="J1946" s="162"/>
      <c r="K1946" s="162"/>
      <c r="L1946" s="163"/>
    </row>
    <row r="1947" spans="2:12" ht="19.2" customHeight="1" x14ac:dyDescent="0.3">
      <c r="B1947" s="161"/>
      <c r="C1947" s="162"/>
      <c r="D1947" s="163"/>
      <c r="E1947" s="162"/>
      <c r="F1947" s="162"/>
      <c r="G1947" s="162"/>
      <c r="H1947" s="162"/>
      <c r="I1947" s="162"/>
      <c r="J1947" s="162"/>
      <c r="K1947" s="162"/>
      <c r="L1947" s="163"/>
    </row>
    <row r="1948" spans="2:12" ht="19.2" customHeight="1" x14ac:dyDescent="0.3">
      <c r="B1948" s="161"/>
      <c r="C1948" s="162"/>
      <c r="D1948" s="163"/>
      <c r="E1948" s="162"/>
      <c r="F1948" s="162"/>
      <c r="G1948" s="162"/>
      <c r="H1948" s="162"/>
      <c r="I1948" s="162"/>
      <c r="J1948" s="162"/>
      <c r="K1948" s="162"/>
      <c r="L1948" s="163"/>
    </row>
    <row r="1949" spans="2:12" ht="19.2" customHeight="1" x14ac:dyDescent="0.3">
      <c r="B1949" s="161"/>
      <c r="C1949" s="162"/>
      <c r="D1949" s="163"/>
      <c r="E1949" s="162"/>
      <c r="F1949" s="162"/>
      <c r="G1949" s="162"/>
      <c r="H1949" s="162"/>
      <c r="I1949" s="162"/>
      <c r="J1949" s="162"/>
      <c r="K1949" s="162"/>
      <c r="L1949" s="163"/>
    </row>
    <row r="1950" spans="2:12" ht="19.2" customHeight="1" x14ac:dyDescent="0.3">
      <c r="B1950" s="161"/>
      <c r="C1950" s="162"/>
      <c r="D1950" s="163"/>
      <c r="E1950" s="162"/>
      <c r="F1950" s="162"/>
      <c r="G1950" s="162"/>
      <c r="H1950" s="162"/>
      <c r="I1950" s="162"/>
      <c r="J1950" s="162"/>
      <c r="K1950" s="162"/>
      <c r="L1950" s="163"/>
    </row>
    <row r="1951" spans="2:12" ht="19.2" customHeight="1" x14ac:dyDescent="0.3">
      <c r="B1951" s="161"/>
      <c r="C1951" s="162"/>
      <c r="D1951" s="163"/>
      <c r="E1951" s="162"/>
      <c r="F1951" s="162"/>
      <c r="G1951" s="162"/>
      <c r="H1951" s="162"/>
      <c r="I1951" s="162"/>
      <c r="J1951" s="162"/>
      <c r="K1951" s="162"/>
      <c r="L1951" s="163"/>
    </row>
    <row r="1952" spans="2:12" ht="19.2" customHeight="1" x14ac:dyDescent="0.3">
      <c r="B1952" s="161"/>
      <c r="C1952" s="162"/>
      <c r="D1952" s="163"/>
      <c r="E1952" s="162"/>
      <c r="F1952" s="162"/>
      <c r="G1952" s="162"/>
      <c r="H1952" s="162"/>
      <c r="I1952" s="162"/>
      <c r="J1952" s="162"/>
      <c r="K1952" s="162"/>
      <c r="L1952" s="163"/>
    </row>
    <row r="1953" spans="2:12" ht="19.2" customHeight="1" x14ac:dyDescent="0.3">
      <c r="B1953" s="161"/>
      <c r="C1953" s="162"/>
      <c r="D1953" s="163"/>
      <c r="E1953" s="162"/>
      <c r="F1953" s="162"/>
      <c r="G1953" s="162"/>
      <c r="H1953" s="162"/>
      <c r="I1953" s="162"/>
      <c r="J1953" s="162"/>
      <c r="K1953" s="162"/>
      <c r="L1953" s="163"/>
    </row>
    <row r="1954" spans="2:12" ht="19.2" customHeight="1" x14ac:dyDescent="0.3">
      <c r="B1954" s="161"/>
      <c r="C1954" s="162"/>
      <c r="D1954" s="163"/>
      <c r="E1954" s="162"/>
      <c r="F1954" s="162"/>
      <c r="G1954" s="162"/>
      <c r="H1954" s="162"/>
      <c r="I1954" s="162"/>
      <c r="J1954" s="162"/>
      <c r="K1954" s="162"/>
      <c r="L1954" s="163"/>
    </row>
    <row r="1955" spans="2:12" ht="19.2" customHeight="1" x14ac:dyDescent="0.3">
      <c r="B1955" s="161"/>
      <c r="C1955" s="162"/>
      <c r="D1955" s="163"/>
      <c r="E1955" s="162"/>
      <c r="F1955" s="162"/>
      <c r="G1955" s="162"/>
      <c r="H1955" s="162"/>
      <c r="I1955" s="162"/>
      <c r="J1955" s="162"/>
      <c r="K1955" s="162"/>
      <c r="L1955" s="163"/>
    </row>
    <row r="1956" spans="2:12" ht="19.2" customHeight="1" x14ac:dyDescent="0.3">
      <c r="B1956" s="161"/>
      <c r="C1956" s="162"/>
      <c r="D1956" s="163"/>
      <c r="E1956" s="162"/>
      <c r="F1956" s="162"/>
      <c r="G1956" s="162"/>
      <c r="H1956" s="162"/>
      <c r="I1956" s="162"/>
      <c r="J1956" s="162"/>
      <c r="K1956" s="162"/>
      <c r="L1956" s="163"/>
    </row>
    <row r="1957" spans="2:12" ht="19.2" customHeight="1" x14ac:dyDescent="0.3">
      <c r="B1957" s="161"/>
      <c r="C1957" s="162"/>
      <c r="D1957" s="163"/>
      <c r="E1957" s="162"/>
      <c r="F1957" s="162"/>
      <c r="G1957" s="162"/>
      <c r="H1957" s="162"/>
      <c r="I1957" s="162"/>
      <c r="J1957" s="162"/>
      <c r="K1957" s="162"/>
      <c r="L1957" s="163"/>
    </row>
    <row r="1958" spans="2:12" ht="19.2" customHeight="1" x14ac:dyDescent="0.3">
      <c r="B1958" s="161"/>
      <c r="C1958" s="162"/>
      <c r="D1958" s="163"/>
      <c r="E1958" s="162"/>
      <c r="F1958" s="162"/>
      <c r="G1958" s="162"/>
      <c r="H1958" s="162"/>
      <c r="I1958" s="162"/>
      <c r="J1958" s="162"/>
      <c r="K1958" s="162"/>
      <c r="L1958" s="163"/>
    </row>
    <row r="1959" spans="2:12" ht="19.2" customHeight="1" x14ac:dyDescent="0.3">
      <c r="B1959" s="161"/>
      <c r="C1959" s="162"/>
      <c r="D1959" s="163"/>
      <c r="E1959" s="162"/>
      <c r="F1959" s="162"/>
      <c r="G1959" s="162"/>
      <c r="H1959" s="162"/>
      <c r="I1959" s="162"/>
      <c r="J1959" s="162"/>
      <c r="K1959" s="162"/>
      <c r="L1959" s="163"/>
    </row>
    <row r="1960" spans="2:12" ht="19.2" customHeight="1" x14ac:dyDescent="0.3">
      <c r="B1960" s="161"/>
      <c r="C1960" s="162"/>
      <c r="D1960" s="163"/>
      <c r="E1960" s="162"/>
      <c r="F1960" s="162"/>
      <c r="G1960" s="162"/>
      <c r="H1960" s="162"/>
      <c r="I1960" s="162"/>
      <c r="J1960" s="162"/>
      <c r="K1960" s="162"/>
      <c r="L1960" s="163"/>
    </row>
    <row r="1961" spans="2:12" ht="19.2" customHeight="1" x14ac:dyDescent="0.3">
      <c r="B1961" s="161"/>
      <c r="C1961" s="162"/>
      <c r="D1961" s="163"/>
      <c r="E1961" s="162"/>
      <c r="F1961" s="162"/>
      <c r="G1961" s="162"/>
      <c r="H1961" s="162"/>
      <c r="I1961" s="162"/>
      <c r="J1961" s="162"/>
      <c r="K1961" s="162"/>
      <c r="L1961" s="163"/>
    </row>
    <row r="1962" spans="2:12" ht="19.2" customHeight="1" x14ac:dyDescent="0.3">
      <c r="B1962" s="161"/>
      <c r="C1962" s="162"/>
      <c r="D1962" s="163"/>
      <c r="E1962" s="162"/>
      <c r="F1962" s="162"/>
      <c r="G1962" s="162"/>
      <c r="H1962" s="162"/>
      <c r="I1962" s="162"/>
      <c r="J1962" s="162"/>
      <c r="K1962" s="162"/>
      <c r="L1962" s="163"/>
    </row>
    <row r="1963" spans="2:12" ht="19.2" customHeight="1" x14ac:dyDescent="0.3">
      <c r="B1963" s="161"/>
      <c r="C1963" s="162"/>
      <c r="D1963" s="163"/>
      <c r="E1963" s="162"/>
      <c r="F1963" s="162"/>
      <c r="G1963" s="162"/>
      <c r="H1963" s="162"/>
      <c r="I1963" s="162"/>
      <c r="J1963" s="162"/>
      <c r="K1963" s="162"/>
      <c r="L1963" s="163"/>
    </row>
    <row r="1964" spans="2:12" ht="19.2" customHeight="1" x14ac:dyDescent="0.3">
      <c r="B1964" s="161"/>
      <c r="C1964" s="162"/>
      <c r="D1964" s="163"/>
      <c r="E1964" s="162"/>
      <c r="F1964" s="162"/>
      <c r="G1964" s="162"/>
      <c r="H1964" s="162"/>
      <c r="I1964" s="162"/>
      <c r="J1964" s="162"/>
      <c r="K1964" s="162"/>
      <c r="L1964" s="163"/>
    </row>
    <row r="1965" spans="2:12" ht="19.2" customHeight="1" x14ac:dyDescent="0.3">
      <c r="B1965" s="161"/>
      <c r="C1965" s="162"/>
      <c r="D1965" s="163"/>
      <c r="E1965" s="162"/>
      <c r="F1965" s="162"/>
      <c r="G1965" s="162"/>
      <c r="H1965" s="162"/>
      <c r="I1965" s="162"/>
      <c r="J1965" s="162"/>
      <c r="K1965" s="162"/>
      <c r="L1965" s="163"/>
    </row>
    <row r="1966" spans="2:12" ht="19.2" customHeight="1" x14ac:dyDescent="0.3">
      <c r="B1966" s="161"/>
      <c r="C1966" s="162"/>
      <c r="D1966" s="163"/>
      <c r="E1966" s="162"/>
      <c r="F1966" s="162"/>
      <c r="G1966" s="162"/>
      <c r="H1966" s="162"/>
      <c r="I1966" s="162"/>
      <c r="J1966" s="162"/>
      <c r="K1966" s="162"/>
      <c r="L1966" s="163"/>
    </row>
    <row r="1967" spans="2:12" ht="19.2" customHeight="1" x14ac:dyDescent="0.3">
      <c r="B1967" s="161"/>
      <c r="C1967" s="162"/>
      <c r="D1967" s="163"/>
      <c r="E1967" s="162"/>
      <c r="F1967" s="162"/>
      <c r="G1967" s="162"/>
      <c r="H1967" s="162"/>
      <c r="I1967" s="162"/>
      <c r="J1967" s="162"/>
      <c r="K1967" s="162"/>
      <c r="L1967" s="163"/>
    </row>
    <row r="1968" spans="2:12" ht="19.2" customHeight="1" x14ac:dyDescent="0.3">
      <c r="B1968" s="161"/>
      <c r="C1968" s="162"/>
      <c r="D1968" s="163"/>
      <c r="E1968" s="162"/>
      <c r="F1968" s="162"/>
      <c r="G1968" s="162"/>
      <c r="H1968" s="162"/>
      <c r="I1968" s="162"/>
      <c r="J1968" s="162"/>
      <c r="K1968" s="162"/>
      <c r="L1968" s="163"/>
    </row>
    <row r="1969" spans="2:12" ht="19.2" customHeight="1" x14ac:dyDescent="0.3">
      <c r="B1969" s="161"/>
      <c r="C1969" s="162"/>
      <c r="D1969" s="163"/>
      <c r="E1969" s="162"/>
      <c r="F1969" s="162"/>
      <c r="G1969" s="162"/>
      <c r="H1969" s="162"/>
      <c r="I1969" s="162"/>
      <c r="J1969" s="162"/>
      <c r="K1969" s="162"/>
      <c r="L1969" s="163"/>
    </row>
    <row r="1970" spans="2:12" ht="19.2" customHeight="1" x14ac:dyDescent="0.3">
      <c r="B1970" s="161"/>
      <c r="C1970" s="162"/>
      <c r="D1970" s="163"/>
      <c r="E1970" s="162"/>
      <c r="F1970" s="162"/>
      <c r="G1970" s="162"/>
      <c r="H1970" s="162"/>
      <c r="I1970" s="162"/>
      <c r="J1970" s="162"/>
      <c r="K1970" s="162"/>
      <c r="L1970" s="163"/>
    </row>
    <row r="1971" spans="2:12" ht="19.2" customHeight="1" x14ac:dyDescent="0.3">
      <c r="B1971" s="161"/>
      <c r="C1971" s="162"/>
      <c r="D1971" s="163"/>
      <c r="E1971" s="162"/>
      <c r="F1971" s="162"/>
      <c r="G1971" s="162"/>
      <c r="H1971" s="162"/>
      <c r="I1971" s="162"/>
      <c r="J1971" s="162"/>
      <c r="K1971" s="162"/>
      <c r="L1971" s="163"/>
    </row>
    <row r="1972" spans="2:12" ht="19.2" customHeight="1" x14ac:dyDescent="0.3">
      <c r="B1972" s="161"/>
      <c r="C1972" s="162"/>
      <c r="D1972" s="163"/>
      <c r="E1972" s="162"/>
      <c r="F1972" s="162"/>
      <c r="G1972" s="162"/>
      <c r="H1972" s="162"/>
      <c r="I1972" s="162"/>
      <c r="J1972" s="162"/>
      <c r="K1972" s="162"/>
      <c r="L1972" s="163"/>
    </row>
    <row r="1973" spans="2:12" ht="19.2" customHeight="1" x14ac:dyDescent="0.3">
      <c r="B1973" s="161"/>
      <c r="C1973" s="162"/>
      <c r="D1973" s="163"/>
      <c r="E1973" s="162"/>
      <c r="F1973" s="162"/>
      <c r="G1973" s="162"/>
      <c r="H1973" s="162"/>
      <c r="I1973" s="162"/>
      <c r="J1973" s="162"/>
      <c r="K1973" s="162"/>
      <c r="L1973" s="163"/>
    </row>
    <row r="1974" spans="2:12" ht="19.2" customHeight="1" x14ac:dyDescent="0.3">
      <c r="B1974" s="161"/>
      <c r="C1974" s="162"/>
      <c r="D1974" s="163"/>
      <c r="E1974" s="162"/>
      <c r="F1974" s="162"/>
      <c r="G1974" s="162"/>
      <c r="H1974" s="162"/>
      <c r="I1974" s="162"/>
      <c r="J1974" s="162"/>
      <c r="K1974" s="162"/>
      <c r="L1974" s="163"/>
    </row>
    <row r="1975" spans="2:12" ht="19.2" customHeight="1" x14ac:dyDescent="0.3">
      <c r="B1975" s="161"/>
      <c r="C1975" s="162"/>
      <c r="D1975" s="163"/>
      <c r="E1975" s="162"/>
      <c r="F1975" s="162"/>
      <c r="G1975" s="162"/>
      <c r="H1975" s="162"/>
      <c r="I1975" s="162"/>
      <c r="J1975" s="162"/>
      <c r="K1975" s="162"/>
      <c r="L1975" s="163"/>
    </row>
    <row r="1976" spans="2:12" ht="19.2" customHeight="1" x14ac:dyDescent="0.3">
      <c r="B1976" s="161"/>
      <c r="C1976" s="162"/>
      <c r="D1976" s="163"/>
      <c r="E1976" s="162"/>
      <c r="F1976" s="162"/>
      <c r="G1976" s="162"/>
      <c r="H1976" s="162"/>
      <c r="I1976" s="162"/>
      <c r="J1976" s="162"/>
      <c r="K1976" s="162"/>
      <c r="L1976" s="163"/>
    </row>
    <row r="1977" spans="2:12" ht="19.2" customHeight="1" x14ac:dyDescent="0.3">
      <c r="B1977" s="161"/>
      <c r="C1977" s="162"/>
      <c r="D1977" s="163"/>
      <c r="E1977" s="162"/>
      <c r="F1977" s="162"/>
      <c r="G1977" s="162"/>
      <c r="H1977" s="162"/>
      <c r="I1977" s="162"/>
      <c r="J1977" s="162"/>
      <c r="K1977" s="162"/>
      <c r="L1977" s="163"/>
    </row>
    <row r="1978" spans="2:12" ht="19.2" customHeight="1" x14ac:dyDescent="0.3">
      <c r="B1978" s="161"/>
      <c r="C1978" s="162"/>
      <c r="D1978" s="163"/>
      <c r="E1978" s="162"/>
      <c r="F1978" s="162"/>
      <c r="G1978" s="162"/>
      <c r="H1978" s="162"/>
      <c r="I1978" s="162"/>
      <c r="J1978" s="162"/>
      <c r="K1978" s="162"/>
      <c r="L1978" s="163"/>
    </row>
    <row r="1979" spans="2:12" ht="19.2" customHeight="1" x14ac:dyDescent="0.3">
      <c r="B1979" s="161"/>
      <c r="C1979" s="162"/>
      <c r="D1979" s="163"/>
      <c r="E1979" s="162"/>
      <c r="F1979" s="162"/>
      <c r="G1979" s="162"/>
      <c r="H1979" s="162"/>
      <c r="I1979" s="162"/>
      <c r="J1979" s="162"/>
      <c r="K1979" s="162"/>
      <c r="L1979" s="163"/>
    </row>
    <row r="1980" spans="2:12" ht="19.2" customHeight="1" x14ac:dyDescent="0.3">
      <c r="B1980" s="161"/>
      <c r="C1980" s="162"/>
      <c r="D1980" s="163"/>
      <c r="E1980" s="162"/>
      <c r="F1980" s="162"/>
      <c r="G1980" s="162"/>
      <c r="H1980" s="162"/>
      <c r="I1980" s="162"/>
      <c r="J1980" s="162"/>
      <c r="K1980" s="162"/>
      <c r="L1980" s="163"/>
    </row>
    <row r="1981" spans="2:12" ht="19.2" customHeight="1" x14ac:dyDescent="0.3">
      <c r="B1981" s="161"/>
      <c r="C1981" s="162"/>
      <c r="D1981" s="163"/>
      <c r="E1981" s="162"/>
      <c r="F1981" s="162"/>
      <c r="G1981" s="162"/>
      <c r="H1981" s="162"/>
      <c r="I1981" s="162"/>
      <c r="J1981" s="162"/>
      <c r="K1981" s="162"/>
      <c r="L1981" s="163"/>
    </row>
    <row r="1982" spans="2:12" ht="19.2" customHeight="1" x14ac:dyDescent="0.3">
      <c r="B1982" s="161"/>
      <c r="C1982" s="162"/>
      <c r="D1982" s="163"/>
      <c r="E1982" s="162"/>
      <c r="F1982" s="162"/>
      <c r="G1982" s="162"/>
      <c r="H1982" s="162"/>
      <c r="I1982" s="162"/>
      <c r="J1982" s="162"/>
      <c r="K1982" s="162"/>
      <c r="L1982" s="163"/>
    </row>
    <row r="1983" spans="2:12" ht="19.2" customHeight="1" x14ac:dyDescent="0.3">
      <c r="B1983" s="161"/>
      <c r="C1983" s="162"/>
      <c r="D1983" s="163"/>
      <c r="E1983" s="162"/>
      <c r="F1983" s="162"/>
      <c r="G1983" s="162"/>
      <c r="H1983" s="162"/>
      <c r="I1983" s="162"/>
      <c r="J1983" s="162"/>
      <c r="K1983" s="162"/>
      <c r="L1983" s="163"/>
    </row>
    <row r="1984" spans="2:12" ht="19.2" customHeight="1" x14ac:dyDescent="0.3">
      <c r="B1984" s="161"/>
      <c r="C1984" s="162"/>
      <c r="D1984" s="163"/>
      <c r="E1984" s="162"/>
      <c r="F1984" s="162"/>
      <c r="G1984" s="162"/>
      <c r="H1984" s="162"/>
      <c r="I1984" s="162"/>
      <c r="J1984" s="162"/>
      <c r="K1984" s="162"/>
      <c r="L1984" s="163"/>
    </row>
    <row r="1985" spans="2:12" ht="19.2" customHeight="1" x14ac:dyDescent="0.3">
      <c r="B1985" s="161"/>
      <c r="C1985" s="162"/>
      <c r="D1985" s="163"/>
      <c r="E1985" s="162"/>
      <c r="F1985" s="162"/>
      <c r="G1985" s="162"/>
      <c r="H1985" s="162"/>
      <c r="I1985" s="162"/>
      <c r="J1985" s="162"/>
      <c r="K1985" s="162"/>
      <c r="L1985" s="163"/>
    </row>
    <row r="1986" spans="2:12" ht="19.2" customHeight="1" x14ac:dyDescent="0.3">
      <c r="B1986" s="161"/>
      <c r="C1986" s="162"/>
      <c r="D1986" s="163"/>
      <c r="E1986" s="162"/>
      <c r="F1986" s="162"/>
      <c r="G1986" s="162"/>
      <c r="H1986" s="162"/>
      <c r="I1986" s="162"/>
      <c r="J1986" s="162"/>
      <c r="K1986" s="162"/>
      <c r="L1986" s="163"/>
    </row>
    <row r="1987" spans="2:12" ht="19.2" customHeight="1" x14ac:dyDescent="0.3">
      <c r="B1987" s="161"/>
      <c r="C1987" s="162"/>
      <c r="D1987" s="163"/>
      <c r="E1987" s="162"/>
      <c r="F1987" s="162"/>
      <c r="G1987" s="162"/>
      <c r="H1987" s="162"/>
      <c r="I1987" s="162"/>
      <c r="J1987" s="162"/>
      <c r="K1987" s="162"/>
      <c r="L1987" s="163"/>
    </row>
    <row r="1988" spans="2:12" ht="19.2" customHeight="1" x14ac:dyDescent="0.3">
      <c r="B1988" s="161"/>
      <c r="C1988" s="162"/>
      <c r="D1988" s="163"/>
      <c r="E1988" s="162"/>
      <c r="F1988" s="162"/>
      <c r="G1988" s="162"/>
      <c r="H1988" s="162"/>
      <c r="I1988" s="162"/>
      <c r="J1988" s="162"/>
      <c r="K1988" s="162"/>
      <c r="L1988" s="163"/>
    </row>
    <row r="1989" spans="2:12" ht="19.2" customHeight="1" x14ac:dyDescent="0.3">
      <c r="B1989" s="161"/>
      <c r="C1989" s="162"/>
      <c r="D1989" s="163"/>
      <c r="E1989" s="162"/>
      <c r="F1989" s="162"/>
      <c r="G1989" s="162"/>
      <c r="H1989" s="162"/>
      <c r="I1989" s="162"/>
      <c r="J1989" s="162"/>
      <c r="K1989" s="162"/>
      <c r="L1989" s="163"/>
    </row>
    <row r="1990" spans="2:12" ht="19.2" customHeight="1" x14ac:dyDescent="0.3">
      <c r="B1990" s="161"/>
      <c r="C1990" s="162"/>
      <c r="D1990" s="163"/>
      <c r="E1990" s="162"/>
      <c r="F1990" s="162"/>
      <c r="G1990" s="162"/>
      <c r="H1990" s="162"/>
      <c r="I1990" s="162"/>
      <c r="J1990" s="162"/>
      <c r="K1990" s="162"/>
      <c r="L1990" s="163"/>
    </row>
    <row r="1991" spans="2:12" ht="19.2" customHeight="1" x14ac:dyDescent="0.3">
      <c r="B1991" s="161"/>
      <c r="C1991" s="162"/>
      <c r="D1991" s="163"/>
      <c r="E1991" s="162"/>
      <c r="F1991" s="162"/>
      <c r="G1991" s="162"/>
      <c r="H1991" s="162"/>
      <c r="I1991" s="162"/>
      <c r="J1991" s="162"/>
      <c r="K1991" s="162"/>
      <c r="L1991" s="163"/>
    </row>
    <row r="1992" spans="2:12" ht="19.2" customHeight="1" x14ac:dyDescent="0.3">
      <c r="B1992" s="161"/>
      <c r="C1992" s="162"/>
      <c r="D1992" s="163"/>
      <c r="E1992" s="162"/>
      <c r="F1992" s="162"/>
      <c r="G1992" s="162"/>
      <c r="H1992" s="162"/>
      <c r="I1992" s="162"/>
      <c r="J1992" s="162"/>
      <c r="K1992" s="162"/>
      <c r="L1992" s="163"/>
    </row>
    <row r="1993" spans="2:12" ht="19.2" customHeight="1" x14ac:dyDescent="0.3">
      <c r="B1993" s="161"/>
      <c r="C1993" s="162"/>
      <c r="D1993" s="163"/>
      <c r="E1993" s="162"/>
      <c r="F1993" s="162"/>
      <c r="G1993" s="162"/>
      <c r="H1993" s="162"/>
      <c r="I1993" s="162"/>
      <c r="J1993" s="162"/>
      <c r="K1993" s="162"/>
      <c r="L1993" s="163"/>
    </row>
    <row r="1994" spans="2:12" ht="19.2" customHeight="1" x14ac:dyDescent="0.3">
      <c r="B1994" s="161"/>
      <c r="C1994" s="162"/>
      <c r="D1994" s="163"/>
      <c r="E1994" s="162"/>
      <c r="F1994" s="162"/>
      <c r="G1994" s="162"/>
      <c r="H1994" s="162"/>
      <c r="I1994" s="162"/>
      <c r="J1994" s="162"/>
      <c r="K1994" s="162"/>
      <c r="L1994" s="163"/>
    </row>
    <row r="1995" spans="2:12" ht="19.2" customHeight="1" x14ac:dyDescent="0.3">
      <c r="B1995" s="161"/>
      <c r="C1995" s="162"/>
      <c r="D1995" s="163"/>
      <c r="E1995" s="162"/>
      <c r="F1995" s="162"/>
      <c r="G1995" s="162"/>
      <c r="H1995" s="162"/>
      <c r="I1995" s="162"/>
      <c r="J1995" s="162"/>
      <c r="K1995" s="162"/>
      <c r="L1995" s="163"/>
    </row>
    <row r="1996" spans="2:12" ht="19.2" customHeight="1" x14ac:dyDescent="0.3">
      <c r="B1996" s="161"/>
      <c r="C1996" s="162"/>
      <c r="D1996" s="163"/>
      <c r="E1996" s="162"/>
      <c r="F1996" s="162"/>
      <c r="G1996" s="162"/>
      <c r="H1996" s="162"/>
      <c r="I1996" s="162"/>
      <c r="J1996" s="162"/>
      <c r="K1996" s="162"/>
      <c r="L1996" s="163"/>
    </row>
    <row r="1997" spans="2:12" ht="19.2" customHeight="1" x14ac:dyDescent="0.3">
      <c r="B1997" s="161"/>
      <c r="C1997" s="162"/>
      <c r="D1997" s="163"/>
      <c r="E1997" s="162"/>
      <c r="F1997" s="162"/>
      <c r="G1997" s="162"/>
      <c r="H1997" s="162"/>
      <c r="I1997" s="162"/>
      <c r="J1997" s="162"/>
      <c r="K1997" s="162"/>
      <c r="L1997" s="163"/>
    </row>
    <row r="1998" spans="2:12" ht="19.2" customHeight="1" x14ac:dyDescent="0.3">
      <c r="B1998" s="161"/>
      <c r="C1998" s="162"/>
      <c r="D1998" s="163"/>
      <c r="E1998" s="162"/>
      <c r="F1998" s="162"/>
      <c r="G1998" s="162"/>
      <c r="H1998" s="162"/>
      <c r="I1998" s="162"/>
      <c r="J1998" s="162"/>
      <c r="K1998" s="162"/>
      <c r="L1998" s="163"/>
    </row>
    <row r="1999" spans="2:12" ht="19.2" customHeight="1" x14ac:dyDescent="0.3">
      <c r="B1999" s="161"/>
      <c r="C1999" s="162"/>
      <c r="D1999" s="163"/>
      <c r="E1999" s="162"/>
      <c r="F1999" s="162"/>
      <c r="G1999" s="162"/>
      <c r="H1999" s="162"/>
      <c r="I1999" s="162"/>
      <c r="J1999" s="162"/>
      <c r="K1999" s="162"/>
      <c r="L1999" s="163"/>
    </row>
    <row r="2000" spans="2:12" ht="19.2" customHeight="1" x14ac:dyDescent="0.3">
      <c r="B2000" s="161"/>
      <c r="C2000" s="162"/>
      <c r="D2000" s="163"/>
      <c r="E2000" s="162"/>
      <c r="F2000" s="162"/>
      <c r="G2000" s="162"/>
      <c r="H2000" s="162"/>
      <c r="I2000" s="162"/>
      <c r="J2000" s="162"/>
      <c r="K2000" s="162"/>
      <c r="L2000" s="163"/>
    </row>
    <row r="2001" spans="2:12" ht="19.2" customHeight="1" x14ac:dyDescent="0.3">
      <c r="B2001" s="161"/>
      <c r="C2001" s="162"/>
      <c r="D2001" s="163"/>
      <c r="E2001" s="162"/>
      <c r="F2001" s="162"/>
      <c r="G2001" s="162"/>
      <c r="H2001" s="162"/>
      <c r="I2001" s="162"/>
      <c r="J2001" s="162"/>
      <c r="K2001" s="162"/>
      <c r="L2001" s="163"/>
    </row>
    <row r="2002" spans="2:12" ht="19.2" customHeight="1" x14ac:dyDescent="0.3">
      <c r="B2002" s="161"/>
      <c r="C2002" s="162"/>
      <c r="D2002" s="163"/>
      <c r="E2002" s="162"/>
      <c r="F2002" s="162"/>
      <c r="G2002" s="162"/>
      <c r="H2002" s="162"/>
      <c r="I2002" s="162"/>
      <c r="J2002" s="162"/>
      <c r="K2002" s="162"/>
      <c r="L2002" s="163"/>
    </row>
    <row r="2003" spans="2:12" ht="19.2" customHeight="1" x14ac:dyDescent="0.3">
      <c r="B2003" s="161"/>
      <c r="C2003" s="162"/>
      <c r="D2003" s="163"/>
      <c r="E2003" s="162"/>
      <c r="F2003" s="162"/>
      <c r="G2003" s="162"/>
      <c r="H2003" s="162"/>
      <c r="I2003" s="162"/>
      <c r="J2003" s="162"/>
      <c r="K2003" s="162"/>
      <c r="L2003" s="163"/>
    </row>
    <row r="2004" spans="2:12" ht="19.2" customHeight="1" x14ac:dyDescent="0.3">
      <c r="B2004" s="161"/>
      <c r="C2004" s="162"/>
      <c r="D2004" s="163"/>
      <c r="E2004" s="162"/>
      <c r="F2004" s="162"/>
      <c r="G2004" s="162"/>
      <c r="H2004" s="162"/>
      <c r="I2004" s="162"/>
      <c r="J2004" s="162"/>
      <c r="K2004" s="162"/>
      <c r="L2004" s="163"/>
    </row>
    <row r="2005" spans="2:12" ht="19.2" customHeight="1" x14ac:dyDescent="0.3">
      <c r="B2005" s="161"/>
      <c r="C2005" s="162"/>
      <c r="D2005" s="163"/>
      <c r="E2005" s="162"/>
      <c r="F2005" s="162"/>
      <c r="G2005" s="162"/>
      <c r="H2005" s="162"/>
      <c r="I2005" s="162"/>
      <c r="J2005" s="162"/>
      <c r="K2005" s="162"/>
      <c r="L2005" s="163"/>
    </row>
    <row r="2006" spans="2:12" ht="19.2" customHeight="1" thickBot="1" x14ac:dyDescent="0.35">
      <c r="B2006" s="167"/>
      <c r="C2006" s="168"/>
      <c r="D2006" s="169"/>
      <c r="E2006" s="168"/>
      <c r="F2006" s="168"/>
      <c r="G2006" s="168"/>
      <c r="H2006" s="168"/>
      <c r="I2006" s="168"/>
      <c r="J2006" s="168"/>
      <c r="K2006" s="168"/>
      <c r="L2006" s="169"/>
    </row>
    <row r="2007" spans="2:12" ht="19.2" customHeight="1" x14ac:dyDescent="0.3"/>
  </sheetData>
  <sheetProtection algorithmName="SHA-512" hashValue="QkTGQkvf5F1KBdxm6d0LtKUrUaOmzJReNqbykFY4kGRpkRX8oH46p0zG/qaWCf11fIcQOJdvpEfLNxQIsMR58Q==" saltValue="RsBJtQOUHvvhCs82hGRbEg==" spinCount="100000" sheet="1" objects="1" scenarios="1" selectLockedCells="1"/>
  <mergeCells count="4007">
    <mergeCell ref="B2005:D2005"/>
    <mergeCell ref="E2005:L2005"/>
    <mergeCell ref="B2006:D2006"/>
    <mergeCell ref="E2006:L2006"/>
    <mergeCell ref="B2002:D2002"/>
    <mergeCell ref="E2002:L2002"/>
    <mergeCell ref="B2003:D2003"/>
    <mergeCell ref="E2003:L2003"/>
    <mergeCell ref="B2004:D2004"/>
    <mergeCell ref="E2004:L2004"/>
    <mergeCell ref="B1999:D1999"/>
    <mergeCell ref="E1999:L1999"/>
    <mergeCell ref="B2000:D2000"/>
    <mergeCell ref="E2000:L2000"/>
    <mergeCell ref="B2001:D2001"/>
    <mergeCell ref="E2001:L2001"/>
    <mergeCell ref="B1996:D1996"/>
    <mergeCell ref="E1996:L1996"/>
    <mergeCell ref="B1997:D1997"/>
    <mergeCell ref="E1997:L1997"/>
    <mergeCell ref="B1998:D1998"/>
    <mergeCell ref="E1998:L1998"/>
    <mergeCell ref="B1993:D1993"/>
    <mergeCell ref="E1993:L1993"/>
    <mergeCell ref="B1994:D1994"/>
    <mergeCell ref="E1994:L1994"/>
    <mergeCell ref="B1995:D1995"/>
    <mergeCell ref="E1995:L1995"/>
    <mergeCell ref="B1990:D1990"/>
    <mergeCell ref="E1990:L1990"/>
    <mergeCell ref="B1991:D1991"/>
    <mergeCell ref="E1991:L1991"/>
    <mergeCell ref="B1992:D1992"/>
    <mergeCell ref="E1992:L1992"/>
    <mergeCell ref="B1987:D1987"/>
    <mergeCell ref="E1987:L1987"/>
    <mergeCell ref="B1988:D1988"/>
    <mergeCell ref="E1988:L1988"/>
    <mergeCell ref="B1989:D1989"/>
    <mergeCell ref="E1989:L1989"/>
    <mergeCell ref="B1984:D1984"/>
    <mergeCell ref="E1984:L1984"/>
    <mergeCell ref="B1985:D1985"/>
    <mergeCell ref="E1985:L1985"/>
    <mergeCell ref="B1986:D1986"/>
    <mergeCell ref="E1986:L1986"/>
    <mergeCell ref="B1981:D1981"/>
    <mergeCell ref="E1981:L1981"/>
    <mergeCell ref="B1982:D1982"/>
    <mergeCell ref="E1982:L1982"/>
    <mergeCell ref="B1983:D1983"/>
    <mergeCell ref="E1983:L1983"/>
    <mergeCell ref="B1978:D1978"/>
    <mergeCell ref="E1978:L1978"/>
    <mergeCell ref="B1979:D1979"/>
    <mergeCell ref="E1979:L1979"/>
    <mergeCell ref="B1980:D1980"/>
    <mergeCell ref="E1980:L1980"/>
    <mergeCell ref="B1975:D1975"/>
    <mergeCell ref="E1975:L1975"/>
    <mergeCell ref="B1976:D1976"/>
    <mergeCell ref="E1976:L1976"/>
    <mergeCell ref="B1977:D1977"/>
    <mergeCell ref="E1977:L1977"/>
    <mergeCell ref="B1972:D1972"/>
    <mergeCell ref="E1972:L1972"/>
    <mergeCell ref="B1973:D1973"/>
    <mergeCell ref="E1973:L1973"/>
    <mergeCell ref="B1974:D1974"/>
    <mergeCell ref="E1974:L1974"/>
    <mergeCell ref="B1969:D1969"/>
    <mergeCell ref="E1969:L1969"/>
    <mergeCell ref="B1970:D1970"/>
    <mergeCell ref="E1970:L1970"/>
    <mergeCell ref="B1971:D1971"/>
    <mergeCell ref="E1971:L1971"/>
    <mergeCell ref="B1966:D1966"/>
    <mergeCell ref="E1966:L1966"/>
    <mergeCell ref="B1967:D1967"/>
    <mergeCell ref="E1967:L1967"/>
    <mergeCell ref="B1968:D1968"/>
    <mergeCell ref="E1968:L1968"/>
    <mergeCell ref="B1963:D1963"/>
    <mergeCell ref="E1963:L1963"/>
    <mergeCell ref="B1964:D1964"/>
    <mergeCell ref="E1964:L1964"/>
    <mergeCell ref="B1965:D1965"/>
    <mergeCell ref="E1965:L1965"/>
    <mergeCell ref="B1960:D1960"/>
    <mergeCell ref="E1960:L1960"/>
    <mergeCell ref="B1961:D1961"/>
    <mergeCell ref="E1961:L1961"/>
    <mergeCell ref="B1962:D1962"/>
    <mergeCell ref="E1962:L1962"/>
    <mergeCell ref="B1957:D1957"/>
    <mergeCell ref="E1957:L1957"/>
    <mergeCell ref="B1958:D1958"/>
    <mergeCell ref="E1958:L1958"/>
    <mergeCell ref="B1959:D1959"/>
    <mergeCell ref="E1959:L1959"/>
    <mergeCell ref="B1954:D1954"/>
    <mergeCell ref="E1954:L1954"/>
    <mergeCell ref="B1955:D1955"/>
    <mergeCell ref="E1955:L1955"/>
    <mergeCell ref="B1956:D1956"/>
    <mergeCell ref="E1956:L1956"/>
    <mergeCell ref="B1951:D1951"/>
    <mergeCell ref="E1951:L1951"/>
    <mergeCell ref="B1952:D1952"/>
    <mergeCell ref="E1952:L1952"/>
    <mergeCell ref="B1953:D1953"/>
    <mergeCell ref="E1953:L1953"/>
    <mergeCell ref="B1948:D1948"/>
    <mergeCell ref="E1948:L1948"/>
    <mergeCell ref="B1949:D1949"/>
    <mergeCell ref="E1949:L1949"/>
    <mergeCell ref="B1950:D1950"/>
    <mergeCell ref="E1950:L1950"/>
    <mergeCell ref="B1945:D1945"/>
    <mergeCell ref="E1945:L1945"/>
    <mergeCell ref="B1946:D1946"/>
    <mergeCell ref="E1946:L1946"/>
    <mergeCell ref="B1947:D1947"/>
    <mergeCell ref="E1947:L1947"/>
    <mergeCell ref="B1942:D1942"/>
    <mergeCell ref="E1942:L1942"/>
    <mergeCell ref="B1943:D1943"/>
    <mergeCell ref="E1943:L1943"/>
    <mergeCell ref="B1944:D1944"/>
    <mergeCell ref="E1944:L1944"/>
    <mergeCell ref="B1939:D1939"/>
    <mergeCell ref="E1939:L1939"/>
    <mergeCell ref="B1940:D1940"/>
    <mergeCell ref="E1940:L1940"/>
    <mergeCell ref="B1941:D1941"/>
    <mergeCell ref="E1941:L1941"/>
    <mergeCell ref="B1936:D1936"/>
    <mergeCell ref="E1936:L1936"/>
    <mergeCell ref="B1937:D1937"/>
    <mergeCell ref="E1937:L1937"/>
    <mergeCell ref="B1938:D1938"/>
    <mergeCell ref="E1938:L1938"/>
    <mergeCell ref="B1933:D1933"/>
    <mergeCell ref="E1933:L1933"/>
    <mergeCell ref="B1934:D1934"/>
    <mergeCell ref="E1934:L1934"/>
    <mergeCell ref="B1935:D1935"/>
    <mergeCell ref="E1935:L1935"/>
    <mergeCell ref="B1930:D1930"/>
    <mergeCell ref="E1930:L1930"/>
    <mergeCell ref="B1931:D1931"/>
    <mergeCell ref="E1931:L1931"/>
    <mergeCell ref="B1932:D1932"/>
    <mergeCell ref="E1932:L1932"/>
    <mergeCell ref="B1927:D1927"/>
    <mergeCell ref="E1927:L1927"/>
    <mergeCell ref="B1928:D1928"/>
    <mergeCell ref="E1928:L1928"/>
    <mergeCell ref="B1929:D1929"/>
    <mergeCell ref="E1929:L1929"/>
    <mergeCell ref="B1924:D1924"/>
    <mergeCell ref="E1924:L1924"/>
    <mergeCell ref="B1925:D1925"/>
    <mergeCell ref="E1925:L1925"/>
    <mergeCell ref="B1926:D1926"/>
    <mergeCell ref="E1926:L1926"/>
    <mergeCell ref="B1921:D1921"/>
    <mergeCell ref="E1921:L1921"/>
    <mergeCell ref="B1922:D1922"/>
    <mergeCell ref="E1922:L1922"/>
    <mergeCell ref="B1923:D1923"/>
    <mergeCell ref="E1923:L1923"/>
    <mergeCell ref="B1918:D1918"/>
    <mergeCell ref="E1918:L1918"/>
    <mergeCell ref="B1919:D1919"/>
    <mergeCell ref="E1919:L1919"/>
    <mergeCell ref="B1920:D1920"/>
    <mergeCell ref="E1920:L1920"/>
    <mergeCell ref="B1915:D1915"/>
    <mergeCell ref="E1915:L1915"/>
    <mergeCell ref="B1916:D1916"/>
    <mergeCell ref="E1916:L1916"/>
    <mergeCell ref="B1917:D1917"/>
    <mergeCell ref="E1917:L1917"/>
    <mergeCell ref="B1912:D1912"/>
    <mergeCell ref="E1912:L1912"/>
    <mergeCell ref="B1913:D1913"/>
    <mergeCell ref="E1913:L1913"/>
    <mergeCell ref="B1914:D1914"/>
    <mergeCell ref="E1914:L1914"/>
    <mergeCell ref="B1909:D1909"/>
    <mergeCell ref="E1909:L1909"/>
    <mergeCell ref="B1910:D1910"/>
    <mergeCell ref="E1910:L1910"/>
    <mergeCell ref="B1911:D1911"/>
    <mergeCell ref="E1911:L1911"/>
    <mergeCell ref="B1906:D1906"/>
    <mergeCell ref="E1906:L1906"/>
    <mergeCell ref="B1907:D1907"/>
    <mergeCell ref="E1907:L1907"/>
    <mergeCell ref="B1908:D1908"/>
    <mergeCell ref="E1908:L1908"/>
    <mergeCell ref="B1903:D1903"/>
    <mergeCell ref="E1903:L1903"/>
    <mergeCell ref="B1904:D1904"/>
    <mergeCell ref="E1904:L1904"/>
    <mergeCell ref="B1905:D1905"/>
    <mergeCell ref="E1905:L1905"/>
    <mergeCell ref="B1900:D1900"/>
    <mergeCell ref="E1900:L1900"/>
    <mergeCell ref="B1901:D1901"/>
    <mergeCell ref="E1901:L1901"/>
    <mergeCell ref="B1902:D1902"/>
    <mergeCell ref="E1902:L1902"/>
    <mergeCell ref="B1897:D1897"/>
    <mergeCell ref="E1897:L1897"/>
    <mergeCell ref="B1898:D1898"/>
    <mergeCell ref="E1898:L1898"/>
    <mergeCell ref="B1899:D1899"/>
    <mergeCell ref="E1899:L1899"/>
    <mergeCell ref="B1894:D1894"/>
    <mergeCell ref="E1894:L1894"/>
    <mergeCell ref="B1895:D1895"/>
    <mergeCell ref="E1895:L1895"/>
    <mergeCell ref="B1896:D1896"/>
    <mergeCell ref="E1896:L1896"/>
    <mergeCell ref="B1891:D1891"/>
    <mergeCell ref="E1891:L1891"/>
    <mergeCell ref="B1892:D1892"/>
    <mergeCell ref="E1892:L1892"/>
    <mergeCell ref="B1893:D1893"/>
    <mergeCell ref="E1893:L1893"/>
    <mergeCell ref="B1888:D1888"/>
    <mergeCell ref="E1888:L1888"/>
    <mergeCell ref="B1889:D1889"/>
    <mergeCell ref="E1889:L1889"/>
    <mergeCell ref="B1890:D1890"/>
    <mergeCell ref="E1890:L1890"/>
    <mergeCell ref="B1885:D1885"/>
    <mergeCell ref="E1885:L1885"/>
    <mergeCell ref="B1886:D1886"/>
    <mergeCell ref="E1886:L1886"/>
    <mergeCell ref="B1887:D1887"/>
    <mergeCell ref="E1887:L1887"/>
    <mergeCell ref="B1882:D1882"/>
    <mergeCell ref="E1882:L1882"/>
    <mergeCell ref="B1883:D1883"/>
    <mergeCell ref="E1883:L1883"/>
    <mergeCell ref="B1884:D1884"/>
    <mergeCell ref="E1884:L1884"/>
    <mergeCell ref="B1879:D1879"/>
    <mergeCell ref="E1879:L1879"/>
    <mergeCell ref="B1880:D1880"/>
    <mergeCell ref="E1880:L1880"/>
    <mergeCell ref="B1881:D1881"/>
    <mergeCell ref="E1881:L1881"/>
    <mergeCell ref="B1876:D1876"/>
    <mergeCell ref="E1876:L1876"/>
    <mergeCell ref="B1877:D1877"/>
    <mergeCell ref="E1877:L1877"/>
    <mergeCell ref="B1878:D1878"/>
    <mergeCell ref="E1878:L1878"/>
    <mergeCell ref="B1873:D1873"/>
    <mergeCell ref="E1873:L1873"/>
    <mergeCell ref="B1874:D1874"/>
    <mergeCell ref="E1874:L1874"/>
    <mergeCell ref="B1875:D1875"/>
    <mergeCell ref="E1875:L1875"/>
    <mergeCell ref="B1870:D1870"/>
    <mergeCell ref="E1870:L1870"/>
    <mergeCell ref="B1871:D1871"/>
    <mergeCell ref="E1871:L1871"/>
    <mergeCell ref="B1872:D1872"/>
    <mergeCell ref="E1872:L1872"/>
    <mergeCell ref="B1867:D1867"/>
    <mergeCell ref="E1867:L1867"/>
    <mergeCell ref="B1868:D1868"/>
    <mergeCell ref="E1868:L1868"/>
    <mergeCell ref="B1869:D1869"/>
    <mergeCell ref="E1869:L1869"/>
    <mergeCell ref="B1864:D1864"/>
    <mergeCell ref="E1864:L1864"/>
    <mergeCell ref="B1865:D1865"/>
    <mergeCell ref="E1865:L1865"/>
    <mergeCell ref="B1866:D1866"/>
    <mergeCell ref="E1866:L1866"/>
    <mergeCell ref="B1861:D1861"/>
    <mergeCell ref="E1861:L1861"/>
    <mergeCell ref="B1862:D1862"/>
    <mergeCell ref="E1862:L1862"/>
    <mergeCell ref="B1863:D1863"/>
    <mergeCell ref="E1863:L1863"/>
    <mergeCell ref="B1858:D1858"/>
    <mergeCell ref="E1858:L1858"/>
    <mergeCell ref="B1859:D1859"/>
    <mergeCell ref="E1859:L1859"/>
    <mergeCell ref="B1860:D1860"/>
    <mergeCell ref="E1860:L1860"/>
    <mergeCell ref="B1855:D1855"/>
    <mergeCell ref="E1855:L1855"/>
    <mergeCell ref="B1856:D1856"/>
    <mergeCell ref="E1856:L1856"/>
    <mergeCell ref="B1857:D1857"/>
    <mergeCell ref="E1857:L1857"/>
    <mergeCell ref="B1852:D1852"/>
    <mergeCell ref="E1852:L1852"/>
    <mergeCell ref="B1853:D1853"/>
    <mergeCell ref="E1853:L1853"/>
    <mergeCell ref="B1854:D1854"/>
    <mergeCell ref="E1854:L1854"/>
    <mergeCell ref="B1849:D1849"/>
    <mergeCell ref="E1849:L1849"/>
    <mergeCell ref="B1850:D1850"/>
    <mergeCell ref="E1850:L1850"/>
    <mergeCell ref="B1851:D1851"/>
    <mergeCell ref="E1851:L1851"/>
    <mergeCell ref="B1846:D1846"/>
    <mergeCell ref="E1846:L1846"/>
    <mergeCell ref="B1847:D1847"/>
    <mergeCell ref="E1847:L1847"/>
    <mergeCell ref="B1848:D1848"/>
    <mergeCell ref="E1848:L1848"/>
    <mergeCell ref="B1843:D1843"/>
    <mergeCell ref="E1843:L1843"/>
    <mergeCell ref="B1844:D1844"/>
    <mergeCell ref="E1844:L1844"/>
    <mergeCell ref="B1845:D1845"/>
    <mergeCell ref="E1845:L1845"/>
    <mergeCell ref="B1840:D1840"/>
    <mergeCell ref="E1840:L1840"/>
    <mergeCell ref="B1841:D1841"/>
    <mergeCell ref="E1841:L1841"/>
    <mergeCell ref="B1842:D1842"/>
    <mergeCell ref="E1842:L1842"/>
    <mergeCell ref="B1837:D1837"/>
    <mergeCell ref="E1837:L1837"/>
    <mergeCell ref="B1838:D1838"/>
    <mergeCell ref="E1838:L1838"/>
    <mergeCell ref="B1839:D1839"/>
    <mergeCell ref="E1839:L1839"/>
    <mergeCell ref="B1834:D1834"/>
    <mergeCell ref="E1834:L1834"/>
    <mergeCell ref="B1835:D1835"/>
    <mergeCell ref="E1835:L1835"/>
    <mergeCell ref="B1836:D1836"/>
    <mergeCell ref="E1836:L1836"/>
    <mergeCell ref="B1831:D1831"/>
    <mergeCell ref="E1831:L1831"/>
    <mergeCell ref="B1832:D1832"/>
    <mergeCell ref="E1832:L1832"/>
    <mergeCell ref="B1833:D1833"/>
    <mergeCell ref="E1833:L1833"/>
    <mergeCell ref="B1828:D1828"/>
    <mergeCell ref="E1828:L1828"/>
    <mergeCell ref="B1829:D1829"/>
    <mergeCell ref="E1829:L1829"/>
    <mergeCell ref="B1830:D1830"/>
    <mergeCell ref="E1830:L1830"/>
    <mergeCell ref="B1825:D1825"/>
    <mergeCell ref="E1825:L1825"/>
    <mergeCell ref="B1826:D1826"/>
    <mergeCell ref="E1826:L1826"/>
    <mergeCell ref="B1827:D1827"/>
    <mergeCell ref="E1827:L1827"/>
    <mergeCell ref="B1822:D1822"/>
    <mergeCell ref="E1822:L1822"/>
    <mergeCell ref="B1823:D1823"/>
    <mergeCell ref="E1823:L1823"/>
    <mergeCell ref="B1824:D1824"/>
    <mergeCell ref="E1824:L1824"/>
    <mergeCell ref="B1819:D1819"/>
    <mergeCell ref="E1819:L1819"/>
    <mergeCell ref="B1820:D1820"/>
    <mergeCell ref="E1820:L1820"/>
    <mergeCell ref="B1821:D1821"/>
    <mergeCell ref="E1821:L1821"/>
    <mergeCell ref="B1816:D1816"/>
    <mergeCell ref="E1816:L1816"/>
    <mergeCell ref="B1817:D1817"/>
    <mergeCell ref="E1817:L1817"/>
    <mergeCell ref="B1818:D1818"/>
    <mergeCell ref="E1818:L1818"/>
    <mergeCell ref="B1813:D1813"/>
    <mergeCell ref="E1813:L1813"/>
    <mergeCell ref="B1814:D1814"/>
    <mergeCell ref="E1814:L1814"/>
    <mergeCell ref="B1815:D1815"/>
    <mergeCell ref="E1815:L1815"/>
    <mergeCell ref="B1810:D1810"/>
    <mergeCell ref="E1810:L1810"/>
    <mergeCell ref="B1811:D1811"/>
    <mergeCell ref="E1811:L1811"/>
    <mergeCell ref="B1812:D1812"/>
    <mergeCell ref="E1812:L1812"/>
    <mergeCell ref="B1807:D1807"/>
    <mergeCell ref="E1807:L1807"/>
    <mergeCell ref="B1808:D1808"/>
    <mergeCell ref="E1808:L1808"/>
    <mergeCell ref="B1809:D1809"/>
    <mergeCell ref="E1809:L1809"/>
    <mergeCell ref="B1804:D1804"/>
    <mergeCell ref="E1804:L1804"/>
    <mergeCell ref="B1805:D1805"/>
    <mergeCell ref="E1805:L1805"/>
    <mergeCell ref="B1806:D1806"/>
    <mergeCell ref="E1806:L1806"/>
    <mergeCell ref="B1801:D1801"/>
    <mergeCell ref="E1801:L1801"/>
    <mergeCell ref="B1802:D1802"/>
    <mergeCell ref="E1802:L1802"/>
    <mergeCell ref="B1803:D1803"/>
    <mergeCell ref="E1803:L1803"/>
    <mergeCell ref="B1798:D1798"/>
    <mergeCell ref="E1798:L1798"/>
    <mergeCell ref="B1799:D1799"/>
    <mergeCell ref="E1799:L1799"/>
    <mergeCell ref="B1800:D1800"/>
    <mergeCell ref="E1800:L1800"/>
    <mergeCell ref="B1795:D1795"/>
    <mergeCell ref="E1795:L1795"/>
    <mergeCell ref="B1796:D1796"/>
    <mergeCell ref="E1796:L1796"/>
    <mergeCell ref="B1797:D1797"/>
    <mergeCell ref="E1797:L1797"/>
    <mergeCell ref="B1792:D1792"/>
    <mergeCell ref="E1792:L1792"/>
    <mergeCell ref="B1793:D1793"/>
    <mergeCell ref="E1793:L1793"/>
    <mergeCell ref="B1794:D1794"/>
    <mergeCell ref="E1794:L1794"/>
    <mergeCell ref="B1789:D1789"/>
    <mergeCell ref="E1789:L1789"/>
    <mergeCell ref="B1790:D1790"/>
    <mergeCell ref="E1790:L1790"/>
    <mergeCell ref="B1791:D1791"/>
    <mergeCell ref="E1791:L1791"/>
    <mergeCell ref="B1786:D1786"/>
    <mergeCell ref="E1786:L1786"/>
    <mergeCell ref="B1787:D1787"/>
    <mergeCell ref="E1787:L1787"/>
    <mergeCell ref="B1788:D1788"/>
    <mergeCell ref="E1788:L1788"/>
    <mergeCell ref="B1783:D1783"/>
    <mergeCell ref="E1783:L1783"/>
    <mergeCell ref="B1784:D1784"/>
    <mergeCell ref="E1784:L1784"/>
    <mergeCell ref="B1785:D1785"/>
    <mergeCell ref="E1785:L1785"/>
    <mergeCell ref="B1780:D1780"/>
    <mergeCell ref="E1780:L1780"/>
    <mergeCell ref="B1781:D1781"/>
    <mergeCell ref="E1781:L1781"/>
    <mergeCell ref="B1782:D1782"/>
    <mergeCell ref="E1782:L1782"/>
    <mergeCell ref="B1777:D1777"/>
    <mergeCell ref="E1777:L1777"/>
    <mergeCell ref="B1778:D1778"/>
    <mergeCell ref="E1778:L1778"/>
    <mergeCell ref="B1779:D1779"/>
    <mergeCell ref="E1779:L1779"/>
    <mergeCell ref="B1774:D1774"/>
    <mergeCell ref="E1774:L1774"/>
    <mergeCell ref="B1775:D1775"/>
    <mergeCell ref="E1775:L1775"/>
    <mergeCell ref="B1776:D1776"/>
    <mergeCell ref="E1776:L1776"/>
    <mergeCell ref="B1771:D1771"/>
    <mergeCell ref="E1771:L1771"/>
    <mergeCell ref="B1772:D1772"/>
    <mergeCell ref="E1772:L1772"/>
    <mergeCell ref="B1773:D1773"/>
    <mergeCell ref="E1773:L1773"/>
    <mergeCell ref="B1768:D1768"/>
    <mergeCell ref="E1768:L1768"/>
    <mergeCell ref="B1769:D1769"/>
    <mergeCell ref="E1769:L1769"/>
    <mergeCell ref="B1770:D1770"/>
    <mergeCell ref="E1770:L1770"/>
    <mergeCell ref="B1765:D1765"/>
    <mergeCell ref="E1765:L1765"/>
    <mergeCell ref="B1766:D1766"/>
    <mergeCell ref="E1766:L1766"/>
    <mergeCell ref="B1767:D1767"/>
    <mergeCell ref="E1767:L1767"/>
    <mergeCell ref="B1762:D1762"/>
    <mergeCell ref="E1762:L1762"/>
    <mergeCell ref="B1763:D1763"/>
    <mergeCell ref="E1763:L1763"/>
    <mergeCell ref="B1764:D1764"/>
    <mergeCell ref="E1764:L1764"/>
    <mergeCell ref="B1759:D1759"/>
    <mergeCell ref="E1759:L1759"/>
    <mergeCell ref="B1760:D1760"/>
    <mergeCell ref="E1760:L1760"/>
    <mergeCell ref="B1761:D1761"/>
    <mergeCell ref="E1761:L1761"/>
    <mergeCell ref="B1756:D1756"/>
    <mergeCell ref="E1756:L1756"/>
    <mergeCell ref="B1757:D1757"/>
    <mergeCell ref="E1757:L1757"/>
    <mergeCell ref="B1758:D1758"/>
    <mergeCell ref="E1758:L1758"/>
    <mergeCell ref="B1753:D1753"/>
    <mergeCell ref="E1753:L1753"/>
    <mergeCell ref="B1754:D1754"/>
    <mergeCell ref="E1754:L1754"/>
    <mergeCell ref="B1755:D1755"/>
    <mergeCell ref="E1755:L1755"/>
    <mergeCell ref="B1750:D1750"/>
    <mergeCell ref="E1750:L1750"/>
    <mergeCell ref="B1751:D1751"/>
    <mergeCell ref="E1751:L1751"/>
    <mergeCell ref="B1752:D1752"/>
    <mergeCell ref="E1752:L1752"/>
    <mergeCell ref="B1747:D1747"/>
    <mergeCell ref="E1747:L1747"/>
    <mergeCell ref="B1748:D1748"/>
    <mergeCell ref="E1748:L1748"/>
    <mergeCell ref="B1749:D1749"/>
    <mergeCell ref="E1749:L1749"/>
    <mergeCell ref="B1744:D1744"/>
    <mergeCell ref="E1744:L1744"/>
    <mergeCell ref="B1745:D1745"/>
    <mergeCell ref="E1745:L1745"/>
    <mergeCell ref="B1746:D1746"/>
    <mergeCell ref="E1746:L1746"/>
    <mergeCell ref="B1741:D1741"/>
    <mergeCell ref="E1741:L1741"/>
    <mergeCell ref="B1742:D1742"/>
    <mergeCell ref="E1742:L1742"/>
    <mergeCell ref="B1743:D1743"/>
    <mergeCell ref="E1743:L1743"/>
    <mergeCell ref="B1738:D1738"/>
    <mergeCell ref="E1738:L1738"/>
    <mergeCell ref="B1739:D1739"/>
    <mergeCell ref="E1739:L1739"/>
    <mergeCell ref="B1740:D1740"/>
    <mergeCell ref="E1740:L1740"/>
    <mergeCell ref="B1735:D1735"/>
    <mergeCell ref="E1735:L1735"/>
    <mergeCell ref="B1736:D1736"/>
    <mergeCell ref="E1736:L1736"/>
    <mergeCell ref="B1737:D1737"/>
    <mergeCell ref="E1737:L1737"/>
    <mergeCell ref="B1732:D1732"/>
    <mergeCell ref="E1732:L1732"/>
    <mergeCell ref="B1733:D1733"/>
    <mergeCell ref="E1733:L1733"/>
    <mergeCell ref="B1734:D1734"/>
    <mergeCell ref="E1734:L1734"/>
    <mergeCell ref="B1729:D1729"/>
    <mergeCell ref="E1729:L1729"/>
    <mergeCell ref="B1730:D1730"/>
    <mergeCell ref="E1730:L1730"/>
    <mergeCell ref="B1731:D1731"/>
    <mergeCell ref="E1731:L1731"/>
    <mergeCell ref="B1726:D1726"/>
    <mergeCell ref="E1726:L1726"/>
    <mergeCell ref="B1727:D1727"/>
    <mergeCell ref="E1727:L1727"/>
    <mergeCell ref="B1728:D1728"/>
    <mergeCell ref="E1728:L1728"/>
    <mergeCell ref="B1723:D1723"/>
    <mergeCell ref="E1723:L1723"/>
    <mergeCell ref="B1724:D1724"/>
    <mergeCell ref="E1724:L1724"/>
    <mergeCell ref="B1725:D1725"/>
    <mergeCell ref="E1725:L1725"/>
    <mergeCell ref="B1720:D1720"/>
    <mergeCell ref="E1720:L1720"/>
    <mergeCell ref="B1721:D1721"/>
    <mergeCell ref="E1721:L1721"/>
    <mergeCell ref="B1722:D1722"/>
    <mergeCell ref="E1722:L1722"/>
    <mergeCell ref="B1717:D1717"/>
    <mergeCell ref="E1717:L1717"/>
    <mergeCell ref="B1718:D1718"/>
    <mergeCell ref="E1718:L1718"/>
    <mergeCell ref="B1719:D1719"/>
    <mergeCell ref="E1719:L1719"/>
    <mergeCell ref="B1714:D1714"/>
    <mergeCell ref="E1714:L1714"/>
    <mergeCell ref="B1715:D1715"/>
    <mergeCell ref="E1715:L1715"/>
    <mergeCell ref="B1716:D1716"/>
    <mergeCell ref="E1716:L1716"/>
    <mergeCell ref="B1711:D1711"/>
    <mergeCell ref="E1711:L1711"/>
    <mergeCell ref="B1712:D1712"/>
    <mergeCell ref="E1712:L1712"/>
    <mergeCell ref="B1713:D1713"/>
    <mergeCell ref="E1713:L1713"/>
    <mergeCell ref="B1708:D1708"/>
    <mergeCell ref="E1708:L1708"/>
    <mergeCell ref="B1709:D1709"/>
    <mergeCell ref="E1709:L1709"/>
    <mergeCell ref="B1710:D1710"/>
    <mergeCell ref="E1710:L1710"/>
    <mergeCell ref="B1705:D1705"/>
    <mergeCell ref="E1705:L1705"/>
    <mergeCell ref="B1706:D1706"/>
    <mergeCell ref="E1706:L1706"/>
    <mergeCell ref="B1707:D1707"/>
    <mergeCell ref="E1707:L1707"/>
    <mergeCell ref="B1702:D1702"/>
    <mergeCell ref="E1702:L1702"/>
    <mergeCell ref="B1703:D1703"/>
    <mergeCell ref="E1703:L1703"/>
    <mergeCell ref="B1704:D1704"/>
    <mergeCell ref="E1704:L1704"/>
    <mergeCell ref="B1699:D1699"/>
    <mergeCell ref="E1699:L1699"/>
    <mergeCell ref="B1700:D1700"/>
    <mergeCell ref="E1700:L1700"/>
    <mergeCell ref="B1701:D1701"/>
    <mergeCell ref="E1701:L1701"/>
    <mergeCell ref="B1696:D1696"/>
    <mergeCell ref="E1696:L1696"/>
    <mergeCell ref="B1697:D1697"/>
    <mergeCell ref="E1697:L1697"/>
    <mergeCell ref="B1698:D1698"/>
    <mergeCell ref="E1698:L1698"/>
    <mergeCell ref="B1693:D1693"/>
    <mergeCell ref="E1693:L1693"/>
    <mergeCell ref="B1694:D1694"/>
    <mergeCell ref="E1694:L1694"/>
    <mergeCell ref="B1695:D1695"/>
    <mergeCell ref="E1695:L1695"/>
    <mergeCell ref="B1690:D1690"/>
    <mergeCell ref="E1690:L1690"/>
    <mergeCell ref="B1691:D1691"/>
    <mergeCell ref="E1691:L1691"/>
    <mergeCell ref="B1692:D1692"/>
    <mergeCell ref="E1692:L1692"/>
    <mergeCell ref="B1687:D1687"/>
    <mergeCell ref="E1687:L1687"/>
    <mergeCell ref="B1688:D1688"/>
    <mergeCell ref="E1688:L1688"/>
    <mergeCell ref="B1689:D1689"/>
    <mergeCell ref="E1689:L1689"/>
    <mergeCell ref="B1684:D1684"/>
    <mergeCell ref="E1684:L1684"/>
    <mergeCell ref="B1685:D1685"/>
    <mergeCell ref="E1685:L1685"/>
    <mergeCell ref="B1686:D1686"/>
    <mergeCell ref="E1686:L1686"/>
    <mergeCell ref="B1681:D1681"/>
    <mergeCell ref="E1681:L1681"/>
    <mergeCell ref="B1682:D1682"/>
    <mergeCell ref="E1682:L1682"/>
    <mergeCell ref="B1683:D1683"/>
    <mergeCell ref="E1683:L1683"/>
    <mergeCell ref="B1678:D1678"/>
    <mergeCell ref="E1678:L1678"/>
    <mergeCell ref="B1679:D1679"/>
    <mergeCell ref="E1679:L1679"/>
    <mergeCell ref="B1680:D1680"/>
    <mergeCell ref="E1680:L1680"/>
    <mergeCell ref="B1675:D1675"/>
    <mergeCell ref="E1675:L1675"/>
    <mergeCell ref="B1676:D1676"/>
    <mergeCell ref="E1676:L1676"/>
    <mergeCell ref="B1677:D1677"/>
    <mergeCell ref="E1677:L1677"/>
    <mergeCell ref="B1672:D1672"/>
    <mergeCell ref="E1672:L1672"/>
    <mergeCell ref="B1673:D1673"/>
    <mergeCell ref="E1673:L1673"/>
    <mergeCell ref="B1674:D1674"/>
    <mergeCell ref="E1674:L1674"/>
    <mergeCell ref="B1669:D1669"/>
    <mergeCell ref="E1669:L1669"/>
    <mergeCell ref="B1670:D1670"/>
    <mergeCell ref="E1670:L1670"/>
    <mergeCell ref="B1671:D1671"/>
    <mergeCell ref="E1671:L1671"/>
    <mergeCell ref="B1666:D1666"/>
    <mergeCell ref="E1666:L1666"/>
    <mergeCell ref="B1667:D1667"/>
    <mergeCell ref="E1667:L1667"/>
    <mergeCell ref="B1668:D1668"/>
    <mergeCell ref="E1668:L1668"/>
    <mergeCell ref="B1663:D1663"/>
    <mergeCell ref="E1663:L1663"/>
    <mergeCell ref="B1664:D1664"/>
    <mergeCell ref="E1664:L1664"/>
    <mergeCell ref="B1665:D1665"/>
    <mergeCell ref="E1665:L1665"/>
    <mergeCell ref="B1660:D1660"/>
    <mergeCell ref="E1660:L1660"/>
    <mergeCell ref="B1661:D1661"/>
    <mergeCell ref="E1661:L1661"/>
    <mergeCell ref="B1662:D1662"/>
    <mergeCell ref="E1662:L1662"/>
    <mergeCell ref="B1657:D1657"/>
    <mergeCell ref="E1657:L1657"/>
    <mergeCell ref="B1658:D1658"/>
    <mergeCell ref="E1658:L1658"/>
    <mergeCell ref="B1659:D1659"/>
    <mergeCell ref="E1659:L1659"/>
    <mergeCell ref="B1654:D1654"/>
    <mergeCell ref="E1654:L1654"/>
    <mergeCell ref="B1655:D1655"/>
    <mergeCell ref="E1655:L1655"/>
    <mergeCell ref="B1656:D1656"/>
    <mergeCell ref="E1656:L1656"/>
    <mergeCell ref="B1651:D1651"/>
    <mergeCell ref="E1651:L1651"/>
    <mergeCell ref="B1652:D1652"/>
    <mergeCell ref="E1652:L1652"/>
    <mergeCell ref="B1653:D1653"/>
    <mergeCell ref="E1653:L1653"/>
    <mergeCell ref="B1648:D1648"/>
    <mergeCell ref="E1648:L1648"/>
    <mergeCell ref="B1649:D1649"/>
    <mergeCell ref="E1649:L1649"/>
    <mergeCell ref="B1650:D1650"/>
    <mergeCell ref="E1650:L1650"/>
    <mergeCell ref="B1645:D1645"/>
    <mergeCell ref="E1645:L1645"/>
    <mergeCell ref="B1646:D1646"/>
    <mergeCell ref="E1646:L1646"/>
    <mergeCell ref="B1647:D1647"/>
    <mergeCell ref="E1647:L1647"/>
    <mergeCell ref="B1642:D1642"/>
    <mergeCell ref="E1642:L1642"/>
    <mergeCell ref="B1643:D1643"/>
    <mergeCell ref="E1643:L1643"/>
    <mergeCell ref="B1644:D1644"/>
    <mergeCell ref="E1644:L1644"/>
    <mergeCell ref="B1639:D1639"/>
    <mergeCell ref="E1639:L1639"/>
    <mergeCell ref="B1640:D1640"/>
    <mergeCell ref="E1640:L1640"/>
    <mergeCell ref="B1641:D1641"/>
    <mergeCell ref="E1641:L1641"/>
    <mergeCell ref="B1636:D1636"/>
    <mergeCell ref="E1636:L1636"/>
    <mergeCell ref="B1637:D1637"/>
    <mergeCell ref="E1637:L1637"/>
    <mergeCell ref="B1638:D1638"/>
    <mergeCell ref="E1638:L1638"/>
    <mergeCell ref="B1633:D1633"/>
    <mergeCell ref="E1633:L1633"/>
    <mergeCell ref="B1634:D1634"/>
    <mergeCell ref="E1634:L1634"/>
    <mergeCell ref="B1635:D1635"/>
    <mergeCell ref="E1635:L1635"/>
    <mergeCell ref="B1630:D1630"/>
    <mergeCell ref="E1630:L1630"/>
    <mergeCell ref="B1631:D1631"/>
    <mergeCell ref="E1631:L1631"/>
    <mergeCell ref="B1632:D1632"/>
    <mergeCell ref="E1632:L1632"/>
    <mergeCell ref="B1627:D1627"/>
    <mergeCell ref="E1627:L1627"/>
    <mergeCell ref="B1628:D1628"/>
    <mergeCell ref="E1628:L1628"/>
    <mergeCell ref="B1629:D1629"/>
    <mergeCell ref="E1629:L1629"/>
    <mergeCell ref="B1624:D1624"/>
    <mergeCell ref="E1624:L1624"/>
    <mergeCell ref="B1625:D1625"/>
    <mergeCell ref="E1625:L1625"/>
    <mergeCell ref="B1626:D1626"/>
    <mergeCell ref="E1626:L1626"/>
    <mergeCell ref="B1621:D1621"/>
    <mergeCell ref="E1621:L1621"/>
    <mergeCell ref="B1622:D1622"/>
    <mergeCell ref="E1622:L1622"/>
    <mergeCell ref="B1623:D1623"/>
    <mergeCell ref="E1623:L1623"/>
    <mergeCell ref="B1618:D1618"/>
    <mergeCell ref="E1618:L1618"/>
    <mergeCell ref="B1619:D1619"/>
    <mergeCell ref="E1619:L1619"/>
    <mergeCell ref="B1620:D1620"/>
    <mergeCell ref="E1620:L1620"/>
    <mergeCell ref="B1615:D1615"/>
    <mergeCell ref="E1615:L1615"/>
    <mergeCell ref="B1616:D1616"/>
    <mergeCell ref="E1616:L1616"/>
    <mergeCell ref="B1617:D1617"/>
    <mergeCell ref="E1617:L1617"/>
    <mergeCell ref="B1612:D1612"/>
    <mergeCell ref="E1612:L1612"/>
    <mergeCell ref="B1613:D1613"/>
    <mergeCell ref="E1613:L1613"/>
    <mergeCell ref="B1614:D1614"/>
    <mergeCell ref="E1614:L1614"/>
    <mergeCell ref="B1609:D1609"/>
    <mergeCell ref="E1609:L1609"/>
    <mergeCell ref="B1610:D1610"/>
    <mergeCell ref="E1610:L1610"/>
    <mergeCell ref="B1611:D1611"/>
    <mergeCell ref="E1611:L1611"/>
    <mergeCell ref="B1606:D1606"/>
    <mergeCell ref="E1606:L1606"/>
    <mergeCell ref="B1607:D1607"/>
    <mergeCell ref="E1607:L1607"/>
    <mergeCell ref="B1608:D1608"/>
    <mergeCell ref="E1608:L1608"/>
    <mergeCell ref="B1603:D1603"/>
    <mergeCell ref="E1603:L1603"/>
    <mergeCell ref="B1604:D1604"/>
    <mergeCell ref="E1604:L1604"/>
    <mergeCell ref="B1605:D1605"/>
    <mergeCell ref="E1605:L1605"/>
    <mergeCell ref="B1600:D1600"/>
    <mergeCell ref="E1600:L1600"/>
    <mergeCell ref="B1601:D1601"/>
    <mergeCell ref="E1601:L1601"/>
    <mergeCell ref="B1602:D1602"/>
    <mergeCell ref="E1602:L1602"/>
    <mergeCell ref="B1597:D1597"/>
    <mergeCell ref="E1597:L1597"/>
    <mergeCell ref="B1598:D1598"/>
    <mergeCell ref="E1598:L1598"/>
    <mergeCell ref="B1599:D1599"/>
    <mergeCell ref="E1599:L1599"/>
    <mergeCell ref="B1594:D1594"/>
    <mergeCell ref="E1594:L1594"/>
    <mergeCell ref="B1595:D1595"/>
    <mergeCell ref="E1595:L1595"/>
    <mergeCell ref="B1596:D1596"/>
    <mergeCell ref="E1596:L1596"/>
    <mergeCell ref="B1591:D1591"/>
    <mergeCell ref="E1591:L1591"/>
    <mergeCell ref="B1592:D1592"/>
    <mergeCell ref="E1592:L1592"/>
    <mergeCell ref="B1593:D1593"/>
    <mergeCell ref="E1593:L1593"/>
    <mergeCell ref="B1588:D1588"/>
    <mergeCell ref="E1588:L1588"/>
    <mergeCell ref="B1589:D1589"/>
    <mergeCell ref="E1589:L1589"/>
    <mergeCell ref="B1590:D1590"/>
    <mergeCell ref="E1590:L1590"/>
    <mergeCell ref="B1585:D1585"/>
    <mergeCell ref="E1585:L1585"/>
    <mergeCell ref="B1586:D1586"/>
    <mergeCell ref="E1586:L1586"/>
    <mergeCell ref="B1587:D1587"/>
    <mergeCell ref="E1587:L1587"/>
    <mergeCell ref="B1582:D1582"/>
    <mergeCell ref="E1582:L1582"/>
    <mergeCell ref="B1583:D1583"/>
    <mergeCell ref="E1583:L1583"/>
    <mergeCell ref="B1584:D1584"/>
    <mergeCell ref="E1584:L1584"/>
    <mergeCell ref="B1579:D1579"/>
    <mergeCell ref="E1579:L1579"/>
    <mergeCell ref="B1580:D1580"/>
    <mergeCell ref="E1580:L1580"/>
    <mergeCell ref="B1581:D1581"/>
    <mergeCell ref="E1581:L1581"/>
    <mergeCell ref="B1576:D1576"/>
    <mergeCell ref="E1576:L1576"/>
    <mergeCell ref="B1577:D1577"/>
    <mergeCell ref="E1577:L1577"/>
    <mergeCell ref="B1578:D1578"/>
    <mergeCell ref="E1578:L1578"/>
    <mergeCell ref="B1573:D1573"/>
    <mergeCell ref="E1573:L1573"/>
    <mergeCell ref="B1574:D1574"/>
    <mergeCell ref="E1574:L1574"/>
    <mergeCell ref="B1575:D1575"/>
    <mergeCell ref="E1575:L1575"/>
    <mergeCell ref="B1570:D1570"/>
    <mergeCell ref="E1570:L1570"/>
    <mergeCell ref="B1571:D1571"/>
    <mergeCell ref="E1571:L1571"/>
    <mergeCell ref="B1572:D1572"/>
    <mergeCell ref="E1572:L1572"/>
    <mergeCell ref="B1567:D1567"/>
    <mergeCell ref="E1567:L1567"/>
    <mergeCell ref="B1568:D1568"/>
    <mergeCell ref="E1568:L1568"/>
    <mergeCell ref="B1569:D1569"/>
    <mergeCell ref="E1569:L1569"/>
    <mergeCell ref="B1564:D1564"/>
    <mergeCell ref="E1564:L1564"/>
    <mergeCell ref="B1565:D1565"/>
    <mergeCell ref="E1565:L1565"/>
    <mergeCell ref="B1566:D1566"/>
    <mergeCell ref="E1566:L1566"/>
    <mergeCell ref="B1561:D1561"/>
    <mergeCell ref="E1561:L1561"/>
    <mergeCell ref="B1562:D1562"/>
    <mergeCell ref="E1562:L1562"/>
    <mergeCell ref="B1563:D1563"/>
    <mergeCell ref="E1563:L1563"/>
    <mergeCell ref="B1558:D1558"/>
    <mergeCell ref="E1558:L1558"/>
    <mergeCell ref="B1559:D1559"/>
    <mergeCell ref="E1559:L1559"/>
    <mergeCell ref="B1560:D1560"/>
    <mergeCell ref="E1560:L1560"/>
    <mergeCell ref="B1555:D1555"/>
    <mergeCell ref="E1555:L1555"/>
    <mergeCell ref="B1556:D1556"/>
    <mergeCell ref="E1556:L1556"/>
    <mergeCell ref="B1557:D1557"/>
    <mergeCell ref="E1557:L1557"/>
    <mergeCell ref="B1552:D1552"/>
    <mergeCell ref="E1552:L1552"/>
    <mergeCell ref="B1553:D1553"/>
    <mergeCell ref="E1553:L1553"/>
    <mergeCell ref="B1554:D1554"/>
    <mergeCell ref="E1554:L1554"/>
    <mergeCell ref="B1549:D1549"/>
    <mergeCell ref="E1549:L1549"/>
    <mergeCell ref="B1550:D1550"/>
    <mergeCell ref="E1550:L1550"/>
    <mergeCell ref="B1551:D1551"/>
    <mergeCell ref="E1551:L1551"/>
    <mergeCell ref="B1546:D1546"/>
    <mergeCell ref="E1546:L1546"/>
    <mergeCell ref="B1547:D1547"/>
    <mergeCell ref="E1547:L1547"/>
    <mergeCell ref="B1548:D1548"/>
    <mergeCell ref="E1548:L1548"/>
    <mergeCell ref="B1543:D1543"/>
    <mergeCell ref="E1543:L1543"/>
    <mergeCell ref="B1544:D1544"/>
    <mergeCell ref="E1544:L1544"/>
    <mergeCell ref="B1545:D1545"/>
    <mergeCell ref="E1545:L1545"/>
    <mergeCell ref="B1540:D1540"/>
    <mergeCell ref="E1540:L1540"/>
    <mergeCell ref="B1541:D1541"/>
    <mergeCell ref="E1541:L1541"/>
    <mergeCell ref="B1542:D1542"/>
    <mergeCell ref="E1542:L1542"/>
    <mergeCell ref="B1537:D1537"/>
    <mergeCell ref="E1537:L1537"/>
    <mergeCell ref="B1538:D1538"/>
    <mergeCell ref="E1538:L1538"/>
    <mergeCell ref="B1539:D1539"/>
    <mergeCell ref="E1539:L1539"/>
    <mergeCell ref="B1534:D1534"/>
    <mergeCell ref="E1534:L1534"/>
    <mergeCell ref="B1535:D1535"/>
    <mergeCell ref="E1535:L1535"/>
    <mergeCell ref="B1536:D1536"/>
    <mergeCell ref="E1536:L1536"/>
    <mergeCell ref="B1531:D1531"/>
    <mergeCell ref="E1531:L1531"/>
    <mergeCell ref="B1532:D1532"/>
    <mergeCell ref="E1532:L1532"/>
    <mergeCell ref="B1533:D1533"/>
    <mergeCell ref="E1533:L1533"/>
    <mergeCell ref="B1528:D1528"/>
    <mergeCell ref="E1528:L1528"/>
    <mergeCell ref="B1529:D1529"/>
    <mergeCell ref="E1529:L1529"/>
    <mergeCell ref="B1530:D1530"/>
    <mergeCell ref="E1530:L1530"/>
    <mergeCell ref="B1525:D1525"/>
    <mergeCell ref="E1525:L1525"/>
    <mergeCell ref="B1526:D1526"/>
    <mergeCell ref="E1526:L1526"/>
    <mergeCell ref="B1527:D1527"/>
    <mergeCell ref="E1527:L1527"/>
    <mergeCell ref="B1522:D1522"/>
    <mergeCell ref="E1522:L1522"/>
    <mergeCell ref="B1523:D1523"/>
    <mergeCell ref="E1523:L1523"/>
    <mergeCell ref="B1524:D1524"/>
    <mergeCell ref="E1524:L1524"/>
    <mergeCell ref="B1519:D1519"/>
    <mergeCell ref="E1519:L1519"/>
    <mergeCell ref="B1520:D1520"/>
    <mergeCell ref="E1520:L1520"/>
    <mergeCell ref="B1521:D1521"/>
    <mergeCell ref="E1521:L1521"/>
    <mergeCell ref="B1516:D1516"/>
    <mergeCell ref="E1516:L1516"/>
    <mergeCell ref="B1517:D1517"/>
    <mergeCell ref="E1517:L1517"/>
    <mergeCell ref="B1518:D1518"/>
    <mergeCell ref="E1518:L1518"/>
    <mergeCell ref="B1513:D1513"/>
    <mergeCell ref="E1513:L1513"/>
    <mergeCell ref="B1514:D1514"/>
    <mergeCell ref="E1514:L1514"/>
    <mergeCell ref="B1515:D1515"/>
    <mergeCell ref="E1515:L1515"/>
    <mergeCell ref="B1510:D1510"/>
    <mergeCell ref="E1510:L1510"/>
    <mergeCell ref="B1511:D1511"/>
    <mergeCell ref="E1511:L1511"/>
    <mergeCell ref="B1512:D1512"/>
    <mergeCell ref="E1512:L1512"/>
    <mergeCell ref="B1507:D1507"/>
    <mergeCell ref="E1507:L1507"/>
    <mergeCell ref="B1508:D1508"/>
    <mergeCell ref="E1508:L1508"/>
    <mergeCell ref="B1509:D1509"/>
    <mergeCell ref="E1509:L1509"/>
    <mergeCell ref="B1504:D1504"/>
    <mergeCell ref="E1504:L1504"/>
    <mergeCell ref="B1505:D1505"/>
    <mergeCell ref="E1505:L1505"/>
    <mergeCell ref="B1506:D1506"/>
    <mergeCell ref="E1506:L1506"/>
    <mergeCell ref="B1501:D1501"/>
    <mergeCell ref="E1501:L1501"/>
    <mergeCell ref="B1502:D1502"/>
    <mergeCell ref="E1502:L1502"/>
    <mergeCell ref="B1503:D1503"/>
    <mergeCell ref="E1503:L1503"/>
    <mergeCell ref="B1498:D1498"/>
    <mergeCell ref="E1498:L1498"/>
    <mergeCell ref="B1499:D1499"/>
    <mergeCell ref="E1499:L1499"/>
    <mergeCell ref="B1500:D1500"/>
    <mergeCell ref="E1500:L1500"/>
    <mergeCell ref="B1495:D1495"/>
    <mergeCell ref="E1495:L1495"/>
    <mergeCell ref="B1496:D1496"/>
    <mergeCell ref="E1496:L1496"/>
    <mergeCell ref="B1497:D1497"/>
    <mergeCell ref="E1497:L1497"/>
    <mergeCell ref="B1492:D1492"/>
    <mergeCell ref="E1492:L1492"/>
    <mergeCell ref="B1493:D1493"/>
    <mergeCell ref="E1493:L1493"/>
    <mergeCell ref="B1494:D1494"/>
    <mergeCell ref="E1494:L1494"/>
    <mergeCell ref="B1489:D1489"/>
    <mergeCell ref="E1489:L1489"/>
    <mergeCell ref="B1490:D1490"/>
    <mergeCell ref="E1490:L1490"/>
    <mergeCell ref="B1491:D1491"/>
    <mergeCell ref="E1491:L1491"/>
    <mergeCell ref="B1486:D1486"/>
    <mergeCell ref="E1486:L1486"/>
    <mergeCell ref="B1487:D1487"/>
    <mergeCell ref="E1487:L1487"/>
    <mergeCell ref="B1488:D1488"/>
    <mergeCell ref="E1488:L1488"/>
    <mergeCell ref="B1483:D1483"/>
    <mergeCell ref="E1483:L1483"/>
    <mergeCell ref="B1484:D1484"/>
    <mergeCell ref="E1484:L1484"/>
    <mergeCell ref="B1485:D1485"/>
    <mergeCell ref="E1485:L1485"/>
    <mergeCell ref="B1480:D1480"/>
    <mergeCell ref="E1480:L1480"/>
    <mergeCell ref="B1481:D1481"/>
    <mergeCell ref="E1481:L1481"/>
    <mergeCell ref="B1482:D1482"/>
    <mergeCell ref="E1482:L1482"/>
    <mergeCell ref="B1477:D1477"/>
    <mergeCell ref="E1477:L1477"/>
    <mergeCell ref="B1478:D1478"/>
    <mergeCell ref="E1478:L1478"/>
    <mergeCell ref="B1479:D1479"/>
    <mergeCell ref="E1479:L1479"/>
    <mergeCell ref="B1474:D1474"/>
    <mergeCell ref="E1474:L1474"/>
    <mergeCell ref="B1475:D1475"/>
    <mergeCell ref="E1475:L1475"/>
    <mergeCell ref="B1476:D1476"/>
    <mergeCell ref="E1476:L1476"/>
    <mergeCell ref="B1471:D1471"/>
    <mergeCell ref="E1471:L1471"/>
    <mergeCell ref="B1472:D1472"/>
    <mergeCell ref="E1472:L1472"/>
    <mergeCell ref="B1473:D1473"/>
    <mergeCell ref="E1473:L1473"/>
    <mergeCell ref="B1468:D1468"/>
    <mergeCell ref="E1468:L1468"/>
    <mergeCell ref="B1469:D1469"/>
    <mergeCell ref="E1469:L1469"/>
    <mergeCell ref="B1470:D1470"/>
    <mergeCell ref="E1470:L1470"/>
    <mergeCell ref="B1465:D1465"/>
    <mergeCell ref="E1465:L1465"/>
    <mergeCell ref="B1466:D1466"/>
    <mergeCell ref="E1466:L1466"/>
    <mergeCell ref="B1467:D1467"/>
    <mergeCell ref="E1467:L1467"/>
    <mergeCell ref="B1462:D1462"/>
    <mergeCell ref="E1462:L1462"/>
    <mergeCell ref="B1463:D1463"/>
    <mergeCell ref="E1463:L1463"/>
    <mergeCell ref="B1464:D1464"/>
    <mergeCell ref="E1464:L1464"/>
    <mergeCell ref="B1459:D1459"/>
    <mergeCell ref="E1459:L1459"/>
    <mergeCell ref="B1460:D1460"/>
    <mergeCell ref="E1460:L1460"/>
    <mergeCell ref="B1461:D1461"/>
    <mergeCell ref="E1461:L1461"/>
    <mergeCell ref="B1456:D1456"/>
    <mergeCell ref="E1456:L1456"/>
    <mergeCell ref="B1457:D1457"/>
    <mergeCell ref="E1457:L1457"/>
    <mergeCell ref="B1458:D1458"/>
    <mergeCell ref="E1458:L1458"/>
    <mergeCell ref="B1453:D1453"/>
    <mergeCell ref="E1453:L1453"/>
    <mergeCell ref="B1454:D1454"/>
    <mergeCell ref="E1454:L1454"/>
    <mergeCell ref="B1455:D1455"/>
    <mergeCell ref="E1455:L1455"/>
    <mergeCell ref="B1450:D1450"/>
    <mergeCell ref="E1450:L1450"/>
    <mergeCell ref="B1451:D1451"/>
    <mergeCell ref="E1451:L1451"/>
    <mergeCell ref="B1452:D1452"/>
    <mergeCell ref="E1452:L1452"/>
    <mergeCell ref="B1447:D1447"/>
    <mergeCell ref="E1447:L1447"/>
    <mergeCell ref="B1448:D1448"/>
    <mergeCell ref="E1448:L1448"/>
    <mergeCell ref="B1449:D1449"/>
    <mergeCell ref="E1449:L1449"/>
    <mergeCell ref="B1444:D1444"/>
    <mergeCell ref="E1444:L1444"/>
    <mergeCell ref="B1445:D1445"/>
    <mergeCell ref="E1445:L1445"/>
    <mergeCell ref="B1446:D1446"/>
    <mergeCell ref="E1446:L1446"/>
    <mergeCell ref="B1441:D1441"/>
    <mergeCell ref="E1441:L1441"/>
    <mergeCell ref="B1442:D1442"/>
    <mergeCell ref="E1442:L1442"/>
    <mergeCell ref="B1443:D1443"/>
    <mergeCell ref="E1443:L1443"/>
    <mergeCell ref="B1438:D1438"/>
    <mergeCell ref="E1438:L1438"/>
    <mergeCell ref="B1439:D1439"/>
    <mergeCell ref="E1439:L1439"/>
    <mergeCell ref="B1440:D1440"/>
    <mergeCell ref="E1440:L1440"/>
    <mergeCell ref="B1435:D1435"/>
    <mergeCell ref="E1435:L1435"/>
    <mergeCell ref="B1436:D1436"/>
    <mergeCell ref="E1436:L1436"/>
    <mergeCell ref="B1437:D1437"/>
    <mergeCell ref="E1437:L1437"/>
    <mergeCell ref="B1432:D1432"/>
    <mergeCell ref="E1432:L1432"/>
    <mergeCell ref="B1433:D1433"/>
    <mergeCell ref="E1433:L1433"/>
    <mergeCell ref="B1434:D1434"/>
    <mergeCell ref="E1434:L1434"/>
    <mergeCell ref="B1429:D1429"/>
    <mergeCell ref="E1429:L1429"/>
    <mergeCell ref="B1430:D1430"/>
    <mergeCell ref="E1430:L1430"/>
    <mergeCell ref="B1431:D1431"/>
    <mergeCell ref="E1431:L1431"/>
    <mergeCell ref="B1426:D1426"/>
    <mergeCell ref="E1426:L1426"/>
    <mergeCell ref="B1427:D1427"/>
    <mergeCell ref="E1427:L1427"/>
    <mergeCell ref="B1428:D1428"/>
    <mergeCell ref="E1428:L1428"/>
    <mergeCell ref="B1423:D1423"/>
    <mergeCell ref="E1423:L1423"/>
    <mergeCell ref="B1424:D1424"/>
    <mergeCell ref="E1424:L1424"/>
    <mergeCell ref="B1425:D1425"/>
    <mergeCell ref="E1425:L1425"/>
    <mergeCell ref="B1420:D1420"/>
    <mergeCell ref="E1420:L1420"/>
    <mergeCell ref="B1421:D1421"/>
    <mergeCell ref="E1421:L1421"/>
    <mergeCell ref="B1422:D1422"/>
    <mergeCell ref="E1422:L1422"/>
    <mergeCell ref="B1417:D1417"/>
    <mergeCell ref="E1417:L1417"/>
    <mergeCell ref="B1418:D1418"/>
    <mergeCell ref="E1418:L1418"/>
    <mergeCell ref="B1419:D1419"/>
    <mergeCell ref="E1419:L1419"/>
    <mergeCell ref="B1414:D1414"/>
    <mergeCell ref="E1414:L1414"/>
    <mergeCell ref="B1415:D1415"/>
    <mergeCell ref="E1415:L1415"/>
    <mergeCell ref="B1416:D1416"/>
    <mergeCell ref="E1416:L1416"/>
    <mergeCell ref="B1411:D1411"/>
    <mergeCell ref="E1411:L1411"/>
    <mergeCell ref="B1412:D1412"/>
    <mergeCell ref="E1412:L1412"/>
    <mergeCell ref="B1413:D1413"/>
    <mergeCell ref="E1413:L1413"/>
    <mergeCell ref="B1408:D1408"/>
    <mergeCell ref="E1408:L1408"/>
    <mergeCell ref="B1409:D1409"/>
    <mergeCell ref="E1409:L1409"/>
    <mergeCell ref="B1410:D1410"/>
    <mergeCell ref="E1410:L1410"/>
    <mergeCell ref="B1405:D1405"/>
    <mergeCell ref="E1405:L1405"/>
    <mergeCell ref="B1406:D1406"/>
    <mergeCell ref="E1406:L1406"/>
    <mergeCell ref="B1407:D1407"/>
    <mergeCell ref="E1407:L1407"/>
    <mergeCell ref="B1402:D1402"/>
    <mergeCell ref="E1402:L1402"/>
    <mergeCell ref="B1403:D1403"/>
    <mergeCell ref="E1403:L1403"/>
    <mergeCell ref="B1404:D1404"/>
    <mergeCell ref="E1404:L1404"/>
    <mergeCell ref="B1399:D1399"/>
    <mergeCell ref="E1399:L1399"/>
    <mergeCell ref="B1400:D1400"/>
    <mergeCell ref="E1400:L1400"/>
    <mergeCell ref="B1401:D1401"/>
    <mergeCell ref="E1401:L1401"/>
    <mergeCell ref="B1396:D1396"/>
    <mergeCell ref="E1396:L1396"/>
    <mergeCell ref="B1397:D1397"/>
    <mergeCell ref="E1397:L1397"/>
    <mergeCell ref="B1398:D1398"/>
    <mergeCell ref="E1398:L1398"/>
    <mergeCell ref="B1393:D1393"/>
    <mergeCell ref="E1393:L1393"/>
    <mergeCell ref="B1394:D1394"/>
    <mergeCell ref="E1394:L1394"/>
    <mergeCell ref="B1395:D1395"/>
    <mergeCell ref="E1395:L1395"/>
    <mergeCell ref="B1390:D1390"/>
    <mergeCell ref="E1390:L1390"/>
    <mergeCell ref="B1391:D1391"/>
    <mergeCell ref="E1391:L1391"/>
    <mergeCell ref="B1392:D1392"/>
    <mergeCell ref="E1392:L1392"/>
    <mergeCell ref="B1387:D1387"/>
    <mergeCell ref="E1387:L1387"/>
    <mergeCell ref="B1388:D1388"/>
    <mergeCell ref="E1388:L1388"/>
    <mergeCell ref="B1389:D1389"/>
    <mergeCell ref="E1389:L1389"/>
    <mergeCell ref="B1384:D1384"/>
    <mergeCell ref="E1384:L1384"/>
    <mergeCell ref="B1385:D1385"/>
    <mergeCell ref="E1385:L1385"/>
    <mergeCell ref="B1386:D1386"/>
    <mergeCell ref="E1386:L1386"/>
    <mergeCell ref="B1381:D1381"/>
    <mergeCell ref="E1381:L1381"/>
    <mergeCell ref="B1382:D1382"/>
    <mergeCell ref="E1382:L1382"/>
    <mergeCell ref="B1383:D1383"/>
    <mergeCell ref="E1383:L1383"/>
    <mergeCell ref="B1378:D1378"/>
    <mergeCell ref="E1378:L1378"/>
    <mergeCell ref="B1379:D1379"/>
    <mergeCell ref="E1379:L1379"/>
    <mergeCell ref="B1380:D1380"/>
    <mergeCell ref="E1380:L1380"/>
    <mergeCell ref="B1375:D1375"/>
    <mergeCell ref="E1375:L1375"/>
    <mergeCell ref="B1376:D1376"/>
    <mergeCell ref="E1376:L1376"/>
    <mergeCell ref="B1377:D1377"/>
    <mergeCell ref="E1377:L1377"/>
    <mergeCell ref="B1372:D1372"/>
    <mergeCell ref="E1372:L1372"/>
    <mergeCell ref="B1373:D1373"/>
    <mergeCell ref="E1373:L1373"/>
    <mergeCell ref="B1374:D1374"/>
    <mergeCell ref="E1374:L1374"/>
    <mergeCell ref="B1369:D1369"/>
    <mergeCell ref="E1369:L1369"/>
    <mergeCell ref="B1370:D1370"/>
    <mergeCell ref="E1370:L1370"/>
    <mergeCell ref="B1371:D1371"/>
    <mergeCell ref="E1371:L1371"/>
    <mergeCell ref="B1366:D1366"/>
    <mergeCell ref="E1366:L1366"/>
    <mergeCell ref="B1367:D1367"/>
    <mergeCell ref="E1367:L1367"/>
    <mergeCell ref="B1368:D1368"/>
    <mergeCell ref="E1368:L1368"/>
    <mergeCell ref="B1363:D1363"/>
    <mergeCell ref="E1363:L1363"/>
    <mergeCell ref="B1364:D1364"/>
    <mergeCell ref="E1364:L1364"/>
    <mergeCell ref="B1365:D1365"/>
    <mergeCell ref="E1365:L1365"/>
    <mergeCell ref="B1360:D1360"/>
    <mergeCell ref="E1360:L1360"/>
    <mergeCell ref="B1361:D1361"/>
    <mergeCell ref="E1361:L1361"/>
    <mergeCell ref="B1362:D1362"/>
    <mergeCell ref="E1362:L1362"/>
    <mergeCell ref="B1357:D1357"/>
    <mergeCell ref="E1357:L1357"/>
    <mergeCell ref="B1358:D1358"/>
    <mergeCell ref="E1358:L1358"/>
    <mergeCell ref="B1359:D1359"/>
    <mergeCell ref="E1359:L1359"/>
    <mergeCell ref="B1354:D1354"/>
    <mergeCell ref="E1354:L1354"/>
    <mergeCell ref="B1355:D1355"/>
    <mergeCell ref="E1355:L1355"/>
    <mergeCell ref="B1356:D1356"/>
    <mergeCell ref="E1356:L1356"/>
    <mergeCell ref="B1351:D1351"/>
    <mergeCell ref="E1351:L1351"/>
    <mergeCell ref="B1352:D1352"/>
    <mergeCell ref="E1352:L1352"/>
    <mergeCell ref="B1353:D1353"/>
    <mergeCell ref="E1353:L1353"/>
    <mergeCell ref="B1348:D1348"/>
    <mergeCell ref="E1348:L1348"/>
    <mergeCell ref="B1349:D1349"/>
    <mergeCell ref="E1349:L1349"/>
    <mergeCell ref="B1350:D1350"/>
    <mergeCell ref="E1350:L1350"/>
    <mergeCell ref="B1345:D1345"/>
    <mergeCell ref="E1345:L1345"/>
    <mergeCell ref="B1346:D1346"/>
    <mergeCell ref="E1346:L1346"/>
    <mergeCell ref="B1347:D1347"/>
    <mergeCell ref="E1347:L1347"/>
    <mergeCell ref="B1342:D1342"/>
    <mergeCell ref="E1342:L1342"/>
    <mergeCell ref="B1343:D1343"/>
    <mergeCell ref="E1343:L1343"/>
    <mergeCell ref="B1344:D1344"/>
    <mergeCell ref="E1344:L1344"/>
    <mergeCell ref="B1339:D1339"/>
    <mergeCell ref="E1339:L1339"/>
    <mergeCell ref="B1340:D1340"/>
    <mergeCell ref="E1340:L1340"/>
    <mergeCell ref="B1341:D1341"/>
    <mergeCell ref="E1341:L1341"/>
    <mergeCell ref="B1336:D1336"/>
    <mergeCell ref="E1336:L1336"/>
    <mergeCell ref="B1337:D1337"/>
    <mergeCell ref="E1337:L1337"/>
    <mergeCell ref="B1338:D1338"/>
    <mergeCell ref="E1338:L1338"/>
    <mergeCell ref="B1333:D1333"/>
    <mergeCell ref="E1333:L1333"/>
    <mergeCell ref="B1334:D1334"/>
    <mergeCell ref="E1334:L1334"/>
    <mergeCell ref="B1335:D1335"/>
    <mergeCell ref="E1335:L1335"/>
    <mergeCell ref="B1330:D1330"/>
    <mergeCell ref="E1330:L1330"/>
    <mergeCell ref="B1331:D1331"/>
    <mergeCell ref="E1331:L1331"/>
    <mergeCell ref="B1332:D1332"/>
    <mergeCell ref="E1332:L1332"/>
    <mergeCell ref="B1327:D1327"/>
    <mergeCell ref="E1327:L1327"/>
    <mergeCell ref="B1328:D1328"/>
    <mergeCell ref="E1328:L1328"/>
    <mergeCell ref="B1329:D1329"/>
    <mergeCell ref="E1329:L1329"/>
    <mergeCell ref="B1324:D1324"/>
    <mergeCell ref="E1324:L1324"/>
    <mergeCell ref="B1325:D1325"/>
    <mergeCell ref="E1325:L1325"/>
    <mergeCell ref="B1326:D1326"/>
    <mergeCell ref="E1326:L1326"/>
    <mergeCell ref="B1321:D1321"/>
    <mergeCell ref="E1321:L1321"/>
    <mergeCell ref="B1322:D1322"/>
    <mergeCell ref="E1322:L1322"/>
    <mergeCell ref="B1323:D1323"/>
    <mergeCell ref="E1323:L1323"/>
    <mergeCell ref="B1318:D1318"/>
    <mergeCell ref="E1318:L1318"/>
    <mergeCell ref="B1319:D1319"/>
    <mergeCell ref="E1319:L1319"/>
    <mergeCell ref="B1320:D1320"/>
    <mergeCell ref="E1320:L1320"/>
    <mergeCell ref="B1315:D1315"/>
    <mergeCell ref="E1315:L1315"/>
    <mergeCell ref="B1316:D1316"/>
    <mergeCell ref="E1316:L1316"/>
    <mergeCell ref="B1317:D1317"/>
    <mergeCell ref="E1317:L1317"/>
    <mergeCell ref="B1312:D1312"/>
    <mergeCell ref="E1312:L1312"/>
    <mergeCell ref="B1313:D1313"/>
    <mergeCell ref="E1313:L1313"/>
    <mergeCell ref="B1314:D1314"/>
    <mergeCell ref="E1314:L1314"/>
    <mergeCell ref="B1309:D1309"/>
    <mergeCell ref="E1309:L1309"/>
    <mergeCell ref="B1310:D1310"/>
    <mergeCell ref="E1310:L1310"/>
    <mergeCell ref="B1311:D1311"/>
    <mergeCell ref="E1311:L1311"/>
    <mergeCell ref="B1306:D1306"/>
    <mergeCell ref="E1306:L1306"/>
    <mergeCell ref="B1307:D1307"/>
    <mergeCell ref="E1307:L1307"/>
    <mergeCell ref="B1308:D1308"/>
    <mergeCell ref="E1308:L1308"/>
    <mergeCell ref="B1303:D1303"/>
    <mergeCell ref="E1303:L1303"/>
    <mergeCell ref="B1304:D1304"/>
    <mergeCell ref="E1304:L1304"/>
    <mergeCell ref="B1305:D1305"/>
    <mergeCell ref="E1305:L1305"/>
    <mergeCell ref="B1300:D1300"/>
    <mergeCell ref="E1300:L1300"/>
    <mergeCell ref="B1301:D1301"/>
    <mergeCell ref="E1301:L1301"/>
    <mergeCell ref="B1302:D1302"/>
    <mergeCell ref="E1302:L1302"/>
    <mergeCell ref="B1297:D1297"/>
    <mergeCell ref="E1297:L1297"/>
    <mergeCell ref="B1298:D1298"/>
    <mergeCell ref="E1298:L1298"/>
    <mergeCell ref="B1299:D1299"/>
    <mergeCell ref="E1299:L1299"/>
    <mergeCell ref="B1294:D1294"/>
    <mergeCell ref="E1294:L1294"/>
    <mergeCell ref="B1295:D1295"/>
    <mergeCell ref="E1295:L1295"/>
    <mergeCell ref="B1296:D1296"/>
    <mergeCell ref="E1296:L1296"/>
    <mergeCell ref="B1291:D1291"/>
    <mergeCell ref="E1291:L1291"/>
    <mergeCell ref="B1292:D1292"/>
    <mergeCell ref="E1292:L1292"/>
    <mergeCell ref="B1293:D1293"/>
    <mergeCell ref="E1293:L1293"/>
    <mergeCell ref="B1288:D1288"/>
    <mergeCell ref="E1288:L1288"/>
    <mergeCell ref="B1289:D1289"/>
    <mergeCell ref="E1289:L1289"/>
    <mergeCell ref="B1290:D1290"/>
    <mergeCell ref="E1290:L1290"/>
    <mergeCell ref="B1285:D1285"/>
    <mergeCell ref="E1285:L1285"/>
    <mergeCell ref="B1286:D1286"/>
    <mergeCell ref="E1286:L1286"/>
    <mergeCell ref="B1287:D1287"/>
    <mergeCell ref="E1287:L1287"/>
    <mergeCell ref="B1282:D1282"/>
    <mergeCell ref="E1282:L1282"/>
    <mergeCell ref="B1283:D1283"/>
    <mergeCell ref="E1283:L1283"/>
    <mergeCell ref="B1284:D1284"/>
    <mergeCell ref="E1284:L1284"/>
    <mergeCell ref="B1279:D1279"/>
    <mergeCell ref="E1279:L1279"/>
    <mergeCell ref="B1280:D1280"/>
    <mergeCell ref="E1280:L1280"/>
    <mergeCell ref="B1281:D1281"/>
    <mergeCell ref="E1281:L1281"/>
    <mergeCell ref="B1276:D1276"/>
    <mergeCell ref="E1276:L1276"/>
    <mergeCell ref="B1277:D1277"/>
    <mergeCell ref="E1277:L1277"/>
    <mergeCell ref="B1278:D1278"/>
    <mergeCell ref="E1278:L1278"/>
    <mergeCell ref="B1273:D1273"/>
    <mergeCell ref="E1273:L1273"/>
    <mergeCell ref="B1274:D1274"/>
    <mergeCell ref="E1274:L1274"/>
    <mergeCell ref="B1275:D1275"/>
    <mergeCell ref="E1275:L1275"/>
    <mergeCell ref="B1270:D1270"/>
    <mergeCell ref="E1270:L1270"/>
    <mergeCell ref="B1271:D1271"/>
    <mergeCell ref="E1271:L1271"/>
    <mergeCell ref="B1272:D1272"/>
    <mergeCell ref="E1272:L1272"/>
    <mergeCell ref="B1267:D1267"/>
    <mergeCell ref="E1267:L1267"/>
    <mergeCell ref="B1268:D1268"/>
    <mergeCell ref="E1268:L1268"/>
    <mergeCell ref="B1269:D1269"/>
    <mergeCell ref="E1269:L1269"/>
    <mergeCell ref="B1264:D1264"/>
    <mergeCell ref="E1264:L1264"/>
    <mergeCell ref="B1265:D1265"/>
    <mergeCell ref="E1265:L1265"/>
    <mergeCell ref="B1266:D1266"/>
    <mergeCell ref="E1266:L1266"/>
    <mergeCell ref="B1261:D1261"/>
    <mergeCell ref="E1261:L1261"/>
    <mergeCell ref="B1262:D1262"/>
    <mergeCell ref="E1262:L1262"/>
    <mergeCell ref="B1263:D1263"/>
    <mergeCell ref="E1263:L1263"/>
    <mergeCell ref="B1258:D1258"/>
    <mergeCell ref="E1258:L1258"/>
    <mergeCell ref="B1259:D1259"/>
    <mergeCell ref="E1259:L1259"/>
    <mergeCell ref="B1260:D1260"/>
    <mergeCell ref="E1260:L1260"/>
    <mergeCell ref="B1255:D1255"/>
    <mergeCell ref="E1255:L1255"/>
    <mergeCell ref="B1256:D1256"/>
    <mergeCell ref="E1256:L1256"/>
    <mergeCell ref="B1257:D1257"/>
    <mergeCell ref="E1257:L1257"/>
    <mergeCell ref="B1252:D1252"/>
    <mergeCell ref="E1252:L1252"/>
    <mergeCell ref="B1253:D1253"/>
    <mergeCell ref="E1253:L1253"/>
    <mergeCell ref="B1254:D1254"/>
    <mergeCell ref="E1254:L1254"/>
    <mergeCell ref="B1249:D1249"/>
    <mergeCell ref="E1249:L1249"/>
    <mergeCell ref="B1250:D1250"/>
    <mergeCell ref="E1250:L1250"/>
    <mergeCell ref="B1251:D1251"/>
    <mergeCell ref="E1251:L1251"/>
    <mergeCell ref="B1246:D1246"/>
    <mergeCell ref="E1246:L1246"/>
    <mergeCell ref="B1247:D1247"/>
    <mergeCell ref="E1247:L1247"/>
    <mergeCell ref="B1248:D1248"/>
    <mergeCell ref="E1248:L1248"/>
    <mergeCell ref="B1243:D1243"/>
    <mergeCell ref="E1243:L1243"/>
    <mergeCell ref="B1244:D1244"/>
    <mergeCell ref="E1244:L1244"/>
    <mergeCell ref="B1245:D1245"/>
    <mergeCell ref="E1245:L1245"/>
    <mergeCell ref="B1240:D1240"/>
    <mergeCell ref="E1240:L1240"/>
    <mergeCell ref="B1241:D1241"/>
    <mergeCell ref="E1241:L1241"/>
    <mergeCell ref="B1242:D1242"/>
    <mergeCell ref="E1242:L1242"/>
    <mergeCell ref="B1237:D1237"/>
    <mergeCell ref="E1237:L1237"/>
    <mergeCell ref="B1238:D1238"/>
    <mergeCell ref="E1238:L1238"/>
    <mergeCell ref="B1239:D1239"/>
    <mergeCell ref="E1239:L1239"/>
    <mergeCell ref="B1234:D1234"/>
    <mergeCell ref="E1234:L1234"/>
    <mergeCell ref="B1235:D1235"/>
    <mergeCell ref="E1235:L1235"/>
    <mergeCell ref="B1236:D1236"/>
    <mergeCell ref="E1236:L1236"/>
    <mergeCell ref="B1231:D1231"/>
    <mergeCell ref="E1231:L1231"/>
    <mergeCell ref="B1232:D1232"/>
    <mergeCell ref="E1232:L1232"/>
    <mergeCell ref="B1233:D1233"/>
    <mergeCell ref="E1233:L1233"/>
    <mergeCell ref="B1228:D1228"/>
    <mergeCell ref="E1228:L1228"/>
    <mergeCell ref="B1229:D1229"/>
    <mergeCell ref="E1229:L1229"/>
    <mergeCell ref="B1230:D1230"/>
    <mergeCell ref="E1230:L1230"/>
    <mergeCell ref="B1225:D1225"/>
    <mergeCell ref="E1225:L1225"/>
    <mergeCell ref="B1226:D1226"/>
    <mergeCell ref="E1226:L1226"/>
    <mergeCell ref="B1227:D1227"/>
    <mergeCell ref="E1227:L1227"/>
    <mergeCell ref="B1222:D1222"/>
    <mergeCell ref="E1222:L1222"/>
    <mergeCell ref="B1223:D1223"/>
    <mergeCell ref="E1223:L1223"/>
    <mergeCell ref="B1224:D1224"/>
    <mergeCell ref="E1224:L1224"/>
    <mergeCell ref="B1219:D1219"/>
    <mergeCell ref="E1219:L1219"/>
    <mergeCell ref="B1220:D1220"/>
    <mergeCell ref="E1220:L1220"/>
    <mergeCell ref="B1221:D1221"/>
    <mergeCell ref="E1221:L1221"/>
    <mergeCell ref="B1216:D1216"/>
    <mergeCell ref="E1216:L1216"/>
    <mergeCell ref="B1217:D1217"/>
    <mergeCell ref="E1217:L1217"/>
    <mergeCell ref="B1218:D1218"/>
    <mergeCell ref="E1218:L1218"/>
    <mergeCell ref="B1213:D1213"/>
    <mergeCell ref="E1213:L1213"/>
    <mergeCell ref="B1214:D1214"/>
    <mergeCell ref="E1214:L1214"/>
    <mergeCell ref="B1215:D1215"/>
    <mergeCell ref="E1215:L1215"/>
    <mergeCell ref="B1210:D1210"/>
    <mergeCell ref="E1210:L1210"/>
    <mergeCell ref="B1211:D1211"/>
    <mergeCell ref="E1211:L1211"/>
    <mergeCell ref="B1212:D1212"/>
    <mergeCell ref="E1212:L1212"/>
    <mergeCell ref="B1207:D1207"/>
    <mergeCell ref="E1207:L1207"/>
    <mergeCell ref="B1208:D1208"/>
    <mergeCell ref="E1208:L1208"/>
    <mergeCell ref="B1209:D1209"/>
    <mergeCell ref="E1209:L1209"/>
    <mergeCell ref="B1204:D1204"/>
    <mergeCell ref="E1204:L1204"/>
    <mergeCell ref="B1205:D1205"/>
    <mergeCell ref="E1205:L1205"/>
    <mergeCell ref="B1206:D1206"/>
    <mergeCell ref="E1206:L1206"/>
    <mergeCell ref="B1201:D1201"/>
    <mergeCell ref="E1201:L1201"/>
    <mergeCell ref="B1202:D1202"/>
    <mergeCell ref="E1202:L1202"/>
    <mergeCell ref="B1203:D1203"/>
    <mergeCell ref="E1203:L1203"/>
    <mergeCell ref="B1198:D1198"/>
    <mergeCell ref="E1198:L1198"/>
    <mergeCell ref="B1199:D1199"/>
    <mergeCell ref="E1199:L1199"/>
    <mergeCell ref="B1200:D1200"/>
    <mergeCell ref="E1200:L1200"/>
    <mergeCell ref="B1195:D1195"/>
    <mergeCell ref="E1195:L1195"/>
    <mergeCell ref="B1196:D1196"/>
    <mergeCell ref="E1196:L1196"/>
    <mergeCell ref="B1197:D1197"/>
    <mergeCell ref="E1197:L1197"/>
    <mergeCell ref="B1192:D1192"/>
    <mergeCell ref="E1192:L1192"/>
    <mergeCell ref="B1193:D1193"/>
    <mergeCell ref="E1193:L1193"/>
    <mergeCell ref="B1194:D1194"/>
    <mergeCell ref="E1194:L1194"/>
    <mergeCell ref="B1189:D1189"/>
    <mergeCell ref="E1189:L1189"/>
    <mergeCell ref="B1190:D1190"/>
    <mergeCell ref="E1190:L1190"/>
    <mergeCell ref="B1191:D1191"/>
    <mergeCell ref="E1191:L1191"/>
    <mergeCell ref="B1186:D1186"/>
    <mergeCell ref="E1186:L1186"/>
    <mergeCell ref="B1187:D1187"/>
    <mergeCell ref="E1187:L1187"/>
    <mergeCell ref="B1188:D1188"/>
    <mergeCell ref="E1188:L1188"/>
    <mergeCell ref="B1183:D1183"/>
    <mergeCell ref="E1183:L1183"/>
    <mergeCell ref="B1184:D1184"/>
    <mergeCell ref="E1184:L1184"/>
    <mergeCell ref="B1185:D1185"/>
    <mergeCell ref="E1185:L1185"/>
    <mergeCell ref="B1180:D1180"/>
    <mergeCell ref="E1180:L1180"/>
    <mergeCell ref="B1181:D1181"/>
    <mergeCell ref="E1181:L1181"/>
    <mergeCell ref="B1182:D1182"/>
    <mergeCell ref="E1182:L1182"/>
    <mergeCell ref="B1177:D1177"/>
    <mergeCell ref="E1177:L1177"/>
    <mergeCell ref="B1178:D1178"/>
    <mergeCell ref="E1178:L1178"/>
    <mergeCell ref="B1179:D1179"/>
    <mergeCell ref="E1179:L1179"/>
    <mergeCell ref="B1174:D1174"/>
    <mergeCell ref="E1174:L1174"/>
    <mergeCell ref="B1175:D1175"/>
    <mergeCell ref="E1175:L1175"/>
    <mergeCell ref="B1176:D1176"/>
    <mergeCell ref="E1176:L1176"/>
    <mergeCell ref="B1171:D1171"/>
    <mergeCell ref="E1171:L1171"/>
    <mergeCell ref="B1172:D1172"/>
    <mergeCell ref="E1172:L1172"/>
    <mergeCell ref="B1173:D1173"/>
    <mergeCell ref="E1173:L1173"/>
    <mergeCell ref="B1168:D1168"/>
    <mergeCell ref="E1168:L1168"/>
    <mergeCell ref="B1169:D1169"/>
    <mergeCell ref="E1169:L1169"/>
    <mergeCell ref="B1170:D1170"/>
    <mergeCell ref="E1170:L1170"/>
    <mergeCell ref="B1165:D1165"/>
    <mergeCell ref="E1165:L1165"/>
    <mergeCell ref="B1166:D1166"/>
    <mergeCell ref="E1166:L1166"/>
    <mergeCell ref="B1167:D1167"/>
    <mergeCell ref="E1167:L1167"/>
    <mergeCell ref="B1162:D1162"/>
    <mergeCell ref="E1162:L1162"/>
    <mergeCell ref="B1163:D1163"/>
    <mergeCell ref="E1163:L1163"/>
    <mergeCell ref="B1164:D1164"/>
    <mergeCell ref="E1164:L1164"/>
    <mergeCell ref="B1159:D1159"/>
    <mergeCell ref="E1159:L1159"/>
    <mergeCell ref="B1160:D1160"/>
    <mergeCell ref="E1160:L1160"/>
    <mergeCell ref="B1161:D1161"/>
    <mergeCell ref="E1161:L1161"/>
    <mergeCell ref="B1156:D1156"/>
    <mergeCell ref="E1156:L1156"/>
    <mergeCell ref="B1157:D1157"/>
    <mergeCell ref="E1157:L1157"/>
    <mergeCell ref="B1158:D1158"/>
    <mergeCell ref="E1158:L1158"/>
    <mergeCell ref="B1153:D1153"/>
    <mergeCell ref="E1153:L1153"/>
    <mergeCell ref="B1154:D1154"/>
    <mergeCell ref="E1154:L1154"/>
    <mergeCell ref="B1155:D1155"/>
    <mergeCell ref="E1155:L1155"/>
    <mergeCell ref="B1150:D1150"/>
    <mergeCell ref="E1150:L1150"/>
    <mergeCell ref="B1151:D1151"/>
    <mergeCell ref="E1151:L1151"/>
    <mergeCell ref="B1152:D1152"/>
    <mergeCell ref="E1152:L1152"/>
    <mergeCell ref="B1147:D1147"/>
    <mergeCell ref="E1147:L1147"/>
    <mergeCell ref="B1148:D1148"/>
    <mergeCell ref="E1148:L1148"/>
    <mergeCell ref="B1149:D1149"/>
    <mergeCell ref="E1149:L1149"/>
    <mergeCell ref="B1144:D1144"/>
    <mergeCell ref="E1144:L1144"/>
    <mergeCell ref="B1145:D1145"/>
    <mergeCell ref="E1145:L1145"/>
    <mergeCell ref="B1146:D1146"/>
    <mergeCell ref="E1146:L1146"/>
    <mergeCell ref="B1141:D1141"/>
    <mergeCell ref="E1141:L1141"/>
    <mergeCell ref="B1142:D1142"/>
    <mergeCell ref="E1142:L1142"/>
    <mergeCell ref="B1143:D1143"/>
    <mergeCell ref="E1143:L1143"/>
    <mergeCell ref="B1138:D1138"/>
    <mergeCell ref="E1138:L1138"/>
    <mergeCell ref="B1139:D1139"/>
    <mergeCell ref="E1139:L1139"/>
    <mergeCell ref="B1140:D1140"/>
    <mergeCell ref="E1140:L1140"/>
    <mergeCell ref="B1135:D1135"/>
    <mergeCell ref="E1135:L1135"/>
    <mergeCell ref="B1136:D1136"/>
    <mergeCell ref="E1136:L1136"/>
    <mergeCell ref="B1137:D1137"/>
    <mergeCell ref="E1137:L1137"/>
    <mergeCell ref="B1132:D1132"/>
    <mergeCell ref="E1132:L1132"/>
    <mergeCell ref="B1133:D1133"/>
    <mergeCell ref="E1133:L1133"/>
    <mergeCell ref="B1134:D1134"/>
    <mergeCell ref="E1134:L1134"/>
    <mergeCell ref="B1129:D1129"/>
    <mergeCell ref="E1129:L1129"/>
    <mergeCell ref="B1130:D1130"/>
    <mergeCell ref="E1130:L1130"/>
    <mergeCell ref="B1131:D1131"/>
    <mergeCell ref="E1131:L1131"/>
    <mergeCell ref="B1126:D1126"/>
    <mergeCell ref="E1126:L1126"/>
    <mergeCell ref="B1127:D1127"/>
    <mergeCell ref="E1127:L1127"/>
    <mergeCell ref="B1128:D1128"/>
    <mergeCell ref="E1128:L1128"/>
    <mergeCell ref="B1123:D1123"/>
    <mergeCell ref="E1123:L1123"/>
    <mergeCell ref="B1124:D1124"/>
    <mergeCell ref="E1124:L1124"/>
    <mergeCell ref="B1125:D1125"/>
    <mergeCell ref="E1125:L1125"/>
    <mergeCell ref="B1120:D1120"/>
    <mergeCell ref="E1120:L1120"/>
    <mergeCell ref="B1121:D1121"/>
    <mergeCell ref="E1121:L1121"/>
    <mergeCell ref="B1122:D1122"/>
    <mergeCell ref="E1122:L1122"/>
    <mergeCell ref="B1117:D1117"/>
    <mergeCell ref="E1117:L1117"/>
    <mergeCell ref="B1118:D1118"/>
    <mergeCell ref="E1118:L1118"/>
    <mergeCell ref="B1119:D1119"/>
    <mergeCell ref="E1119:L1119"/>
    <mergeCell ref="B1114:D1114"/>
    <mergeCell ref="E1114:L1114"/>
    <mergeCell ref="B1115:D1115"/>
    <mergeCell ref="E1115:L1115"/>
    <mergeCell ref="B1116:D1116"/>
    <mergeCell ref="E1116:L1116"/>
    <mergeCell ref="B1111:D1111"/>
    <mergeCell ref="E1111:L1111"/>
    <mergeCell ref="B1112:D1112"/>
    <mergeCell ref="E1112:L1112"/>
    <mergeCell ref="B1113:D1113"/>
    <mergeCell ref="E1113:L1113"/>
    <mergeCell ref="B1108:D1108"/>
    <mergeCell ref="E1108:L1108"/>
    <mergeCell ref="B1109:D1109"/>
    <mergeCell ref="E1109:L1109"/>
    <mergeCell ref="B1110:D1110"/>
    <mergeCell ref="E1110:L1110"/>
    <mergeCell ref="B1105:D1105"/>
    <mergeCell ref="E1105:L1105"/>
    <mergeCell ref="B1106:D1106"/>
    <mergeCell ref="E1106:L1106"/>
    <mergeCell ref="B1107:D1107"/>
    <mergeCell ref="E1107:L1107"/>
    <mergeCell ref="B1102:D1102"/>
    <mergeCell ref="E1102:L1102"/>
    <mergeCell ref="B1103:D1103"/>
    <mergeCell ref="E1103:L1103"/>
    <mergeCell ref="B1104:D1104"/>
    <mergeCell ref="E1104:L1104"/>
    <mergeCell ref="B1099:D1099"/>
    <mergeCell ref="E1099:L1099"/>
    <mergeCell ref="B1100:D1100"/>
    <mergeCell ref="E1100:L1100"/>
    <mergeCell ref="B1101:D1101"/>
    <mergeCell ref="E1101:L1101"/>
    <mergeCell ref="B1096:D1096"/>
    <mergeCell ref="E1096:L1096"/>
    <mergeCell ref="B1097:D1097"/>
    <mergeCell ref="E1097:L1097"/>
    <mergeCell ref="B1098:D1098"/>
    <mergeCell ref="E1098:L1098"/>
    <mergeCell ref="B1093:D1093"/>
    <mergeCell ref="E1093:L1093"/>
    <mergeCell ref="B1094:D1094"/>
    <mergeCell ref="E1094:L1094"/>
    <mergeCell ref="B1095:D1095"/>
    <mergeCell ref="E1095:L1095"/>
    <mergeCell ref="B1090:D1090"/>
    <mergeCell ref="E1090:L1090"/>
    <mergeCell ref="B1091:D1091"/>
    <mergeCell ref="E1091:L1091"/>
    <mergeCell ref="B1092:D1092"/>
    <mergeCell ref="E1092:L1092"/>
    <mergeCell ref="B1087:D1087"/>
    <mergeCell ref="E1087:L1087"/>
    <mergeCell ref="B1088:D1088"/>
    <mergeCell ref="E1088:L1088"/>
    <mergeCell ref="B1089:D1089"/>
    <mergeCell ref="E1089:L1089"/>
    <mergeCell ref="B1084:D1084"/>
    <mergeCell ref="E1084:L1084"/>
    <mergeCell ref="B1085:D1085"/>
    <mergeCell ref="E1085:L1085"/>
    <mergeCell ref="B1086:D1086"/>
    <mergeCell ref="E1086:L1086"/>
    <mergeCell ref="B1081:D1081"/>
    <mergeCell ref="E1081:L1081"/>
    <mergeCell ref="B1082:D1082"/>
    <mergeCell ref="E1082:L1082"/>
    <mergeCell ref="B1083:D1083"/>
    <mergeCell ref="E1083:L1083"/>
    <mergeCell ref="B1078:D1078"/>
    <mergeCell ref="E1078:L1078"/>
    <mergeCell ref="B1079:D1079"/>
    <mergeCell ref="E1079:L1079"/>
    <mergeCell ref="B1080:D1080"/>
    <mergeCell ref="E1080:L1080"/>
    <mergeCell ref="B1075:D1075"/>
    <mergeCell ref="E1075:L1075"/>
    <mergeCell ref="B1076:D1076"/>
    <mergeCell ref="E1076:L1076"/>
    <mergeCell ref="B1077:D1077"/>
    <mergeCell ref="E1077:L1077"/>
    <mergeCell ref="B1072:D1072"/>
    <mergeCell ref="E1072:L1072"/>
    <mergeCell ref="B1073:D1073"/>
    <mergeCell ref="E1073:L1073"/>
    <mergeCell ref="B1074:D1074"/>
    <mergeCell ref="E1074:L1074"/>
    <mergeCell ref="B1069:D1069"/>
    <mergeCell ref="E1069:L1069"/>
    <mergeCell ref="B1070:D1070"/>
    <mergeCell ref="E1070:L1070"/>
    <mergeCell ref="B1071:D1071"/>
    <mergeCell ref="E1071:L1071"/>
    <mergeCell ref="B1066:D1066"/>
    <mergeCell ref="E1066:L1066"/>
    <mergeCell ref="B1067:D1067"/>
    <mergeCell ref="E1067:L1067"/>
    <mergeCell ref="B1068:D1068"/>
    <mergeCell ref="E1068:L1068"/>
    <mergeCell ref="B1063:D1063"/>
    <mergeCell ref="E1063:L1063"/>
    <mergeCell ref="B1064:D1064"/>
    <mergeCell ref="E1064:L1064"/>
    <mergeCell ref="B1065:D1065"/>
    <mergeCell ref="E1065:L1065"/>
    <mergeCell ref="B1060:D1060"/>
    <mergeCell ref="E1060:L1060"/>
    <mergeCell ref="B1061:D1061"/>
    <mergeCell ref="E1061:L1061"/>
    <mergeCell ref="B1062:D1062"/>
    <mergeCell ref="E1062:L1062"/>
    <mergeCell ref="B1057:D1057"/>
    <mergeCell ref="E1057:L1057"/>
    <mergeCell ref="B1058:D1058"/>
    <mergeCell ref="E1058:L1058"/>
    <mergeCell ref="B1059:D1059"/>
    <mergeCell ref="E1059:L1059"/>
    <mergeCell ref="B1054:D1054"/>
    <mergeCell ref="E1054:L1054"/>
    <mergeCell ref="B1055:D1055"/>
    <mergeCell ref="E1055:L1055"/>
    <mergeCell ref="B1056:D1056"/>
    <mergeCell ref="E1056:L1056"/>
    <mergeCell ref="B1051:D1051"/>
    <mergeCell ref="E1051:L1051"/>
    <mergeCell ref="B1052:D1052"/>
    <mergeCell ref="E1052:L1052"/>
    <mergeCell ref="B1053:D1053"/>
    <mergeCell ref="E1053:L1053"/>
    <mergeCell ref="B1048:D1048"/>
    <mergeCell ref="E1048:L1048"/>
    <mergeCell ref="B1049:D1049"/>
    <mergeCell ref="E1049:L1049"/>
    <mergeCell ref="B1050:D1050"/>
    <mergeCell ref="E1050:L1050"/>
    <mergeCell ref="B1045:D1045"/>
    <mergeCell ref="E1045:L1045"/>
    <mergeCell ref="B1046:D1046"/>
    <mergeCell ref="E1046:L1046"/>
    <mergeCell ref="B1047:D1047"/>
    <mergeCell ref="E1047:L1047"/>
    <mergeCell ref="B1042:D1042"/>
    <mergeCell ref="E1042:L1042"/>
    <mergeCell ref="B1043:D1043"/>
    <mergeCell ref="E1043:L1043"/>
    <mergeCell ref="B1044:D1044"/>
    <mergeCell ref="E1044:L1044"/>
    <mergeCell ref="B1039:D1039"/>
    <mergeCell ref="E1039:L1039"/>
    <mergeCell ref="B1040:D1040"/>
    <mergeCell ref="E1040:L1040"/>
    <mergeCell ref="B1041:D1041"/>
    <mergeCell ref="E1041:L1041"/>
    <mergeCell ref="B1036:D1036"/>
    <mergeCell ref="E1036:L1036"/>
    <mergeCell ref="B1037:D1037"/>
    <mergeCell ref="E1037:L1037"/>
    <mergeCell ref="B1038:D1038"/>
    <mergeCell ref="E1038:L1038"/>
    <mergeCell ref="B1033:D1033"/>
    <mergeCell ref="E1033:L1033"/>
    <mergeCell ref="B1034:D1034"/>
    <mergeCell ref="E1034:L1034"/>
    <mergeCell ref="B1035:D1035"/>
    <mergeCell ref="E1035:L1035"/>
    <mergeCell ref="B1030:D1030"/>
    <mergeCell ref="E1030:L1030"/>
    <mergeCell ref="B1031:D1031"/>
    <mergeCell ref="E1031:L1031"/>
    <mergeCell ref="B1032:D1032"/>
    <mergeCell ref="E1032:L1032"/>
    <mergeCell ref="B1027:D1027"/>
    <mergeCell ref="E1027:L1027"/>
    <mergeCell ref="B1028:D1028"/>
    <mergeCell ref="E1028:L1028"/>
    <mergeCell ref="B1029:D1029"/>
    <mergeCell ref="E1029:L1029"/>
    <mergeCell ref="B1024:D1024"/>
    <mergeCell ref="E1024:L1024"/>
    <mergeCell ref="B1025:D1025"/>
    <mergeCell ref="E1025:L1025"/>
    <mergeCell ref="B1026:D1026"/>
    <mergeCell ref="E1026:L1026"/>
    <mergeCell ref="B1021:D1021"/>
    <mergeCell ref="E1021:L1021"/>
    <mergeCell ref="B1022:D1022"/>
    <mergeCell ref="E1022:L1022"/>
    <mergeCell ref="B1023:D1023"/>
    <mergeCell ref="E1023:L1023"/>
    <mergeCell ref="B1018:D1018"/>
    <mergeCell ref="E1018:L1018"/>
    <mergeCell ref="B1019:D1019"/>
    <mergeCell ref="E1019:L1019"/>
    <mergeCell ref="B1020:D1020"/>
    <mergeCell ref="E1020:L1020"/>
    <mergeCell ref="B1015:D1015"/>
    <mergeCell ref="E1015:L1015"/>
    <mergeCell ref="B1016:D1016"/>
    <mergeCell ref="E1016:L1016"/>
    <mergeCell ref="B1017:D1017"/>
    <mergeCell ref="E1017:L1017"/>
    <mergeCell ref="B1012:D1012"/>
    <mergeCell ref="E1012:L1012"/>
    <mergeCell ref="B1013:D1013"/>
    <mergeCell ref="E1013:L1013"/>
    <mergeCell ref="B1014:D1014"/>
    <mergeCell ref="E1014:L1014"/>
    <mergeCell ref="B1009:D1009"/>
    <mergeCell ref="E1009:L1009"/>
    <mergeCell ref="B1010:D1010"/>
    <mergeCell ref="E1010:L1010"/>
    <mergeCell ref="B1011:D1011"/>
    <mergeCell ref="E1011:L1011"/>
    <mergeCell ref="B1006:D1006"/>
    <mergeCell ref="E1006:L1006"/>
    <mergeCell ref="B1007:D1007"/>
    <mergeCell ref="E1007:L1007"/>
    <mergeCell ref="B1008:D1008"/>
    <mergeCell ref="E1008:L1008"/>
    <mergeCell ref="B1003:D1003"/>
    <mergeCell ref="E1003:L1003"/>
    <mergeCell ref="B1004:D1004"/>
    <mergeCell ref="E1004:L1004"/>
    <mergeCell ref="B1005:D1005"/>
    <mergeCell ref="E1005:L1005"/>
    <mergeCell ref="B1000:D1000"/>
    <mergeCell ref="E1000:L1000"/>
    <mergeCell ref="B1001:D1001"/>
    <mergeCell ref="E1001:L1001"/>
    <mergeCell ref="B1002:D1002"/>
    <mergeCell ref="E1002:L1002"/>
    <mergeCell ref="B997:D997"/>
    <mergeCell ref="E997:L997"/>
    <mergeCell ref="B998:D998"/>
    <mergeCell ref="E998:L998"/>
    <mergeCell ref="B999:D999"/>
    <mergeCell ref="E999:L999"/>
    <mergeCell ref="B994:D994"/>
    <mergeCell ref="E994:L994"/>
    <mergeCell ref="B995:D995"/>
    <mergeCell ref="E995:L995"/>
    <mergeCell ref="B996:D996"/>
    <mergeCell ref="E996:L996"/>
    <mergeCell ref="B991:D991"/>
    <mergeCell ref="E991:L991"/>
    <mergeCell ref="B992:D992"/>
    <mergeCell ref="E992:L992"/>
    <mergeCell ref="B993:D993"/>
    <mergeCell ref="E993:L993"/>
    <mergeCell ref="B988:D988"/>
    <mergeCell ref="E988:L988"/>
    <mergeCell ref="B989:D989"/>
    <mergeCell ref="E989:L989"/>
    <mergeCell ref="B990:D990"/>
    <mergeCell ref="E990:L990"/>
    <mergeCell ref="B985:D985"/>
    <mergeCell ref="E985:L985"/>
    <mergeCell ref="B986:D986"/>
    <mergeCell ref="E986:L986"/>
    <mergeCell ref="B987:D987"/>
    <mergeCell ref="E987:L987"/>
    <mergeCell ref="B982:D982"/>
    <mergeCell ref="E982:L982"/>
    <mergeCell ref="B983:D983"/>
    <mergeCell ref="E983:L983"/>
    <mergeCell ref="B984:D984"/>
    <mergeCell ref="E984:L984"/>
    <mergeCell ref="B979:D979"/>
    <mergeCell ref="E979:L979"/>
    <mergeCell ref="B980:D980"/>
    <mergeCell ref="E980:L980"/>
    <mergeCell ref="B981:D981"/>
    <mergeCell ref="E981:L981"/>
    <mergeCell ref="B976:D976"/>
    <mergeCell ref="E976:L976"/>
    <mergeCell ref="B977:D977"/>
    <mergeCell ref="E977:L977"/>
    <mergeCell ref="B978:D978"/>
    <mergeCell ref="E978:L978"/>
    <mergeCell ref="B973:D973"/>
    <mergeCell ref="E973:L973"/>
    <mergeCell ref="B974:D974"/>
    <mergeCell ref="E974:L974"/>
    <mergeCell ref="B975:D975"/>
    <mergeCell ref="E975:L975"/>
    <mergeCell ref="B970:D970"/>
    <mergeCell ref="E970:L970"/>
    <mergeCell ref="B971:D971"/>
    <mergeCell ref="E971:L971"/>
    <mergeCell ref="B972:D972"/>
    <mergeCell ref="E972:L972"/>
    <mergeCell ref="B967:D967"/>
    <mergeCell ref="E967:L967"/>
    <mergeCell ref="B968:D968"/>
    <mergeCell ref="E968:L968"/>
    <mergeCell ref="B969:D969"/>
    <mergeCell ref="E969:L969"/>
    <mergeCell ref="B964:D964"/>
    <mergeCell ref="E964:L964"/>
    <mergeCell ref="B965:D965"/>
    <mergeCell ref="E965:L965"/>
    <mergeCell ref="B966:D966"/>
    <mergeCell ref="E966:L966"/>
    <mergeCell ref="B961:D961"/>
    <mergeCell ref="E961:L961"/>
    <mergeCell ref="B962:D962"/>
    <mergeCell ref="E962:L962"/>
    <mergeCell ref="B963:D963"/>
    <mergeCell ref="E963:L963"/>
    <mergeCell ref="B958:D958"/>
    <mergeCell ref="E958:L958"/>
    <mergeCell ref="B959:D959"/>
    <mergeCell ref="E959:L959"/>
    <mergeCell ref="B960:D960"/>
    <mergeCell ref="E960:L960"/>
    <mergeCell ref="B955:D955"/>
    <mergeCell ref="E955:L955"/>
    <mergeCell ref="B956:D956"/>
    <mergeCell ref="E956:L956"/>
    <mergeCell ref="B957:D957"/>
    <mergeCell ref="E957:L957"/>
    <mergeCell ref="B952:D952"/>
    <mergeCell ref="E952:L952"/>
    <mergeCell ref="B953:D953"/>
    <mergeCell ref="E953:L953"/>
    <mergeCell ref="B954:D954"/>
    <mergeCell ref="E954:L954"/>
    <mergeCell ref="B949:D949"/>
    <mergeCell ref="E949:L949"/>
    <mergeCell ref="B950:D950"/>
    <mergeCell ref="E950:L950"/>
    <mergeCell ref="B951:D951"/>
    <mergeCell ref="E951:L951"/>
    <mergeCell ref="B946:D946"/>
    <mergeCell ref="E946:L946"/>
    <mergeCell ref="B947:D947"/>
    <mergeCell ref="E947:L947"/>
    <mergeCell ref="B948:D948"/>
    <mergeCell ref="E948:L948"/>
    <mergeCell ref="B943:D943"/>
    <mergeCell ref="E943:L943"/>
    <mergeCell ref="B944:D944"/>
    <mergeCell ref="E944:L944"/>
    <mergeCell ref="B945:D945"/>
    <mergeCell ref="E945:L945"/>
    <mergeCell ref="B940:D940"/>
    <mergeCell ref="E940:L940"/>
    <mergeCell ref="B941:D941"/>
    <mergeCell ref="E941:L941"/>
    <mergeCell ref="B942:D942"/>
    <mergeCell ref="E942:L942"/>
    <mergeCell ref="B937:D937"/>
    <mergeCell ref="E937:L937"/>
    <mergeCell ref="B938:D938"/>
    <mergeCell ref="E938:L938"/>
    <mergeCell ref="B939:D939"/>
    <mergeCell ref="E939:L939"/>
    <mergeCell ref="B934:D934"/>
    <mergeCell ref="E934:L934"/>
    <mergeCell ref="B935:D935"/>
    <mergeCell ref="E935:L935"/>
    <mergeCell ref="B936:D936"/>
    <mergeCell ref="E936:L936"/>
    <mergeCell ref="B931:D931"/>
    <mergeCell ref="E931:L931"/>
    <mergeCell ref="B932:D932"/>
    <mergeCell ref="E932:L932"/>
    <mergeCell ref="B933:D933"/>
    <mergeCell ref="E933:L933"/>
    <mergeCell ref="B928:D928"/>
    <mergeCell ref="E928:L928"/>
    <mergeCell ref="B929:D929"/>
    <mergeCell ref="E929:L929"/>
    <mergeCell ref="B930:D930"/>
    <mergeCell ref="E930:L930"/>
    <mergeCell ref="B925:D925"/>
    <mergeCell ref="E925:L925"/>
    <mergeCell ref="B926:D926"/>
    <mergeCell ref="E926:L926"/>
    <mergeCell ref="B927:D927"/>
    <mergeCell ref="E927:L927"/>
    <mergeCell ref="B922:D922"/>
    <mergeCell ref="E922:L922"/>
    <mergeCell ref="B923:D923"/>
    <mergeCell ref="E923:L923"/>
    <mergeCell ref="B924:D924"/>
    <mergeCell ref="E924:L924"/>
    <mergeCell ref="B919:D919"/>
    <mergeCell ref="E919:L919"/>
    <mergeCell ref="B920:D920"/>
    <mergeCell ref="E920:L920"/>
    <mergeCell ref="B921:D921"/>
    <mergeCell ref="E921:L921"/>
    <mergeCell ref="B916:D916"/>
    <mergeCell ref="E916:L916"/>
    <mergeCell ref="B917:D917"/>
    <mergeCell ref="E917:L917"/>
    <mergeCell ref="B918:D918"/>
    <mergeCell ref="E918:L918"/>
    <mergeCell ref="B913:D913"/>
    <mergeCell ref="E913:L913"/>
    <mergeCell ref="B914:D914"/>
    <mergeCell ref="E914:L914"/>
    <mergeCell ref="B915:D915"/>
    <mergeCell ref="E915:L915"/>
    <mergeCell ref="B910:D910"/>
    <mergeCell ref="E910:L910"/>
    <mergeCell ref="B911:D911"/>
    <mergeCell ref="E911:L911"/>
    <mergeCell ref="B912:D912"/>
    <mergeCell ref="E912:L912"/>
    <mergeCell ref="B907:D907"/>
    <mergeCell ref="E907:L907"/>
    <mergeCell ref="B908:D908"/>
    <mergeCell ref="E908:L908"/>
    <mergeCell ref="B909:D909"/>
    <mergeCell ref="E909:L909"/>
    <mergeCell ref="B904:D904"/>
    <mergeCell ref="E904:L904"/>
    <mergeCell ref="B905:D905"/>
    <mergeCell ref="E905:L905"/>
    <mergeCell ref="B906:D906"/>
    <mergeCell ref="E906:L906"/>
    <mergeCell ref="B901:D901"/>
    <mergeCell ref="E901:L901"/>
    <mergeCell ref="B902:D902"/>
    <mergeCell ref="E902:L902"/>
    <mergeCell ref="B903:D903"/>
    <mergeCell ref="E903:L903"/>
    <mergeCell ref="B898:D898"/>
    <mergeCell ref="E898:L898"/>
    <mergeCell ref="B899:D899"/>
    <mergeCell ref="E899:L899"/>
    <mergeCell ref="B900:D900"/>
    <mergeCell ref="E900:L900"/>
    <mergeCell ref="B895:D895"/>
    <mergeCell ref="E895:L895"/>
    <mergeCell ref="B896:D896"/>
    <mergeCell ref="E896:L896"/>
    <mergeCell ref="B897:D897"/>
    <mergeCell ref="E897:L897"/>
    <mergeCell ref="B892:D892"/>
    <mergeCell ref="E892:L892"/>
    <mergeCell ref="B893:D893"/>
    <mergeCell ref="E893:L893"/>
    <mergeCell ref="B894:D894"/>
    <mergeCell ref="E894:L894"/>
    <mergeCell ref="B889:D889"/>
    <mergeCell ref="E889:L889"/>
    <mergeCell ref="B890:D890"/>
    <mergeCell ref="E890:L890"/>
    <mergeCell ref="B891:D891"/>
    <mergeCell ref="E891:L891"/>
    <mergeCell ref="B886:D886"/>
    <mergeCell ref="E886:L886"/>
    <mergeCell ref="B887:D887"/>
    <mergeCell ref="E887:L887"/>
    <mergeCell ref="B888:D888"/>
    <mergeCell ref="E888:L888"/>
    <mergeCell ref="B883:D883"/>
    <mergeCell ref="E883:L883"/>
    <mergeCell ref="B884:D884"/>
    <mergeCell ref="E884:L884"/>
    <mergeCell ref="B885:D885"/>
    <mergeCell ref="E885:L885"/>
    <mergeCell ref="B880:D880"/>
    <mergeCell ref="E880:L880"/>
    <mergeCell ref="B881:D881"/>
    <mergeCell ref="E881:L881"/>
    <mergeCell ref="B882:D882"/>
    <mergeCell ref="E882:L882"/>
    <mergeCell ref="B877:D877"/>
    <mergeCell ref="E877:L877"/>
    <mergeCell ref="B878:D878"/>
    <mergeCell ref="E878:L878"/>
    <mergeCell ref="B879:D879"/>
    <mergeCell ref="E879:L879"/>
    <mergeCell ref="B874:D874"/>
    <mergeCell ref="E874:L874"/>
    <mergeCell ref="B875:D875"/>
    <mergeCell ref="E875:L875"/>
    <mergeCell ref="B876:D876"/>
    <mergeCell ref="E876:L876"/>
    <mergeCell ref="B871:D871"/>
    <mergeCell ref="E871:L871"/>
    <mergeCell ref="B872:D872"/>
    <mergeCell ref="E872:L872"/>
    <mergeCell ref="B873:D873"/>
    <mergeCell ref="E873:L873"/>
    <mergeCell ref="B868:D868"/>
    <mergeCell ref="E868:L868"/>
    <mergeCell ref="B869:D869"/>
    <mergeCell ref="E869:L869"/>
    <mergeCell ref="B870:D870"/>
    <mergeCell ref="E870:L870"/>
    <mergeCell ref="B865:D865"/>
    <mergeCell ref="E865:L865"/>
    <mergeCell ref="B866:D866"/>
    <mergeCell ref="E866:L866"/>
    <mergeCell ref="B867:D867"/>
    <mergeCell ref="E867:L867"/>
    <mergeCell ref="B862:D862"/>
    <mergeCell ref="E862:L862"/>
    <mergeCell ref="B863:D863"/>
    <mergeCell ref="E863:L863"/>
    <mergeCell ref="B864:D864"/>
    <mergeCell ref="E864:L864"/>
    <mergeCell ref="B859:D859"/>
    <mergeCell ref="E859:L859"/>
    <mergeCell ref="B860:D860"/>
    <mergeCell ref="E860:L860"/>
    <mergeCell ref="B861:D861"/>
    <mergeCell ref="E861:L861"/>
    <mergeCell ref="B856:D856"/>
    <mergeCell ref="E856:L856"/>
    <mergeCell ref="B857:D857"/>
    <mergeCell ref="E857:L857"/>
    <mergeCell ref="B858:D858"/>
    <mergeCell ref="E858:L858"/>
    <mergeCell ref="B853:D853"/>
    <mergeCell ref="E853:L853"/>
    <mergeCell ref="B854:D854"/>
    <mergeCell ref="E854:L854"/>
    <mergeCell ref="B855:D855"/>
    <mergeCell ref="E855:L855"/>
    <mergeCell ref="B850:D850"/>
    <mergeCell ref="E850:L850"/>
    <mergeCell ref="B851:D851"/>
    <mergeCell ref="E851:L851"/>
    <mergeCell ref="B852:D852"/>
    <mergeCell ref="E852:L852"/>
    <mergeCell ref="B847:D847"/>
    <mergeCell ref="E847:L847"/>
    <mergeCell ref="B848:D848"/>
    <mergeCell ref="E848:L848"/>
    <mergeCell ref="B849:D849"/>
    <mergeCell ref="E849:L849"/>
    <mergeCell ref="B844:D844"/>
    <mergeCell ref="E844:L844"/>
    <mergeCell ref="B845:D845"/>
    <mergeCell ref="E845:L845"/>
    <mergeCell ref="B846:D846"/>
    <mergeCell ref="E846:L846"/>
    <mergeCell ref="B841:D841"/>
    <mergeCell ref="E841:L841"/>
    <mergeCell ref="B842:D842"/>
    <mergeCell ref="E842:L842"/>
    <mergeCell ref="B843:D843"/>
    <mergeCell ref="E843:L843"/>
    <mergeCell ref="B838:D838"/>
    <mergeCell ref="E838:L838"/>
    <mergeCell ref="B839:D839"/>
    <mergeCell ref="E839:L839"/>
    <mergeCell ref="B840:D840"/>
    <mergeCell ref="E840:L840"/>
    <mergeCell ref="B835:D835"/>
    <mergeCell ref="E835:L835"/>
    <mergeCell ref="B836:D836"/>
    <mergeCell ref="E836:L836"/>
    <mergeCell ref="B837:D837"/>
    <mergeCell ref="E837:L837"/>
    <mergeCell ref="B832:D832"/>
    <mergeCell ref="E832:L832"/>
    <mergeCell ref="B833:D833"/>
    <mergeCell ref="E833:L833"/>
    <mergeCell ref="B834:D834"/>
    <mergeCell ref="E834:L834"/>
    <mergeCell ref="B829:D829"/>
    <mergeCell ref="E829:L829"/>
    <mergeCell ref="B830:D830"/>
    <mergeCell ref="E830:L830"/>
    <mergeCell ref="B831:D831"/>
    <mergeCell ref="E831:L831"/>
    <mergeCell ref="B826:D826"/>
    <mergeCell ref="E826:L826"/>
    <mergeCell ref="B827:D827"/>
    <mergeCell ref="E827:L827"/>
    <mergeCell ref="B828:D828"/>
    <mergeCell ref="E828:L828"/>
    <mergeCell ref="B823:D823"/>
    <mergeCell ref="E823:L823"/>
    <mergeCell ref="B824:D824"/>
    <mergeCell ref="E824:L824"/>
    <mergeCell ref="B825:D825"/>
    <mergeCell ref="E825:L825"/>
    <mergeCell ref="B820:D820"/>
    <mergeCell ref="E820:L820"/>
    <mergeCell ref="B821:D821"/>
    <mergeCell ref="E821:L821"/>
    <mergeCell ref="B822:D822"/>
    <mergeCell ref="E822:L822"/>
    <mergeCell ref="B817:D817"/>
    <mergeCell ref="E817:L817"/>
    <mergeCell ref="B818:D818"/>
    <mergeCell ref="E818:L818"/>
    <mergeCell ref="B819:D819"/>
    <mergeCell ref="E819:L819"/>
    <mergeCell ref="B814:D814"/>
    <mergeCell ref="E814:L814"/>
    <mergeCell ref="B815:D815"/>
    <mergeCell ref="E815:L815"/>
    <mergeCell ref="B816:D816"/>
    <mergeCell ref="E816:L816"/>
    <mergeCell ref="B811:D811"/>
    <mergeCell ref="E811:L811"/>
    <mergeCell ref="B812:D812"/>
    <mergeCell ref="E812:L812"/>
    <mergeCell ref="B813:D813"/>
    <mergeCell ref="E813:L813"/>
    <mergeCell ref="B808:D808"/>
    <mergeCell ref="E808:L808"/>
    <mergeCell ref="B809:D809"/>
    <mergeCell ref="E809:L809"/>
    <mergeCell ref="B810:D810"/>
    <mergeCell ref="E810:L810"/>
    <mergeCell ref="B805:D805"/>
    <mergeCell ref="E805:L805"/>
    <mergeCell ref="B806:D806"/>
    <mergeCell ref="E806:L806"/>
    <mergeCell ref="B807:D807"/>
    <mergeCell ref="E807:L807"/>
    <mergeCell ref="B802:D802"/>
    <mergeCell ref="E802:L802"/>
    <mergeCell ref="B803:D803"/>
    <mergeCell ref="E803:L803"/>
    <mergeCell ref="B804:D804"/>
    <mergeCell ref="E804:L804"/>
    <mergeCell ref="B799:D799"/>
    <mergeCell ref="E799:L799"/>
    <mergeCell ref="B800:D800"/>
    <mergeCell ref="E800:L800"/>
    <mergeCell ref="B801:D801"/>
    <mergeCell ref="E801:L801"/>
    <mergeCell ref="B796:D796"/>
    <mergeCell ref="E796:L796"/>
    <mergeCell ref="B797:D797"/>
    <mergeCell ref="E797:L797"/>
    <mergeCell ref="B798:D798"/>
    <mergeCell ref="E798:L798"/>
    <mergeCell ref="B793:D793"/>
    <mergeCell ref="E793:L793"/>
    <mergeCell ref="B794:D794"/>
    <mergeCell ref="E794:L794"/>
    <mergeCell ref="B795:D795"/>
    <mergeCell ref="E795:L795"/>
    <mergeCell ref="B790:D790"/>
    <mergeCell ref="E790:L790"/>
    <mergeCell ref="B791:D791"/>
    <mergeCell ref="E791:L791"/>
    <mergeCell ref="B792:D792"/>
    <mergeCell ref="E792:L792"/>
    <mergeCell ref="B787:D787"/>
    <mergeCell ref="E787:L787"/>
    <mergeCell ref="B788:D788"/>
    <mergeCell ref="E788:L788"/>
    <mergeCell ref="B789:D789"/>
    <mergeCell ref="E789:L789"/>
    <mergeCell ref="B784:D784"/>
    <mergeCell ref="E784:L784"/>
    <mergeCell ref="B785:D785"/>
    <mergeCell ref="E785:L785"/>
    <mergeCell ref="B786:D786"/>
    <mergeCell ref="E786:L786"/>
    <mergeCell ref="B781:D781"/>
    <mergeCell ref="E781:L781"/>
    <mergeCell ref="B782:D782"/>
    <mergeCell ref="E782:L782"/>
    <mergeCell ref="B783:D783"/>
    <mergeCell ref="E783:L783"/>
    <mergeCell ref="B778:D778"/>
    <mergeCell ref="E778:L778"/>
    <mergeCell ref="B779:D779"/>
    <mergeCell ref="E779:L779"/>
    <mergeCell ref="B780:D780"/>
    <mergeCell ref="E780:L780"/>
    <mergeCell ref="B775:D775"/>
    <mergeCell ref="E775:L775"/>
    <mergeCell ref="B776:D776"/>
    <mergeCell ref="E776:L776"/>
    <mergeCell ref="B777:D777"/>
    <mergeCell ref="E777:L777"/>
    <mergeCell ref="B772:D772"/>
    <mergeCell ref="E772:L772"/>
    <mergeCell ref="B773:D773"/>
    <mergeCell ref="E773:L773"/>
    <mergeCell ref="B774:D774"/>
    <mergeCell ref="E774:L774"/>
    <mergeCell ref="B769:D769"/>
    <mergeCell ref="E769:L769"/>
    <mergeCell ref="B770:D770"/>
    <mergeCell ref="E770:L770"/>
    <mergeCell ref="B771:D771"/>
    <mergeCell ref="E771:L771"/>
    <mergeCell ref="B766:D766"/>
    <mergeCell ref="E766:L766"/>
    <mergeCell ref="B767:D767"/>
    <mergeCell ref="E767:L767"/>
    <mergeCell ref="B768:D768"/>
    <mergeCell ref="E768:L768"/>
    <mergeCell ref="B763:D763"/>
    <mergeCell ref="E763:L763"/>
    <mergeCell ref="B764:D764"/>
    <mergeCell ref="E764:L764"/>
    <mergeCell ref="B765:D765"/>
    <mergeCell ref="E765:L765"/>
    <mergeCell ref="B760:D760"/>
    <mergeCell ref="E760:L760"/>
    <mergeCell ref="B761:D761"/>
    <mergeCell ref="E761:L761"/>
    <mergeCell ref="B762:D762"/>
    <mergeCell ref="E762:L762"/>
    <mergeCell ref="B757:D757"/>
    <mergeCell ref="E757:L757"/>
    <mergeCell ref="B758:D758"/>
    <mergeCell ref="E758:L758"/>
    <mergeCell ref="B759:D759"/>
    <mergeCell ref="E759:L759"/>
    <mergeCell ref="B754:D754"/>
    <mergeCell ref="E754:L754"/>
    <mergeCell ref="B755:D755"/>
    <mergeCell ref="E755:L755"/>
    <mergeCell ref="B756:D756"/>
    <mergeCell ref="E756:L756"/>
    <mergeCell ref="B751:D751"/>
    <mergeCell ref="E751:L751"/>
    <mergeCell ref="B752:D752"/>
    <mergeCell ref="E752:L752"/>
    <mergeCell ref="B753:D753"/>
    <mergeCell ref="E753:L753"/>
    <mergeCell ref="B748:D748"/>
    <mergeCell ref="E748:L748"/>
    <mergeCell ref="B749:D749"/>
    <mergeCell ref="E749:L749"/>
    <mergeCell ref="B750:D750"/>
    <mergeCell ref="E750:L750"/>
    <mergeCell ref="B745:D745"/>
    <mergeCell ref="E745:L745"/>
    <mergeCell ref="B746:D746"/>
    <mergeCell ref="E746:L746"/>
    <mergeCell ref="B747:D747"/>
    <mergeCell ref="E747:L747"/>
    <mergeCell ref="B742:D742"/>
    <mergeCell ref="E742:L742"/>
    <mergeCell ref="B743:D743"/>
    <mergeCell ref="E743:L743"/>
    <mergeCell ref="B744:D744"/>
    <mergeCell ref="E744:L744"/>
    <mergeCell ref="B739:D739"/>
    <mergeCell ref="E739:L739"/>
    <mergeCell ref="B740:D740"/>
    <mergeCell ref="E740:L740"/>
    <mergeCell ref="B741:D741"/>
    <mergeCell ref="E741:L741"/>
    <mergeCell ref="B736:D736"/>
    <mergeCell ref="E736:L736"/>
    <mergeCell ref="B737:D737"/>
    <mergeCell ref="E737:L737"/>
    <mergeCell ref="B738:D738"/>
    <mergeCell ref="E738:L738"/>
    <mergeCell ref="B733:D733"/>
    <mergeCell ref="E733:L733"/>
    <mergeCell ref="B734:D734"/>
    <mergeCell ref="E734:L734"/>
    <mergeCell ref="B735:D735"/>
    <mergeCell ref="E735:L735"/>
    <mergeCell ref="B730:D730"/>
    <mergeCell ref="E730:L730"/>
    <mergeCell ref="B731:D731"/>
    <mergeCell ref="E731:L731"/>
    <mergeCell ref="B732:D732"/>
    <mergeCell ref="E732:L732"/>
    <mergeCell ref="B727:D727"/>
    <mergeCell ref="E727:L727"/>
    <mergeCell ref="B728:D728"/>
    <mergeCell ref="E728:L728"/>
    <mergeCell ref="B729:D729"/>
    <mergeCell ref="E729:L729"/>
    <mergeCell ref="B724:D724"/>
    <mergeCell ref="E724:L724"/>
    <mergeCell ref="B725:D725"/>
    <mergeCell ref="E725:L725"/>
    <mergeCell ref="B726:D726"/>
    <mergeCell ref="E726:L726"/>
    <mergeCell ref="B721:D721"/>
    <mergeCell ref="E721:L721"/>
    <mergeCell ref="B722:D722"/>
    <mergeCell ref="E722:L722"/>
    <mergeCell ref="B723:D723"/>
    <mergeCell ref="E723:L723"/>
    <mergeCell ref="B718:D718"/>
    <mergeCell ref="E718:L718"/>
    <mergeCell ref="B719:D719"/>
    <mergeCell ref="E719:L719"/>
    <mergeCell ref="B720:D720"/>
    <mergeCell ref="E720:L720"/>
    <mergeCell ref="B715:D715"/>
    <mergeCell ref="E715:L715"/>
    <mergeCell ref="B716:D716"/>
    <mergeCell ref="E716:L716"/>
    <mergeCell ref="B717:D717"/>
    <mergeCell ref="E717:L717"/>
    <mergeCell ref="B712:D712"/>
    <mergeCell ref="E712:L712"/>
    <mergeCell ref="B713:D713"/>
    <mergeCell ref="E713:L713"/>
    <mergeCell ref="B714:D714"/>
    <mergeCell ref="E714:L714"/>
    <mergeCell ref="B709:D709"/>
    <mergeCell ref="E709:L709"/>
    <mergeCell ref="B710:D710"/>
    <mergeCell ref="E710:L710"/>
    <mergeCell ref="B711:D711"/>
    <mergeCell ref="E711:L711"/>
    <mergeCell ref="B706:D706"/>
    <mergeCell ref="E706:L706"/>
    <mergeCell ref="B707:D707"/>
    <mergeCell ref="E707:L707"/>
    <mergeCell ref="B708:D708"/>
    <mergeCell ref="E708:L708"/>
    <mergeCell ref="B703:D703"/>
    <mergeCell ref="E703:L703"/>
    <mergeCell ref="B704:D704"/>
    <mergeCell ref="E704:L704"/>
    <mergeCell ref="B705:D705"/>
    <mergeCell ref="E705:L705"/>
    <mergeCell ref="B700:D700"/>
    <mergeCell ref="E700:L700"/>
    <mergeCell ref="B701:D701"/>
    <mergeCell ref="E701:L701"/>
    <mergeCell ref="B702:D702"/>
    <mergeCell ref="E702:L702"/>
    <mergeCell ref="B697:D697"/>
    <mergeCell ref="E697:L697"/>
    <mergeCell ref="B698:D698"/>
    <mergeCell ref="E698:L698"/>
    <mergeCell ref="B699:D699"/>
    <mergeCell ref="E699:L699"/>
    <mergeCell ref="B694:D694"/>
    <mergeCell ref="E694:L694"/>
    <mergeCell ref="B695:D695"/>
    <mergeCell ref="E695:L695"/>
    <mergeCell ref="B696:D696"/>
    <mergeCell ref="E696:L696"/>
    <mergeCell ref="B691:D691"/>
    <mergeCell ref="E691:L691"/>
    <mergeCell ref="B692:D692"/>
    <mergeCell ref="E692:L692"/>
    <mergeCell ref="B693:D693"/>
    <mergeCell ref="E693:L693"/>
    <mergeCell ref="B688:D688"/>
    <mergeCell ref="E688:L688"/>
    <mergeCell ref="B689:D689"/>
    <mergeCell ref="E689:L689"/>
    <mergeCell ref="B690:D690"/>
    <mergeCell ref="E690:L690"/>
    <mergeCell ref="B685:D685"/>
    <mergeCell ref="E685:L685"/>
    <mergeCell ref="B686:D686"/>
    <mergeCell ref="E686:L686"/>
    <mergeCell ref="B687:D687"/>
    <mergeCell ref="E687:L687"/>
    <mergeCell ref="B682:D682"/>
    <mergeCell ref="E682:L682"/>
    <mergeCell ref="B683:D683"/>
    <mergeCell ref="E683:L683"/>
    <mergeCell ref="B684:D684"/>
    <mergeCell ref="E684:L684"/>
    <mergeCell ref="B679:D679"/>
    <mergeCell ref="E679:L679"/>
    <mergeCell ref="B680:D680"/>
    <mergeCell ref="E680:L680"/>
    <mergeCell ref="B681:D681"/>
    <mergeCell ref="E681:L681"/>
    <mergeCell ref="B676:D676"/>
    <mergeCell ref="E676:L676"/>
    <mergeCell ref="B677:D677"/>
    <mergeCell ref="E677:L677"/>
    <mergeCell ref="B678:D678"/>
    <mergeCell ref="E678:L678"/>
    <mergeCell ref="B673:D673"/>
    <mergeCell ref="E673:L673"/>
    <mergeCell ref="B674:D674"/>
    <mergeCell ref="E674:L674"/>
    <mergeCell ref="B675:D675"/>
    <mergeCell ref="E675:L675"/>
    <mergeCell ref="B670:D670"/>
    <mergeCell ref="E670:L670"/>
    <mergeCell ref="B671:D671"/>
    <mergeCell ref="E671:L671"/>
    <mergeCell ref="B672:D672"/>
    <mergeCell ref="E672:L672"/>
    <mergeCell ref="B667:D667"/>
    <mergeCell ref="E667:L667"/>
    <mergeCell ref="B668:D668"/>
    <mergeCell ref="E668:L668"/>
    <mergeCell ref="B669:D669"/>
    <mergeCell ref="E669:L669"/>
    <mergeCell ref="B664:D664"/>
    <mergeCell ref="E664:L664"/>
    <mergeCell ref="B665:D665"/>
    <mergeCell ref="E665:L665"/>
    <mergeCell ref="B666:D666"/>
    <mergeCell ref="E666:L666"/>
    <mergeCell ref="B661:D661"/>
    <mergeCell ref="E661:L661"/>
    <mergeCell ref="B662:D662"/>
    <mergeCell ref="E662:L662"/>
    <mergeCell ref="B663:D663"/>
    <mergeCell ref="E663:L663"/>
    <mergeCell ref="B658:D658"/>
    <mergeCell ref="E658:L658"/>
    <mergeCell ref="B659:D659"/>
    <mergeCell ref="E659:L659"/>
    <mergeCell ref="B660:D660"/>
    <mergeCell ref="E660:L660"/>
    <mergeCell ref="B655:D655"/>
    <mergeCell ref="E655:L655"/>
    <mergeCell ref="B656:D656"/>
    <mergeCell ref="E656:L656"/>
    <mergeCell ref="B657:D657"/>
    <mergeCell ref="E657:L657"/>
    <mergeCell ref="B652:D652"/>
    <mergeCell ref="E652:L652"/>
    <mergeCell ref="B653:D653"/>
    <mergeCell ref="E653:L653"/>
    <mergeCell ref="B654:D654"/>
    <mergeCell ref="E654:L654"/>
    <mergeCell ref="B649:D649"/>
    <mergeCell ref="E649:L649"/>
    <mergeCell ref="B650:D650"/>
    <mergeCell ref="E650:L650"/>
    <mergeCell ref="B651:D651"/>
    <mergeCell ref="E651:L651"/>
    <mergeCell ref="B646:D646"/>
    <mergeCell ref="E646:L646"/>
    <mergeCell ref="B647:D647"/>
    <mergeCell ref="E647:L647"/>
    <mergeCell ref="B648:D648"/>
    <mergeCell ref="E648:L648"/>
    <mergeCell ref="B643:D643"/>
    <mergeCell ref="E643:L643"/>
    <mergeCell ref="B644:D644"/>
    <mergeCell ref="E644:L644"/>
    <mergeCell ref="B645:D645"/>
    <mergeCell ref="E645:L645"/>
    <mergeCell ref="B640:D640"/>
    <mergeCell ref="E640:L640"/>
    <mergeCell ref="B641:D641"/>
    <mergeCell ref="E641:L641"/>
    <mergeCell ref="B642:D642"/>
    <mergeCell ref="E642:L642"/>
    <mergeCell ref="B637:D637"/>
    <mergeCell ref="E637:L637"/>
    <mergeCell ref="B638:D638"/>
    <mergeCell ref="E638:L638"/>
    <mergeCell ref="B639:D639"/>
    <mergeCell ref="E639:L639"/>
    <mergeCell ref="B634:D634"/>
    <mergeCell ref="E634:L634"/>
    <mergeCell ref="B635:D635"/>
    <mergeCell ref="E635:L635"/>
    <mergeCell ref="B636:D636"/>
    <mergeCell ref="E636:L636"/>
    <mergeCell ref="B631:D631"/>
    <mergeCell ref="E631:L631"/>
    <mergeCell ref="B632:D632"/>
    <mergeCell ref="E632:L632"/>
    <mergeCell ref="B633:D633"/>
    <mergeCell ref="E633:L633"/>
    <mergeCell ref="B628:D628"/>
    <mergeCell ref="E628:L628"/>
    <mergeCell ref="B629:D629"/>
    <mergeCell ref="E629:L629"/>
    <mergeCell ref="B630:D630"/>
    <mergeCell ref="E630:L630"/>
    <mergeCell ref="B625:D625"/>
    <mergeCell ref="E625:L625"/>
    <mergeCell ref="B626:D626"/>
    <mergeCell ref="E626:L626"/>
    <mergeCell ref="B627:D627"/>
    <mergeCell ref="E627:L627"/>
    <mergeCell ref="B622:D622"/>
    <mergeCell ref="E622:L622"/>
    <mergeCell ref="B623:D623"/>
    <mergeCell ref="E623:L623"/>
    <mergeCell ref="B624:D624"/>
    <mergeCell ref="E624:L624"/>
    <mergeCell ref="B619:D619"/>
    <mergeCell ref="E619:L619"/>
    <mergeCell ref="B620:D620"/>
    <mergeCell ref="E620:L620"/>
    <mergeCell ref="B621:D621"/>
    <mergeCell ref="E621:L621"/>
    <mergeCell ref="B616:D616"/>
    <mergeCell ref="E616:L616"/>
    <mergeCell ref="B617:D617"/>
    <mergeCell ref="E617:L617"/>
    <mergeCell ref="B618:D618"/>
    <mergeCell ref="E618:L618"/>
    <mergeCell ref="B613:D613"/>
    <mergeCell ref="E613:L613"/>
    <mergeCell ref="B614:D614"/>
    <mergeCell ref="E614:L614"/>
    <mergeCell ref="B615:D615"/>
    <mergeCell ref="E615:L615"/>
    <mergeCell ref="B610:D610"/>
    <mergeCell ref="E610:L610"/>
    <mergeCell ref="B611:D611"/>
    <mergeCell ref="E611:L611"/>
    <mergeCell ref="B612:D612"/>
    <mergeCell ref="E612:L612"/>
    <mergeCell ref="B607:D607"/>
    <mergeCell ref="E607:L607"/>
    <mergeCell ref="B608:D608"/>
    <mergeCell ref="E608:L608"/>
    <mergeCell ref="B609:D609"/>
    <mergeCell ref="E609:L609"/>
    <mergeCell ref="B604:D604"/>
    <mergeCell ref="E604:L604"/>
    <mergeCell ref="B605:D605"/>
    <mergeCell ref="E605:L605"/>
    <mergeCell ref="B606:D606"/>
    <mergeCell ref="E606:L606"/>
    <mergeCell ref="B601:D601"/>
    <mergeCell ref="E601:L601"/>
    <mergeCell ref="B602:D602"/>
    <mergeCell ref="E602:L602"/>
    <mergeCell ref="B603:D603"/>
    <mergeCell ref="E603:L603"/>
    <mergeCell ref="B598:D598"/>
    <mergeCell ref="E598:L598"/>
    <mergeCell ref="B599:D599"/>
    <mergeCell ref="E599:L599"/>
    <mergeCell ref="B600:D600"/>
    <mergeCell ref="E600:L600"/>
    <mergeCell ref="B595:D595"/>
    <mergeCell ref="E595:L595"/>
    <mergeCell ref="B596:D596"/>
    <mergeCell ref="E596:L596"/>
    <mergeCell ref="B597:D597"/>
    <mergeCell ref="E597:L597"/>
    <mergeCell ref="B592:D592"/>
    <mergeCell ref="E592:L592"/>
    <mergeCell ref="B593:D593"/>
    <mergeCell ref="E593:L593"/>
    <mergeCell ref="B594:D594"/>
    <mergeCell ref="E594:L594"/>
    <mergeCell ref="B589:D589"/>
    <mergeCell ref="E589:L589"/>
    <mergeCell ref="B590:D590"/>
    <mergeCell ref="E590:L590"/>
    <mergeCell ref="B591:D591"/>
    <mergeCell ref="E591:L591"/>
    <mergeCell ref="B586:D586"/>
    <mergeCell ref="E586:L586"/>
    <mergeCell ref="B587:D587"/>
    <mergeCell ref="E587:L587"/>
    <mergeCell ref="B588:D588"/>
    <mergeCell ref="E588:L588"/>
    <mergeCell ref="B583:D583"/>
    <mergeCell ref="E583:L583"/>
    <mergeCell ref="B584:D584"/>
    <mergeCell ref="E584:L584"/>
    <mergeCell ref="B585:D585"/>
    <mergeCell ref="E585:L585"/>
    <mergeCell ref="B580:D580"/>
    <mergeCell ref="E580:L580"/>
    <mergeCell ref="B581:D581"/>
    <mergeCell ref="E581:L581"/>
    <mergeCell ref="B582:D582"/>
    <mergeCell ref="E582:L582"/>
    <mergeCell ref="B577:D577"/>
    <mergeCell ref="E577:L577"/>
    <mergeCell ref="B578:D578"/>
    <mergeCell ref="E578:L578"/>
    <mergeCell ref="B579:D579"/>
    <mergeCell ref="E579:L579"/>
    <mergeCell ref="B574:D574"/>
    <mergeCell ref="E574:L574"/>
    <mergeCell ref="B575:D575"/>
    <mergeCell ref="E575:L575"/>
    <mergeCell ref="B576:D576"/>
    <mergeCell ref="E576:L576"/>
    <mergeCell ref="B571:D571"/>
    <mergeCell ref="E571:L571"/>
    <mergeCell ref="B572:D572"/>
    <mergeCell ref="E572:L572"/>
    <mergeCell ref="B573:D573"/>
    <mergeCell ref="E573:L573"/>
    <mergeCell ref="B568:D568"/>
    <mergeCell ref="E568:L568"/>
    <mergeCell ref="B569:D569"/>
    <mergeCell ref="E569:L569"/>
    <mergeCell ref="B570:D570"/>
    <mergeCell ref="E570:L570"/>
    <mergeCell ref="B565:D565"/>
    <mergeCell ref="E565:L565"/>
    <mergeCell ref="B566:D566"/>
    <mergeCell ref="E566:L566"/>
    <mergeCell ref="B567:D567"/>
    <mergeCell ref="E567:L567"/>
    <mergeCell ref="B562:D562"/>
    <mergeCell ref="E562:L562"/>
    <mergeCell ref="B563:D563"/>
    <mergeCell ref="E563:L563"/>
    <mergeCell ref="B564:D564"/>
    <mergeCell ref="E564:L564"/>
    <mergeCell ref="B559:D559"/>
    <mergeCell ref="E559:L559"/>
    <mergeCell ref="B560:D560"/>
    <mergeCell ref="E560:L560"/>
    <mergeCell ref="B561:D561"/>
    <mergeCell ref="E561:L561"/>
    <mergeCell ref="B556:D556"/>
    <mergeCell ref="E556:L556"/>
    <mergeCell ref="B557:D557"/>
    <mergeCell ref="E557:L557"/>
    <mergeCell ref="B558:D558"/>
    <mergeCell ref="E558:L558"/>
    <mergeCell ref="B553:D553"/>
    <mergeCell ref="E553:L553"/>
    <mergeCell ref="B554:D554"/>
    <mergeCell ref="E554:L554"/>
    <mergeCell ref="B555:D555"/>
    <mergeCell ref="E555:L555"/>
    <mergeCell ref="B550:D550"/>
    <mergeCell ref="E550:L550"/>
    <mergeCell ref="B551:D551"/>
    <mergeCell ref="E551:L551"/>
    <mergeCell ref="B552:D552"/>
    <mergeCell ref="E552:L552"/>
    <mergeCell ref="B547:D547"/>
    <mergeCell ref="E547:L547"/>
    <mergeCell ref="B548:D548"/>
    <mergeCell ref="E548:L548"/>
    <mergeCell ref="B549:D549"/>
    <mergeCell ref="E549:L549"/>
    <mergeCell ref="B544:D544"/>
    <mergeCell ref="E544:L544"/>
    <mergeCell ref="B545:D545"/>
    <mergeCell ref="E545:L545"/>
    <mergeCell ref="B546:D546"/>
    <mergeCell ref="E546:L546"/>
    <mergeCell ref="B541:D541"/>
    <mergeCell ref="E541:L541"/>
    <mergeCell ref="B542:D542"/>
    <mergeCell ref="E542:L542"/>
    <mergeCell ref="B543:D543"/>
    <mergeCell ref="E543:L543"/>
    <mergeCell ref="B538:D538"/>
    <mergeCell ref="E538:L538"/>
    <mergeCell ref="B539:D539"/>
    <mergeCell ref="E539:L539"/>
    <mergeCell ref="B540:D540"/>
    <mergeCell ref="E540:L540"/>
    <mergeCell ref="B535:D535"/>
    <mergeCell ref="E535:L535"/>
    <mergeCell ref="B536:D536"/>
    <mergeCell ref="E536:L536"/>
    <mergeCell ref="B537:D537"/>
    <mergeCell ref="E537:L537"/>
    <mergeCell ref="B532:D532"/>
    <mergeCell ref="E532:L532"/>
    <mergeCell ref="B533:D533"/>
    <mergeCell ref="E533:L533"/>
    <mergeCell ref="B534:D534"/>
    <mergeCell ref="E534:L534"/>
    <mergeCell ref="B529:D529"/>
    <mergeCell ref="E529:L529"/>
    <mergeCell ref="B530:D530"/>
    <mergeCell ref="E530:L530"/>
    <mergeCell ref="B531:D531"/>
    <mergeCell ref="E531:L531"/>
    <mergeCell ref="B526:D526"/>
    <mergeCell ref="E526:L526"/>
    <mergeCell ref="B527:D527"/>
    <mergeCell ref="E527:L527"/>
    <mergeCell ref="B528:D528"/>
    <mergeCell ref="E528:L528"/>
    <mergeCell ref="B523:D523"/>
    <mergeCell ref="E523:L523"/>
    <mergeCell ref="B524:D524"/>
    <mergeCell ref="E524:L524"/>
    <mergeCell ref="B525:D525"/>
    <mergeCell ref="E525:L525"/>
    <mergeCell ref="B520:D520"/>
    <mergeCell ref="E520:L520"/>
    <mergeCell ref="B521:D521"/>
    <mergeCell ref="E521:L521"/>
    <mergeCell ref="B522:D522"/>
    <mergeCell ref="E522:L522"/>
    <mergeCell ref="B517:D517"/>
    <mergeCell ref="E517:L517"/>
    <mergeCell ref="B518:D518"/>
    <mergeCell ref="E518:L518"/>
    <mergeCell ref="B519:D519"/>
    <mergeCell ref="E519:L519"/>
    <mergeCell ref="B514:D514"/>
    <mergeCell ref="E514:L514"/>
    <mergeCell ref="B515:D515"/>
    <mergeCell ref="E515:L515"/>
    <mergeCell ref="B516:D516"/>
    <mergeCell ref="E516:L516"/>
    <mergeCell ref="B511:D511"/>
    <mergeCell ref="E511:L511"/>
    <mergeCell ref="B512:D512"/>
    <mergeCell ref="E512:L512"/>
    <mergeCell ref="B513:D513"/>
    <mergeCell ref="E513:L513"/>
    <mergeCell ref="B508:D508"/>
    <mergeCell ref="E508:L508"/>
    <mergeCell ref="B509:D509"/>
    <mergeCell ref="E509:L509"/>
    <mergeCell ref="B510:D510"/>
    <mergeCell ref="E510:L510"/>
    <mergeCell ref="B505:D505"/>
    <mergeCell ref="E505:L505"/>
    <mergeCell ref="B506:D506"/>
    <mergeCell ref="E506:L506"/>
    <mergeCell ref="B507:D507"/>
    <mergeCell ref="E507:L507"/>
    <mergeCell ref="B502:D502"/>
    <mergeCell ref="E502:L502"/>
    <mergeCell ref="B503:D503"/>
    <mergeCell ref="E503:L503"/>
    <mergeCell ref="B504:D504"/>
    <mergeCell ref="E504:L504"/>
    <mergeCell ref="B499:D499"/>
    <mergeCell ref="E499:L499"/>
    <mergeCell ref="B500:D500"/>
    <mergeCell ref="E500:L500"/>
    <mergeCell ref="B501:D501"/>
    <mergeCell ref="E501:L501"/>
    <mergeCell ref="B496:D496"/>
    <mergeCell ref="E496:L496"/>
    <mergeCell ref="B497:D497"/>
    <mergeCell ref="E497:L497"/>
    <mergeCell ref="B498:D498"/>
    <mergeCell ref="E498:L498"/>
    <mergeCell ref="B493:D493"/>
    <mergeCell ref="E493:L493"/>
    <mergeCell ref="B494:D494"/>
    <mergeCell ref="E494:L494"/>
    <mergeCell ref="B495:D495"/>
    <mergeCell ref="E495:L495"/>
    <mergeCell ref="B490:D490"/>
    <mergeCell ref="E490:L490"/>
    <mergeCell ref="B491:D491"/>
    <mergeCell ref="E491:L491"/>
    <mergeCell ref="B492:D492"/>
    <mergeCell ref="E492:L492"/>
    <mergeCell ref="B487:D487"/>
    <mergeCell ref="E487:L487"/>
    <mergeCell ref="B488:D488"/>
    <mergeCell ref="E488:L488"/>
    <mergeCell ref="B489:D489"/>
    <mergeCell ref="E489:L489"/>
    <mergeCell ref="B484:D484"/>
    <mergeCell ref="E484:L484"/>
    <mergeCell ref="B485:D485"/>
    <mergeCell ref="E485:L485"/>
    <mergeCell ref="B486:D486"/>
    <mergeCell ref="E486:L486"/>
    <mergeCell ref="B481:D481"/>
    <mergeCell ref="E481:L481"/>
    <mergeCell ref="B482:D482"/>
    <mergeCell ref="E482:L482"/>
    <mergeCell ref="B483:D483"/>
    <mergeCell ref="E483:L483"/>
    <mergeCell ref="B478:D478"/>
    <mergeCell ref="E478:L478"/>
    <mergeCell ref="B479:D479"/>
    <mergeCell ref="E479:L479"/>
    <mergeCell ref="B480:D480"/>
    <mergeCell ref="E480:L480"/>
    <mergeCell ref="B475:D475"/>
    <mergeCell ref="E475:L475"/>
    <mergeCell ref="B476:D476"/>
    <mergeCell ref="E476:L476"/>
    <mergeCell ref="B477:D477"/>
    <mergeCell ref="E477:L477"/>
    <mergeCell ref="B472:D472"/>
    <mergeCell ref="E472:L472"/>
    <mergeCell ref="B473:D473"/>
    <mergeCell ref="E473:L473"/>
    <mergeCell ref="B474:D474"/>
    <mergeCell ref="E474:L474"/>
    <mergeCell ref="B469:D469"/>
    <mergeCell ref="E469:L469"/>
    <mergeCell ref="B470:D470"/>
    <mergeCell ref="E470:L470"/>
    <mergeCell ref="B471:D471"/>
    <mergeCell ref="E471:L471"/>
    <mergeCell ref="B466:D466"/>
    <mergeCell ref="E466:L466"/>
    <mergeCell ref="B467:D467"/>
    <mergeCell ref="E467:L467"/>
    <mergeCell ref="B468:D468"/>
    <mergeCell ref="E468:L468"/>
    <mergeCell ref="B463:D463"/>
    <mergeCell ref="E463:L463"/>
    <mergeCell ref="B464:D464"/>
    <mergeCell ref="E464:L464"/>
    <mergeCell ref="B465:D465"/>
    <mergeCell ref="E465:L465"/>
    <mergeCell ref="B460:D460"/>
    <mergeCell ref="E460:L460"/>
    <mergeCell ref="B461:D461"/>
    <mergeCell ref="E461:L461"/>
    <mergeCell ref="B462:D462"/>
    <mergeCell ref="E462:L462"/>
    <mergeCell ref="B457:D457"/>
    <mergeCell ref="E457:L457"/>
    <mergeCell ref="B458:D458"/>
    <mergeCell ref="E458:L458"/>
    <mergeCell ref="B459:D459"/>
    <mergeCell ref="E459:L459"/>
    <mergeCell ref="B454:D454"/>
    <mergeCell ref="E454:L454"/>
    <mergeCell ref="B455:D455"/>
    <mergeCell ref="E455:L455"/>
    <mergeCell ref="B456:D456"/>
    <mergeCell ref="E456:L456"/>
    <mergeCell ref="B451:D451"/>
    <mergeCell ref="E451:L451"/>
    <mergeCell ref="B452:D452"/>
    <mergeCell ref="E452:L452"/>
    <mergeCell ref="B453:D453"/>
    <mergeCell ref="E453:L453"/>
    <mergeCell ref="B448:D448"/>
    <mergeCell ref="E448:L448"/>
    <mergeCell ref="B449:D449"/>
    <mergeCell ref="E449:L449"/>
    <mergeCell ref="B450:D450"/>
    <mergeCell ref="E450:L450"/>
    <mergeCell ref="B445:D445"/>
    <mergeCell ref="E445:L445"/>
    <mergeCell ref="B446:D446"/>
    <mergeCell ref="E446:L446"/>
    <mergeCell ref="B447:D447"/>
    <mergeCell ref="E447:L447"/>
    <mergeCell ref="B442:D442"/>
    <mergeCell ref="E442:L442"/>
    <mergeCell ref="B443:D443"/>
    <mergeCell ref="E443:L443"/>
    <mergeCell ref="B444:D444"/>
    <mergeCell ref="E444:L444"/>
    <mergeCell ref="B439:D439"/>
    <mergeCell ref="E439:L439"/>
    <mergeCell ref="B440:D440"/>
    <mergeCell ref="E440:L440"/>
    <mergeCell ref="B441:D441"/>
    <mergeCell ref="E441:L441"/>
    <mergeCell ref="B436:D436"/>
    <mergeCell ref="E436:L436"/>
    <mergeCell ref="B437:D437"/>
    <mergeCell ref="E437:L437"/>
    <mergeCell ref="B438:D438"/>
    <mergeCell ref="E438:L438"/>
    <mergeCell ref="B433:D433"/>
    <mergeCell ref="E433:L433"/>
    <mergeCell ref="B434:D434"/>
    <mergeCell ref="E434:L434"/>
    <mergeCell ref="B435:D435"/>
    <mergeCell ref="E435:L435"/>
    <mergeCell ref="B430:D430"/>
    <mergeCell ref="E430:L430"/>
    <mergeCell ref="B431:D431"/>
    <mergeCell ref="E431:L431"/>
    <mergeCell ref="B432:D432"/>
    <mergeCell ref="E432:L432"/>
    <mergeCell ref="B427:D427"/>
    <mergeCell ref="E427:L427"/>
    <mergeCell ref="B428:D428"/>
    <mergeCell ref="E428:L428"/>
    <mergeCell ref="B429:D429"/>
    <mergeCell ref="E429:L429"/>
    <mergeCell ref="B424:D424"/>
    <mergeCell ref="E424:L424"/>
    <mergeCell ref="B425:D425"/>
    <mergeCell ref="E425:L425"/>
    <mergeCell ref="B426:D426"/>
    <mergeCell ref="E426:L426"/>
    <mergeCell ref="B421:D421"/>
    <mergeCell ref="E421:L421"/>
    <mergeCell ref="B422:D422"/>
    <mergeCell ref="E422:L422"/>
    <mergeCell ref="B423:D423"/>
    <mergeCell ref="E423:L423"/>
    <mergeCell ref="B418:D418"/>
    <mergeCell ref="E418:L418"/>
    <mergeCell ref="B419:D419"/>
    <mergeCell ref="E419:L419"/>
    <mergeCell ref="B420:D420"/>
    <mergeCell ref="E420:L420"/>
    <mergeCell ref="B415:D415"/>
    <mergeCell ref="E415:L415"/>
    <mergeCell ref="B416:D416"/>
    <mergeCell ref="E416:L416"/>
    <mergeCell ref="B417:D417"/>
    <mergeCell ref="E417:L417"/>
    <mergeCell ref="B412:D412"/>
    <mergeCell ref="E412:L412"/>
    <mergeCell ref="B413:D413"/>
    <mergeCell ref="E413:L413"/>
    <mergeCell ref="B414:D414"/>
    <mergeCell ref="E414:L414"/>
    <mergeCell ref="B409:D409"/>
    <mergeCell ref="E409:L409"/>
    <mergeCell ref="B410:D410"/>
    <mergeCell ref="E410:L410"/>
    <mergeCell ref="B411:D411"/>
    <mergeCell ref="E411:L411"/>
    <mergeCell ref="B406:D406"/>
    <mergeCell ref="E406:L406"/>
    <mergeCell ref="B407:D407"/>
    <mergeCell ref="E407:L407"/>
    <mergeCell ref="B408:D408"/>
    <mergeCell ref="E408:L408"/>
    <mergeCell ref="B403:D403"/>
    <mergeCell ref="E403:L403"/>
    <mergeCell ref="B404:D404"/>
    <mergeCell ref="E404:L404"/>
    <mergeCell ref="B405:D405"/>
    <mergeCell ref="E405:L405"/>
    <mergeCell ref="B400:D400"/>
    <mergeCell ref="E400:L400"/>
    <mergeCell ref="B401:D401"/>
    <mergeCell ref="E401:L401"/>
    <mergeCell ref="B402:D402"/>
    <mergeCell ref="E402:L402"/>
    <mergeCell ref="B397:D397"/>
    <mergeCell ref="E397:L397"/>
    <mergeCell ref="B398:D398"/>
    <mergeCell ref="E398:L398"/>
    <mergeCell ref="B399:D399"/>
    <mergeCell ref="E399:L399"/>
    <mergeCell ref="B394:D394"/>
    <mergeCell ref="E394:L394"/>
    <mergeCell ref="B395:D395"/>
    <mergeCell ref="E395:L395"/>
    <mergeCell ref="B396:D396"/>
    <mergeCell ref="E396:L396"/>
    <mergeCell ref="B391:D391"/>
    <mergeCell ref="E391:L391"/>
    <mergeCell ref="B392:D392"/>
    <mergeCell ref="E392:L392"/>
    <mergeCell ref="B393:D393"/>
    <mergeCell ref="E393:L393"/>
    <mergeCell ref="B388:D388"/>
    <mergeCell ref="E388:L388"/>
    <mergeCell ref="B389:D389"/>
    <mergeCell ref="E389:L389"/>
    <mergeCell ref="B390:D390"/>
    <mergeCell ref="E390:L390"/>
    <mergeCell ref="B385:D385"/>
    <mergeCell ref="E385:L385"/>
    <mergeCell ref="B386:D386"/>
    <mergeCell ref="E386:L386"/>
    <mergeCell ref="B387:D387"/>
    <mergeCell ref="E387:L387"/>
    <mergeCell ref="B382:D382"/>
    <mergeCell ref="E382:L382"/>
    <mergeCell ref="B383:D383"/>
    <mergeCell ref="E383:L383"/>
    <mergeCell ref="B384:D384"/>
    <mergeCell ref="E384:L384"/>
    <mergeCell ref="B379:D379"/>
    <mergeCell ref="E379:L379"/>
    <mergeCell ref="B380:D380"/>
    <mergeCell ref="E380:L380"/>
    <mergeCell ref="B381:D381"/>
    <mergeCell ref="E381:L381"/>
    <mergeCell ref="B376:D376"/>
    <mergeCell ref="E376:L376"/>
    <mergeCell ref="B377:D377"/>
    <mergeCell ref="E377:L377"/>
    <mergeCell ref="B378:D378"/>
    <mergeCell ref="E378:L378"/>
    <mergeCell ref="B373:D373"/>
    <mergeCell ref="E373:L373"/>
    <mergeCell ref="B374:D374"/>
    <mergeCell ref="E374:L374"/>
    <mergeCell ref="B375:D375"/>
    <mergeCell ref="E375:L375"/>
    <mergeCell ref="B370:D370"/>
    <mergeCell ref="E370:L370"/>
    <mergeCell ref="B371:D371"/>
    <mergeCell ref="E371:L371"/>
    <mergeCell ref="B372:D372"/>
    <mergeCell ref="E372:L372"/>
    <mergeCell ref="B367:D367"/>
    <mergeCell ref="E367:L367"/>
    <mergeCell ref="B368:D368"/>
    <mergeCell ref="E368:L368"/>
    <mergeCell ref="B369:D369"/>
    <mergeCell ref="E369:L369"/>
    <mergeCell ref="B364:D364"/>
    <mergeCell ref="E364:L364"/>
    <mergeCell ref="B365:D365"/>
    <mergeCell ref="E365:L365"/>
    <mergeCell ref="B366:D366"/>
    <mergeCell ref="E366:L366"/>
    <mergeCell ref="B361:D361"/>
    <mergeCell ref="E361:L361"/>
    <mergeCell ref="B362:D362"/>
    <mergeCell ref="E362:L362"/>
    <mergeCell ref="B363:D363"/>
    <mergeCell ref="E363:L363"/>
    <mergeCell ref="B358:D358"/>
    <mergeCell ref="E358:L358"/>
    <mergeCell ref="B359:D359"/>
    <mergeCell ref="E359:L359"/>
    <mergeCell ref="B360:D360"/>
    <mergeCell ref="E360:L360"/>
    <mergeCell ref="B355:D355"/>
    <mergeCell ref="E355:L355"/>
    <mergeCell ref="B356:D356"/>
    <mergeCell ref="E356:L356"/>
    <mergeCell ref="B357:D357"/>
    <mergeCell ref="E357:L357"/>
    <mergeCell ref="B352:D352"/>
    <mergeCell ref="E352:L352"/>
    <mergeCell ref="B353:D353"/>
    <mergeCell ref="E353:L353"/>
    <mergeCell ref="B354:D354"/>
    <mergeCell ref="E354:L354"/>
    <mergeCell ref="B349:D349"/>
    <mergeCell ref="E349:L349"/>
    <mergeCell ref="B350:D350"/>
    <mergeCell ref="E350:L350"/>
    <mergeCell ref="B351:D351"/>
    <mergeCell ref="E351:L351"/>
    <mergeCell ref="B346:D346"/>
    <mergeCell ref="E346:L346"/>
    <mergeCell ref="B347:D347"/>
    <mergeCell ref="E347:L347"/>
    <mergeCell ref="B348:D348"/>
    <mergeCell ref="E348:L348"/>
    <mergeCell ref="B343:D343"/>
    <mergeCell ref="E343:L343"/>
    <mergeCell ref="B344:D344"/>
    <mergeCell ref="E344:L344"/>
    <mergeCell ref="B345:D345"/>
    <mergeCell ref="E345:L345"/>
    <mergeCell ref="B340:D340"/>
    <mergeCell ref="E340:L340"/>
    <mergeCell ref="B341:D341"/>
    <mergeCell ref="E341:L341"/>
    <mergeCell ref="B342:D342"/>
    <mergeCell ref="E342:L342"/>
    <mergeCell ref="B337:D337"/>
    <mergeCell ref="E337:L337"/>
    <mergeCell ref="B338:D338"/>
    <mergeCell ref="E338:L338"/>
    <mergeCell ref="B339:D339"/>
    <mergeCell ref="E339:L339"/>
    <mergeCell ref="B334:D334"/>
    <mergeCell ref="E334:L334"/>
    <mergeCell ref="B335:D335"/>
    <mergeCell ref="E335:L335"/>
    <mergeCell ref="B336:D336"/>
    <mergeCell ref="E336:L336"/>
    <mergeCell ref="B331:D331"/>
    <mergeCell ref="E331:L331"/>
    <mergeCell ref="B332:D332"/>
    <mergeCell ref="E332:L332"/>
    <mergeCell ref="B333:D333"/>
    <mergeCell ref="E333:L333"/>
    <mergeCell ref="B328:D328"/>
    <mergeCell ref="E328:L328"/>
    <mergeCell ref="B329:D329"/>
    <mergeCell ref="E329:L329"/>
    <mergeCell ref="B330:D330"/>
    <mergeCell ref="E330:L330"/>
    <mergeCell ref="B325:D325"/>
    <mergeCell ref="E325:L325"/>
    <mergeCell ref="B326:D326"/>
    <mergeCell ref="E326:L326"/>
    <mergeCell ref="B327:D327"/>
    <mergeCell ref="E327:L327"/>
    <mergeCell ref="B322:D322"/>
    <mergeCell ref="E322:L322"/>
    <mergeCell ref="B323:D323"/>
    <mergeCell ref="E323:L323"/>
    <mergeCell ref="B324:D324"/>
    <mergeCell ref="E324:L324"/>
    <mergeCell ref="B319:D319"/>
    <mergeCell ref="E319:L319"/>
    <mergeCell ref="B320:D320"/>
    <mergeCell ref="E320:L320"/>
    <mergeCell ref="B321:D321"/>
    <mergeCell ref="E321:L321"/>
    <mergeCell ref="B316:D316"/>
    <mergeCell ref="E316:L316"/>
    <mergeCell ref="B317:D317"/>
    <mergeCell ref="E317:L317"/>
    <mergeCell ref="B318:D318"/>
    <mergeCell ref="E318:L318"/>
    <mergeCell ref="B313:D313"/>
    <mergeCell ref="E313:L313"/>
    <mergeCell ref="B314:D314"/>
    <mergeCell ref="E314:L314"/>
    <mergeCell ref="B315:D315"/>
    <mergeCell ref="E315:L315"/>
    <mergeCell ref="B310:D310"/>
    <mergeCell ref="E310:L310"/>
    <mergeCell ref="B311:D311"/>
    <mergeCell ref="E311:L311"/>
    <mergeCell ref="B312:D312"/>
    <mergeCell ref="E312:L312"/>
    <mergeCell ref="B307:D307"/>
    <mergeCell ref="E307:L307"/>
    <mergeCell ref="B308:D308"/>
    <mergeCell ref="E308:L308"/>
    <mergeCell ref="B309:D309"/>
    <mergeCell ref="E309:L309"/>
    <mergeCell ref="B304:D304"/>
    <mergeCell ref="E304:L304"/>
    <mergeCell ref="B305:D305"/>
    <mergeCell ref="E305:L305"/>
    <mergeCell ref="B306:D306"/>
    <mergeCell ref="E306:L306"/>
    <mergeCell ref="B301:D301"/>
    <mergeCell ref="E301:L301"/>
    <mergeCell ref="B302:D302"/>
    <mergeCell ref="E302:L302"/>
    <mergeCell ref="B303:D303"/>
    <mergeCell ref="E303:L303"/>
    <mergeCell ref="B298:D298"/>
    <mergeCell ref="E298:L298"/>
    <mergeCell ref="B299:D299"/>
    <mergeCell ref="E299:L299"/>
    <mergeCell ref="B300:D300"/>
    <mergeCell ref="E300:L300"/>
    <mergeCell ref="B295:D295"/>
    <mergeCell ref="E295:L295"/>
    <mergeCell ref="B296:D296"/>
    <mergeCell ref="E296:L296"/>
    <mergeCell ref="B297:D297"/>
    <mergeCell ref="E297:L297"/>
    <mergeCell ref="B292:D292"/>
    <mergeCell ref="E292:L292"/>
    <mergeCell ref="B293:D293"/>
    <mergeCell ref="E293:L293"/>
    <mergeCell ref="B294:D294"/>
    <mergeCell ref="E294:L294"/>
    <mergeCell ref="B289:D289"/>
    <mergeCell ref="E289:L289"/>
    <mergeCell ref="B290:D290"/>
    <mergeCell ref="E290:L290"/>
    <mergeCell ref="B291:D291"/>
    <mergeCell ref="E291:L291"/>
    <mergeCell ref="B286:D286"/>
    <mergeCell ref="E286:L286"/>
    <mergeCell ref="B287:D287"/>
    <mergeCell ref="E287:L287"/>
    <mergeCell ref="B288:D288"/>
    <mergeCell ref="E288:L288"/>
    <mergeCell ref="B283:D283"/>
    <mergeCell ref="E283:L283"/>
    <mergeCell ref="B284:D284"/>
    <mergeCell ref="E284:L284"/>
    <mergeCell ref="B285:D285"/>
    <mergeCell ref="E285:L285"/>
    <mergeCell ref="B280:D280"/>
    <mergeCell ref="E280:L280"/>
    <mergeCell ref="B281:D281"/>
    <mergeCell ref="E281:L281"/>
    <mergeCell ref="B282:D282"/>
    <mergeCell ref="E282:L282"/>
    <mergeCell ref="B277:D277"/>
    <mergeCell ref="E277:L277"/>
    <mergeCell ref="B278:D278"/>
    <mergeCell ref="E278:L278"/>
    <mergeCell ref="B279:D279"/>
    <mergeCell ref="E279:L279"/>
    <mergeCell ref="B274:D274"/>
    <mergeCell ref="E274:L274"/>
    <mergeCell ref="B275:D275"/>
    <mergeCell ref="E275:L275"/>
    <mergeCell ref="B276:D276"/>
    <mergeCell ref="E276:L276"/>
    <mergeCell ref="B271:D271"/>
    <mergeCell ref="E271:L271"/>
    <mergeCell ref="B272:D272"/>
    <mergeCell ref="E272:L272"/>
    <mergeCell ref="B273:D273"/>
    <mergeCell ref="E273:L273"/>
    <mergeCell ref="B268:D268"/>
    <mergeCell ref="E268:L268"/>
    <mergeCell ref="B269:D269"/>
    <mergeCell ref="E269:L269"/>
    <mergeCell ref="B270:D270"/>
    <mergeCell ref="E270:L270"/>
    <mergeCell ref="B265:D265"/>
    <mergeCell ref="E265:L265"/>
    <mergeCell ref="B266:D266"/>
    <mergeCell ref="E266:L266"/>
    <mergeCell ref="B267:D267"/>
    <mergeCell ref="E267:L267"/>
    <mergeCell ref="B262:D262"/>
    <mergeCell ref="E262:L262"/>
    <mergeCell ref="B263:D263"/>
    <mergeCell ref="E263:L263"/>
    <mergeCell ref="B264:D264"/>
    <mergeCell ref="E264:L264"/>
    <mergeCell ref="B259:D259"/>
    <mergeCell ref="E259:L259"/>
    <mergeCell ref="B260:D260"/>
    <mergeCell ref="E260:L260"/>
    <mergeCell ref="B261:D261"/>
    <mergeCell ref="E261:L261"/>
    <mergeCell ref="B256:D256"/>
    <mergeCell ref="E256:L256"/>
    <mergeCell ref="B257:D257"/>
    <mergeCell ref="E257:L257"/>
    <mergeCell ref="B258:D258"/>
    <mergeCell ref="E258:L258"/>
    <mergeCell ref="B253:D253"/>
    <mergeCell ref="E253:L253"/>
    <mergeCell ref="B254:D254"/>
    <mergeCell ref="E254:L254"/>
    <mergeCell ref="B255:D255"/>
    <mergeCell ref="E255:L255"/>
    <mergeCell ref="B250:D250"/>
    <mergeCell ref="E250:L250"/>
    <mergeCell ref="B251:D251"/>
    <mergeCell ref="E251:L251"/>
    <mergeCell ref="B252:D252"/>
    <mergeCell ref="E252:L252"/>
    <mergeCell ref="B247:D247"/>
    <mergeCell ref="E247:L247"/>
    <mergeCell ref="B248:D248"/>
    <mergeCell ref="E248:L248"/>
    <mergeCell ref="B249:D249"/>
    <mergeCell ref="E249:L249"/>
    <mergeCell ref="B244:D244"/>
    <mergeCell ref="E244:L244"/>
    <mergeCell ref="B245:D245"/>
    <mergeCell ref="E245:L245"/>
    <mergeCell ref="B246:D246"/>
    <mergeCell ref="E246:L246"/>
    <mergeCell ref="B241:D241"/>
    <mergeCell ref="E241:L241"/>
    <mergeCell ref="B242:D242"/>
    <mergeCell ref="E242:L242"/>
    <mergeCell ref="B243:D243"/>
    <mergeCell ref="E243:L243"/>
    <mergeCell ref="B238:D238"/>
    <mergeCell ref="E238:L238"/>
    <mergeCell ref="B239:D239"/>
    <mergeCell ref="E239:L239"/>
    <mergeCell ref="B240:D240"/>
    <mergeCell ref="E240:L240"/>
    <mergeCell ref="B235:D235"/>
    <mergeCell ref="E235:L235"/>
    <mergeCell ref="B236:D236"/>
    <mergeCell ref="E236:L236"/>
    <mergeCell ref="B237:D237"/>
    <mergeCell ref="E237:L237"/>
    <mergeCell ref="B232:D232"/>
    <mergeCell ref="E232:L232"/>
    <mergeCell ref="B233:D233"/>
    <mergeCell ref="E233:L233"/>
    <mergeCell ref="B234:D234"/>
    <mergeCell ref="E234:L234"/>
    <mergeCell ref="B229:D229"/>
    <mergeCell ref="E229:L229"/>
    <mergeCell ref="B230:D230"/>
    <mergeCell ref="E230:L230"/>
    <mergeCell ref="B231:D231"/>
    <mergeCell ref="E231:L231"/>
    <mergeCell ref="B226:D226"/>
    <mergeCell ref="E226:L226"/>
    <mergeCell ref="B227:D227"/>
    <mergeCell ref="E227:L227"/>
    <mergeCell ref="B228:D228"/>
    <mergeCell ref="E228:L228"/>
    <mergeCell ref="B223:D223"/>
    <mergeCell ref="E223:L223"/>
    <mergeCell ref="B224:D224"/>
    <mergeCell ref="E224:L224"/>
    <mergeCell ref="B225:D225"/>
    <mergeCell ref="E225:L225"/>
    <mergeCell ref="B220:D220"/>
    <mergeCell ref="E220:L220"/>
    <mergeCell ref="B221:D221"/>
    <mergeCell ref="E221:L221"/>
    <mergeCell ref="B222:D222"/>
    <mergeCell ref="E222:L222"/>
    <mergeCell ref="B217:D217"/>
    <mergeCell ref="E217:L217"/>
    <mergeCell ref="B218:D218"/>
    <mergeCell ref="E218:L218"/>
    <mergeCell ref="B219:D219"/>
    <mergeCell ref="E219:L219"/>
    <mergeCell ref="B214:D214"/>
    <mergeCell ref="E214:L214"/>
    <mergeCell ref="B215:D215"/>
    <mergeCell ref="E215:L215"/>
    <mergeCell ref="B216:D216"/>
    <mergeCell ref="E216:L216"/>
    <mergeCell ref="B211:D211"/>
    <mergeCell ref="E211:L211"/>
    <mergeCell ref="B212:D212"/>
    <mergeCell ref="E212:L212"/>
    <mergeCell ref="B213:D213"/>
    <mergeCell ref="E213:L213"/>
    <mergeCell ref="B208:D208"/>
    <mergeCell ref="E208:L208"/>
    <mergeCell ref="B209:D209"/>
    <mergeCell ref="E209:L209"/>
    <mergeCell ref="B210:D210"/>
    <mergeCell ref="E210:L210"/>
    <mergeCell ref="B205:D205"/>
    <mergeCell ref="E205:L205"/>
    <mergeCell ref="B206:D206"/>
    <mergeCell ref="E206:L206"/>
    <mergeCell ref="B207:D207"/>
    <mergeCell ref="E207:L207"/>
    <mergeCell ref="B202:D202"/>
    <mergeCell ref="E202:L202"/>
    <mergeCell ref="B203:D203"/>
    <mergeCell ref="E203:L203"/>
    <mergeCell ref="B204:D204"/>
    <mergeCell ref="E204:L204"/>
    <mergeCell ref="B199:D199"/>
    <mergeCell ref="E199:L199"/>
    <mergeCell ref="B200:D200"/>
    <mergeCell ref="E200:L200"/>
    <mergeCell ref="B201:D201"/>
    <mergeCell ref="E201:L201"/>
    <mergeCell ref="B196:D196"/>
    <mergeCell ref="E196:L196"/>
    <mergeCell ref="B197:D197"/>
    <mergeCell ref="E197:L197"/>
    <mergeCell ref="B198:D198"/>
    <mergeCell ref="E198:L198"/>
    <mergeCell ref="B193:D193"/>
    <mergeCell ref="E193:L193"/>
    <mergeCell ref="B194:D194"/>
    <mergeCell ref="E194:L194"/>
    <mergeCell ref="B195:D195"/>
    <mergeCell ref="E195:L195"/>
    <mergeCell ref="B190:D190"/>
    <mergeCell ref="E190:L190"/>
    <mergeCell ref="B191:D191"/>
    <mergeCell ref="E191:L191"/>
    <mergeCell ref="B192:D192"/>
    <mergeCell ref="E192:L192"/>
    <mergeCell ref="B187:D187"/>
    <mergeCell ref="E187:L187"/>
    <mergeCell ref="B188:D188"/>
    <mergeCell ref="E188:L188"/>
    <mergeCell ref="B189:D189"/>
    <mergeCell ref="E189:L189"/>
    <mergeCell ref="B184:D184"/>
    <mergeCell ref="E184:L184"/>
    <mergeCell ref="B185:D185"/>
    <mergeCell ref="E185:L185"/>
    <mergeCell ref="B186:D186"/>
    <mergeCell ref="E186:L186"/>
    <mergeCell ref="B181:D181"/>
    <mergeCell ref="E181:L181"/>
    <mergeCell ref="B182:D182"/>
    <mergeCell ref="E182:L182"/>
    <mergeCell ref="B183:D183"/>
    <mergeCell ref="E183:L183"/>
    <mergeCell ref="B178:D178"/>
    <mergeCell ref="E178:L178"/>
    <mergeCell ref="B179:D179"/>
    <mergeCell ref="E179:L179"/>
    <mergeCell ref="B180:D180"/>
    <mergeCell ref="E180:L180"/>
    <mergeCell ref="B175:D175"/>
    <mergeCell ref="E175:L175"/>
    <mergeCell ref="B176:D176"/>
    <mergeCell ref="E176:L176"/>
    <mergeCell ref="B177:D177"/>
    <mergeCell ref="E177:L177"/>
    <mergeCell ref="B172:D172"/>
    <mergeCell ref="E172:L172"/>
    <mergeCell ref="B173:D173"/>
    <mergeCell ref="E173:L173"/>
    <mergeCell ref="B174:D174"/>
    <mergeCell ref="E174:L174"/>
    <mergeCell ref="B169:D169"/>
    <mergeCell ref="E169:L169"/>
    <mergeCell ref="B170:D170"/>
    <mergeCell ref="E170:L170"/>
    <mergeCell ref="B171:D171"/>
    <mergeCell ref="E171:L171"/>
    <mergeCell ref="B166:D166"/>
    <mergeCell ref="E166:L166"/>
    <mergeCell ref="B167:D167"/>
    <mergeCell ref="E167:L167"/>
    <mergeCell ref="B168:D168"/>
    <mergeCell ref="E168:L168"/>
    <mergeCell ref="B163:D163"/>
    <mergeCell ref="E163:L163"/>
    <mergeCell ref="B164:D164"/>
    <mergeCell ref="E164:L164"/>
    <mergeCell ref="B165:D165"/>
    <mergeCell ref="E165:L165"/>
    <mergeCell ref="B160:D160"/>
    <mergeCell ref="E160:L160"/>
    <mergeCell ref="B161:D161"/>
    <mergeCell ref="E161:L161"/>
    <mergeCell ref="B162:D162"/>
    <mergeCell ref="E162:L162"/>
    <mergeCell ref="B157:D157"/>
    <mergeCell ref="E157:L157"/>
    <mergeCell ref="B158:D158"/>
    <mergeCell ref="E158:L158"/>
    <mergeCell ref="B159:D159"/>
    <mergeCell ref="E159:L159"/>
    <mergeCell ref="B154:D154"/>
    <mergeCell ref="E154:L154"/>
    <mergeCell ref="B155:D155"/>
    <mergeCell ref="E155:L155"/>
    <mergeCell ref="B156:D156"/>
    <mergeCell ref="E156:L156"/>
    <mergeCell ref="B151:D151"/>
    <mergeCell ref="E151:L151"/>
    <mergeCell ref="B152:D152"/>
    <mergeCell ref="E152:L152"/>
    <mergeCell ref="B153:D153"/>
    <mergeCell ref="E153:L153"/>
    <mergeCell ref="B148:D148"/>
    <mergeCell ref="E148:L148"/>
    <mergeCell ref="B149:D149"/>
    <mergeCell ref="E149:L149"/>
    <mergeCell ref="B150:D150"/>
    <mergeCell ref="E150:L150"/>
    <mergeCell ref="B145:D145"/>
    <mergeCell ref="E145:L145"/>
    <mergeCell ref="B146:D146"/>
    <mergeCell ref="E146:L146"/>
    <mergeCell ref="B147:D147"/>
    <mergeCell ref="E147:L147"/>
    <mergeCell ref="B142:D142"/>
    <mergeCell ref="E142:L142"/>
    <mergeCell ref="B143:D143"/>
    <mergeCell ref="E143:L143"/>
    <mergeCell ref="B144:D144"/>
    <mergeCell ref="E144:L144"/>
    <mergeCell ref="B139:D139"/>
    <mergeCell ref="E139:L139"/>
    <mergeCell ref="B140:D140"/>
    <mergeCell ref="E140:L140"/>
    <mergeCell ref="B141:D141"/>
    <mergeCell ref="E141:L141"/>
    <mergeCell ref="B136:D136"/>
    <mergeCell ref="E136:L136"/>
    <mergeCell ref="B137:D137"/>
    <mergeCell ref="E137:L137"/>
    <mergeCell ref="B138:D138"/>
    <mergeCell ref="E138:L138"/>
    <mergeCell ref="B133:D133"/>
    <mergeCell ref="E133:L133"/>
    <mergeCell ref="B134:D134"/>
    <mergeCell ref="E134:L134"/>
    <mergeCell ref="B135:D135"/>
    <mergeCell ref="E135:L135"/>
    <mergeCell ref="B130:D130"/>
    <mergeCell ref="E130:L130"/>
    <mergeCell ref="B131:D131"/>
    <mergeCell ref="E131:L131"/>
    <mergeCell ref="B132:D132"/>
    <mergeCell ref="E132:L132"/>
    <mergeCell ref="B127:D127"/>
    <mergeCell ref="E127:L127"/>
    <mergeCell ref="B128:D128"/>
    <mergeCell ref="E128:L128"/>
    <mergeCell ref="B129:D129"/>
    <mergeCell ref="E129:L129"/>
    <mergeCell ref="B124:D124"/>
    <mergeCell ref="E124:L124"/>
    <mergeCell ref="B125:D125"/>
    <mergeCell ref="E125:L125"/>
    <mergeCell ref="B126:D126"/>
    <mergeCell ref="E126:L126"/>
    <mergeCell ref="B121:D121"/>
    <mergeCell ref="E121:L121"/>
    <mergeCell ref="B122:D122"/>
    <mergeCell ref="E122:L122"/>
    <mergeCell ref="B123:D123"/>
    <mergeCell ref="E123:L123"/>
    <mergeCell ref="B118:D118"/>
    <mergeCell ref="E118:L118"/>
    <mergeCell ref="B119:D119"/>
    <mergeCell ref="E119:L119"/>
    <mergeCell ref="B120:D120"/>
    <mergeCell ref="E120:L120"/>
    <mergeCell ref="B115:D115"/>
    <mergeCell ref="E115:L115"/>
    <mergeCell ref="B116:D116"/>
    <mergeCell ref="E116:L116"/>
    <mergeCell ref="B117:D117"/>
    <mergeCell ref="E117:L117"/>
    <mergeCell ref="B112:D112"/>
    <mergeCell ref="E112:L112"/>
    <mergeCell ref="B113:D113"/>
    <mergeCell ref="E113:L113"/>
    <mergeCell ref="B114:D114"/>
    <mergeCell ref="E114:L114"/>
    <mergeCell ref="B109:D109"/>
    <mergeCell ref="E109:L109"/>
    <mergeCell ref="B110:D110"/>
    <mergeCell ref="E110:L110"/>
    <mergeCell ref="B111:D111"/>
    <mergeCell ref="E111:L111"/>
    <mergeCell ref="B106:D106"/>
    <mergeCell ref="E106:L106"/>
    <mergeCell ref="B107:D107"/>
    <mergeCell ref="E107:L107"/>
    <mergeCell ref="B108:D108"/>
    <mergeCell ref="E108:L108"/>
    <mergeCell ref="B103:D103"/>
    <mergeCell ref="E103:L103"/>
    <mergeCell ref="B104:D104"/>
    <mergeCell ref="E104:L104"/>
    <mergeCell ref="B105:D105"/>
    <mergeCell ref="E105:L105"/>
    <mergeCell ref="B100:D100"/>
    <mergeCell ref="E100:L100"/>
    <mergeCell ref="B101:D101"/>
    <mergeCell ref="E101:L101"/>
    <mergeCell ref="B102:D102"/>
    <mergeCell ref="E102:L102"/>
    <mergeCell ref="B97:D97"/>
    <mergeCell ref="E97:L97"/>
    <mergeCell ref="B98:D98"/>
    <mergeCell ref="E98:L98"/>
    <mergeCell ref="B99:D99"/>
    <mergeCell ref="E99:L99"/>
    <mergeCell ref="B94:D94"/>
    <mergeCell ref="E94:L94"/>
    <mergeCell ref="B95:D95"/>
    <mergeCell ref="E95:L95"/>
    <mergeCell ref="B96:D96"/>
    <mergeCell ref="E96:L96"/>
    <mergeCell ref="B91:D91"/>
    <mergeCell ref="E91:L91"/>
    <mergeCell ref="B92:D92"/>
    <mergeCell ref="E92:L92"/>
    <mergeCell ref="B93:D93"/>
    <mergeCell ref="E93:L93"/>
    <mergeCell ref="B88:D88"/>
    <mergeCell ref="E88:L88"/>
    <mergeCell ref="B89:D89"/>
    <mergeCell ref="E89:L89"/>
    <mergeCell ref="B90:D90"/>
    <mergeCell ref="E90:L90"/>
    <mergeCell ref="B85:D85"/>
    <mergeCell ref="E85:L85"/>
    <mergeCell ref="B86:D86"/>
    <mergeCell ref="E86:L86"/>
    <mergeCell ref="B87:D87"/>
    <mergeCell ref="E87:L87"/>
    <mergeCell ref="B82:D82"/>
    <mergeCell ref="E82:L82"/>
    <mergeCell ref="B83:D83"/>
    <mergeCell ref="E83:L83"/>
    <mergeCell ref="B84:D84"/>
    <mergeCell ref="E84:L84"/>
    <mergeCell ref="B79:D79"/>
    <mergeCell ref="E79:L79"/>
    <mergeCell ref="B80:D80"/>
    <mergeCell ref="E80:L80"/>
    <mergeCell ref="B81:D81"/>
    <mergeCell ref="E81:L81"/>
    <mergeCell ref="B76:D76"/>
    <mergeCell ref="E76:L76"/>
    <mergeCell ref="B77:D77"/>
    <mergeCell ref="E77:L77"/>
    <mergeCell ref="B78:D78"/>
    <mergeCell ref="E78:L78"/>
    <mergeCell ref="B73:D73"/>
    <mergeCell ref="E73:L73"/>
    <mergeCell ref="B74:D74"/>
    <mergeCell ref="E74:L74"/>
    <mergeCell ref="B75:D75"/>
    <mergeCell ref="E75:L75"/>
    <mergeCell ref="B70:D70"/>
    <mergeCell ref="E70:L70"/>
    <mergeCell ref="B71:D71"/>
    <mergeCell ref="E71:L71"/>
    <mergeCell ref="B72:D72"/>
    <mergeCell ref="E72:L72"/>
    <mergeCell ref="B67:D67"/>
    <mergeCell ref="E67:L67"/>
    <mergeCell ref="B68:D68"/>
    <mergeCell ref="E68:L68"/>
    <mergeCell ref="B69:D69"/>
    <mergeCell ref="E69:L69"/>
    <mergeCell ref="B64:D64"/>
    <mergeCell ref="E64:L64"/>
    <mergeCell ref="B65:D65"/>
    <mergeCell ref="E65:L65"/>
    <mergeCell ref="B66:D66"/>
    <mergeCell ref="E66:L66"/>
    <mergeCell ref="B61:D61"/>
    <mergeCell ref="E61:L61"/>
    <mergeCell ref="B62:D62"/>
    <mergeCell ref="E62:L62"/>
    <mergeCell ref="B63:D63"/>
    <mergeCell ref="E63:L63"/>
    <mergeCell ref="B58:D58"/>
    <mergeCell ref="E58:L58"/>
    <mergeCell ref="B59:D59"/>
    <mergeCell ref="E59:L59"/>
    <mergeCell ref="B60:D60"/>
    <mergeCell ref="E60:L60"/>
    <mergeCell ref="B55:D55"/>
    <mergeCell ref="E55:L55"/>
    <mergeCell ref="B56:D56"/>
    <mergeCell ref="E56:L56"/>
    <mergeCell ref="B57:D57"/>
    <mergeCell ref="E57:L57"/>
    <mergeCell ref="B52:D52"/>
    <mergeCell ref="E52:L52"/>
    <mergeCell ref="B53:D53"/>
    <mergeCell ref="E53:L53"/>
    <mergeCell ref="B54:D54"/>
    <mergeCell ref="E54:L54"/>
    <mergeCell ref="B49:D49"/>
    <mergeCell ref="E49:L49"/>
    <mergeCell ref="B50:D50"/>
    <mergeCell ref="E50:L50"/>
    <mergeCell ref="B51:D51"/>
    <mergeCell ref="E51:L51"/>
    <mergeCell ref="B46:D46"/>
    <mergeCell ref="E46:L46"/>
    <mergeCell ref="B47:D47"/>
    <mergeCell ref="E47:L47"/>
    <mergeCell ref="B48:D48"/>
    <mergeCell ref="E48:L48"/>
    <mergeCell ref="B43:D43"/>
    <mergeCell ref="E43:L43"/>
    <mergeCell ref="B44:D44"/>
    <mergeCell ref="E44:L44"/>
    <mergeCell ref="B45:D45"/>
    <mergeCell ref="E45:L45"/>
    <mergeCell ref="B40:D40"/>
    <mergeCell ref="E40:L40"/>
    <mergeCell ref="B41:D41"/>
    <mergeCell ref="E41:L41"/>
    <mergeCell ref="B42:D42"/>
    <mergeCell ref="E42:L42"/>
    <mergeCell ref="B37:D37"/>
    <mergeCell ref="E37:L37"/>
    <mergeCell ref="B38:D38"/>
    <mergeCell ref="E38:L38"/>
    <mergeCell ref="B39:D39"/>
    <mergeCell ref="E39:L39"/>
    <mergeCell ref="B34:D34"/>
    <mergeCell ref="E34:L34"/>
    <mergeCell ref="B35:D35"/>
    <mergeCell ref="E35:L35"/>
    <mergeCell ref="B36:D36"/>
    <mergeCell ref="E36:L36"/>
    <mergeCell ref="B31:D31"/>
    <mergeCell ref="E31:L31"/>
    <mergeCell ref="B32:D32"/>
    <mergeCell ref="E32:L32"/>
    <mergeCell ref="B33:D33"/>
    <mergeCell ref="E33:L33"/>
    <mergeCell ref="B28:D28"/>
    <mergeCell ref="E28:L28"/>
    <mergeCell ref="B29:D29"/>
    <mergeCell ref="E29:L29"/>
    <mergeCell ref="B30:D30"/>
    <mergeCell ref="E30:L30"/>
    <mergeCell ref="B25:D25"/>
    <mergeCell ref="E25:L25"/>
    <mergeCell ref="B26:D26"/>
    <mergeCell ref="E26:L26"/>
    <mergeCell ref="B27:D27"/>
    <mergeCell ref="E27:L27"/>
    <mergeCell ref="B22:D22"/>
    <mergeCell ref="E22:L22"/>
    <mergeCell ref="B23:D23"/>
    <mergeCell ref="E23:L23"/>
    <mergeCell ref="B24:D24"/>
    <mergeCell ref="E24:L24"/>
    <mergeCell ref="B19:D19"/>
    <mergeCell ref="E19:L19"/>
    <mergeCell ref="B20:D20"/>
    <mergeCell ref="E20:L20"/>
    <mergeCell ref="B21:D21"/>
    <mergeCell ref="E21:L21"/>
    <mergeCell ref="B16:D16"/>
    <mergeCell ref="E16:L16"/>
    <mergeCell ref="B17:D17"/>
    <mergeCell ref="E17:L17"/>
    <mergeCell ref="B18:D18"/>
    <mergeCell ref="E18:L18"/>
    <mergeCell ref="D2:F2"/>
    <mergeCell ref="B2:C2"/>
    <mergeCell ref="H2:I2"/>
    <mergeCell ref="J2:L2"/>
    <mergeCell ref="B6:D6"/>
    <mergeCell ref="E6:L6"/>
    <mergeCell ref="B5:L5"/>
    <mergeCell ref="B13:D13"/>
    <mergeCell ref="E13:L13"/>
    <mergeCell ref="B14:D14"/>
    <mergeCell ref="E14:L14"/>
    <mergeCell ref="B15:D15"/>
    <mergeCell ref="E15:L15"/>
    <mergeCell ref="B10:D10"/>
    <mergeCell ref="E10:L10"/>
    <mergeCell ref="B11:D11"/>
    <mergeCell ref="E11:L11"/>
    <mergeCell ref="B12:D12"/>
    <mergeCell ref="E12:L12"/>
    <mergeCell ref="B7:D7"/>
    <mergeCell ref="E7:L7"/>
    <mergeCell ref="B8:D8"/>
    <mergeCell ref="E8:L8"/>
    <mergeCell ref="B9:D9"/>
    <mergeCell ref="E9:L9"/>
  </mergeCells>
  <dataValidations count="1">
    <dataValidation type="list" allowBlank="1" showInputMessage="1" showErrorMessage="1" sqref="D2:F2" xr:uid="{003E9F21-EAE3-43BC-A178-AFB02FC7CCE2}">
      <formula1>PAISES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9312-DE29-481E-A6A6-0638269F22B2}">
  <sheetPr codeName="Hoja4"/>
  <dimension ref="A1:AO1"/>
  <sheetViews>
    <sheetView workbookViewId="0">
      <pane ySplit="1" topLeftCell="A2" activePane="bottomLeft" state="frozen"/>
      <selection pane="bottomLeft"/>
    </sheetView>
  </sheetViews>
  <sheetFormatPr baseColWidth="10" defaultColWidth="11.77734375" defaultRowHeight="14.4" x14ac:dyDescent="0.3"/>
  <cols>
    <col min="1" max="4" width="19.88671875" customWidth="1"/>
    <col min="5" max="5" width="27.6640625" bestFit="1" customWidth="1"/>
    <col min="6" max="6" width="27.77734375" bestFit="1" customWidth="1"/>
    <col min="7" max="7" width="25.109375" bestFit="1" customWidth="1"/>
    <col min="8" max="8" width="25.77734375" bestFit="1" customWidth="1"/>
    <col min="9" max="9" width="32.109375" bestFit="1" customWidth="1"/>
    <col min="10" max="10" width="32.21875" bestFit="1" customWidth="1"/>
    <col min="11" max="11" width="29.5546875" bestFit="1" customWidth="1"/>
    <col min="12" max="12" width="39.6640625" bestFit="1" customWidth="1"/>
    <col min="13" max="13" width="22.109375" bestFit="1" customWidth="1"/>
    <col min="14" max="14" width="18.33203125" bestFit="1" customWidth="1"/>
    <col min="15" max="15" width="12.21875" bestFit="1" customWidth="1"/>
    <col min="16" max="16" width="18.33203125" bestFit="1" customWidth="1"/>
    <col min="17" max="17" width="12.21875" bestFit="1" customWidth="1"/>
    <col min="18" max="18" width="12.44140625" bestFit="1" customWidth="1"/>
    <col min="19" max="19" width="26.5546875" bestFit="1" customWidth="1"/>
    <col min="20" max="20" width="12.21875" bestFit="1" customWidth="1"/>
    <col min="21" max="21" width="14.33203125" bestFit="1" customWidth="1"/>
    <col min="22" max="22" width="22.88671875" bestFit="1" customWidth="1"/>
    <col min="23" max="23" width="18" bestFit="1" customWidth="1"/>
    <col min="24" max="24" width="12.77734375" bestFit="1" customWidth="1"/>
    <col min="25" max="25" width="19.109375" bestFit="1" customWidth="1"/>
    <col min="26" max="26" width="12.21875" bestFit="1" customWidth="1"/>
    <col min="27" max="27" width="21.77734375" bestFit="1" customWidth="1"/>
    <col min="28" max="28" width="20.77734375" bestFit="1" customWidth="1"/>
    <col min="29" max="29" width="21.21875" bestFit="1" customWidth="1"/>
    <col min="30" max="30" width="29.33203125" bestFit="1" customWidth="1"/>
    <col min="31" max="31" width="29.44140625" bestFit="1" customWidth="1"/>
    <col min="32" max="32" width="13" bestFit="1" customWidth="1"/>
    <col min="33" max="34" width="14.109375" bestFit="1" customWidth="1"/>
    <col min="35" max="35" width="17.44140625" bestFit="1" customWidth="1"/>
    <col min="36" max="36" width="24" bestFit="1" customWidth="1"/>
    <col min="37" max="37" width="32.6640625" bestFit="1" customWidth="1"/>
    <col min="38" max="38" width="16.21875" bestFit="1" customWidth="1"/>
    <col min="39" max="39" width="16.44140625" bestFit="1" customWidth="1"/>
    <col min="40" max="40" width="13.33203125" bestFit="1" customWidth="1"/>
    <col min="41" max="41" width="18.6640625" bestFit="1" customWidth="1"/>
  </cols>
  <sheetData>
    <row r="1" spans="1:41" x14ac:dyDescent="0.3">
      <c r="A1" s="110" t="str">
        <f>IF(ISBLANK(PARAMETROS!$C$611),"",PARAMETROS!$C$611)</f>
        <v>LLAVE</v>
      </c>
      <c r="B1" s="110" t="str">
        <f>IF(ISBLANK(PARAMETROS!$C$612),"",PARAMETROS!$C$612)</f>
        <v>COD_PAIS</v>
      </c>
      <c r="C1" s="110" t="str">
        <f>IF(ISBLANK(PARAMETROS!$C$613),"",PARAMETROS!$C$613)</f>
        <v>ID_CANGURO</v>
      </c>
      <c r="D1" s="110" t="str">
        <f>IF(ISBLANK(PARAMETROS!$C$614),"",PARAMETROS!$C$614)</f>
        <v>ID_NACIONAL</v>
      </c>
      <c r="E1" s="110" t="str">
        <f>IF(ISBLANK(PARAMETROS!$C$615),"",PARAMETROS!$C$615)</f>
        <v>NOMBRE_INSTITUCION_ACTUAL</v>
      </c>
      <c r="F1" s="110" t="str">
        <f>IF(ISBLANK(PARAMETROS!$C$616),"",PARAMETROS!$C$616)</f>
        <v>NUMERO_INSTITUCION_ACTUAL</v>
      </c>
      <c r="G1" s="110" t="str">
        <f>IF(ISBLANK(PARAMETROS!$C$617),"",PARAMETROS!$C$617)</f>
        <v>NIVEL_INSTITUCION_ACTUAL</v>
      </c>
      <c r="H1" s="110" t="str">
        <f>IF(ISBLANK(PARAMETROS!$C$618),"",PARAMETROS!$C$618)</f>
        <v>NACIO_INSTITUCION_ACTUAL</v>
      </c>
      <c r="I1" s="110" t="str">
        <f>IF(ISBLANK(PARAMETROS!$C$619),"",PARAMETROS!$C$619)</f>
        <v>NOMBRE_INSTITUCION_NACIMIENTO</v>
      </c>
      <c r="J1" s="110" t="str">
        <f>IF(ISBLANK(PARAMETROS!$C$620),"",PARAMETROS!$C$620)</f>
        <v>NUMERO_INSTITUCION_NACIMIENTO</v>
      </c>
      <c r="K1" s="110" t="str">
        <f>IF(ISBLANK(PARAMETROS!$C$621),"",PARAMETROS!$C$621)</f>
        <v>NIVEL_INSTITUCION_NACIMIENTO</v>
      </c>
      <c r="L1" s="110" t="str">
        <f>IF(ISBLANK(PARAMETROS!$C$622),"",PARAMETROS!$C$622)</f>
        <v>INGRESA_INSTITUCION_POSICION_CANGURO</v>
      </c>
      <c r="M1" s="110" t="str">
        <f>IF(ISBLANK(PARAMETROS!$C$623),"",PARAMETROS!$C$623)</f>
        <v>DISTANCIA_INSTITUCION</v>
      </c>
      <c r="N1" s="110" t="str">
        <f>IF(ISBLANK(PARAMETROS!$C$624),"",PARAMETROS!$C$624)</f>
        <v>FECHA_NACIMIENTO</v>
      </c>
      <c r="O1" s="110" t="str">
        <f>IF(ISBLANK(PARAMETROS!$C$625),"",PARAMETROS!$C$625)</f>
        <v>SEXO</v>
      </c>
      <c r="P1" s="110" t="str">
        <f>IF(ISBLANK(PARAMETROS!$C$626),"",PARAMETROS!$C$626)</f>
        <v>EDAD_GESTACIONAL</v>
      </c>
      <c r="Q1" s="110" t="str">
        <f>IF(ISBLANK(PARAMETROS!$C$627),"",PARAMETROS!$C$627)</f>
        <v>PESO_NACER</v>
      </c>
      <c r="R1" s="110" t="str">
        <f>IF(ISBLANK(PARAMETROS!$C$628),"",PARAMETROS!$C$628)</f>
        <v>TALLA_NACER</v>
      </c>
      <c r="S1" s="110" t="str">
        <f>IF(ISBLANK(PARAMETROS!$C$629),"",PARAMETROS!$C$629)</f>
        <v>PERIMETRO_CEFALICO_NACER</v>
      </c>
      <c r="T1" s="110" t="str">
        <f>IF(ISBLANK(PARAMETROS!$C$630),"",PARAMETROS!$C$630)</f>
        <v>RCIU_NACER</v>
      </c>
      <c r="U1" s="110" t="str">
        <f>IF(ISBLANK(PARAMETROS!$C$631),"",PARAMETROS!$C$631)</f>
        <v>EDAD_MATERNA</v>
      </c>
      <c r="V1" s="110" t="str">
        <f>IF(ISBLANK(PARAMETROS!$C$632),"",PARAMETROS!$C$632)</f>
        <v>CONTROLES_PARENTALES</v>
      </c>
      <c r="W1" s="110" t="str">
        <f>IF(ISBLANK(PARAMETROS!$C$633),"",PARAMETROS!$C$633)</f>
        <v>EDUCACION_MADRE</v>
      </c>
      <c r="X1" s="110" t="str">
        <f>IF(ISBLANK(PARAMETROS!$C$634),"",PARAMETROS!$C$634)</f>
        <v>ESTADO_CIVIL</v>
      </c>
      <c r="Y1" s="110" t="str">
        <f>IF(ISBLANK(PARAMETROS!$C$635),"",PARAMETROS!$C$635)</f>
        <v>EMBARAZO_DESEADO</v>
      </c>
      <c r="Z1" s="110" t="str">
        <f>IF(ISBLANK(PARAMETROS!$C$636),"",PARAMETROS!$C$636)</f>
        <v>TOXEMIA</v>
      </c>
      <c r="AA1" s="110" t="str">
        <f>IF(ISBLANK(PARAMETROS!$C$637),"",PARAMETROS!$C$637)</f>
        <v>CONSUMO_SUSTANCIAS</v>
      </c>
      <c r="AB1" s="110" t="str">
        <f>IF(ISBLANK(PARAMETROS!$C$638),"",PARAMETROS!$C$638)</f>
        <v>MORTALIDAD_MATERNA</v>
      </c>
      <c r="AC1" s="110" t="str">
        <f>IF(ISBLANK(PARAMETROS!$C$639),"",PARAMETROS!$C$639)</f>
        <v>REMITIDO_OTRO_LUGAR</v>
      </c>
      <c r="AD1" s="110" t="str">
        <f>IF(ISBLANK(PARAMETROS!$C$640),"",PARAMETROS!$C$640)</f>
        <v>NOMBRE_INSTITUCION_REFERIDA</v>
      </c>
      <c r="AE1" s="110" t="str">
        <f>IF(ISBLANK(PARAMETROS!$C$641),"",PARAMETROS!$C$641)</f>
        <v>NUMERO_INSTITUCION_REFERIDA</v>
      </c>
      <c r="AF1" s="110" t="str">
        <f>IF(ISBLANK(PARAMETROS!$C$642),"",PARAMETROS!$C$642)</f>
        <v>ESTADO_VITAL</v>
      </c>
      <c r="AG1" s="110" t="str">
        <f>IF(ISBLANK(PARAMETROS!$C$643),"",PARAMETROS!$C$643)</f>
        <v>FECHA_MUERTE</v>
      </c>
      <c r="AH1" s="110" t="str">
        <f>IF(ISBLANK(PARAMETROS!$C$644),"",PARAMETROS!$C$644)</f>
        <v>LUGAR_MUERTE</v>
      </c>
      <c r="AI1" s="110" t="str">
        <f>IF(ISBLANK(PARAMETROS!$C$645),"",PARAMETROS!$C$645)</f>
        <v>SEGUIMIENTO_PMC</v>
      </c>
      <c r="AJ1" s="111" t="str">
        <f>IF(ISBLANK(PARAMETROS!$C$646),"",PARAMETROS!$C$646)</f>
        <v>DIAS_VIDA_FALLECIMIENTO</v>
      </c>
      <c r="AK1" s="111" t="str">
        <f>IF(ISBLANK(PARAMETROS!$C$647),"",PARAMETROS!$C$647)</f>
        <v>EDAD_GESTACIONAL_FALLECIMIENTO</v>
      </c>
      <c r="AL1" s="111" t="str">
        <f>IF(ISBLANK(PARAMETROS!$C$648),"",PARAMETROS!$C$648)</f>
        <v>MES_NACIMIENTO</v>
      </c>
      <c r="AM1" s="111" t="str">
        <f>IF(ISBLANK(PARAMETROS!$C$649),"",PARAMETROS!$C$649)</f>
        <v>ANIO_NACIMIENTO</v>
      </c>
      <c r="AN1" s="112" t="s">
        <v>1794</v>
      </c>
      <c r="AO1" s="112" t="s">
        <v>2169</v>
      </c>
    </row>
  </sheetData>
  <sheetProtection algorithmName="SHA-512" hashValue="zODBzdednB9oDCvlfybhHXdA23MNMxG9RU94hMXIwQtlqZZEs+eWSUkq4NxO2sUiteOpM+soMTafmdDJY+ommA==" saltValue="sfZylPzN9OqHD0H1BSahOw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A8247-0759-4E50-8786-E38F7DCAB970}">
  <sheetPr codeName="Hoja5"/>
  <dimension ref="A1:FK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4" width="19.88671875" customWidth="1"/>
    <col min="5" max="5" width="20.88671875" bestFit="1" customWidth="1"/>
    <col min="6" max="7" width="19.88671875" bestFit="1" customWidth="1"/>
    <col min="8" max="8" width="22" bestFit="1" customWidth="1"/>
    <col min="9" max="11" width="19.88671875" bestFit="1" customWidth="1"/>
    <col min="12" max="12" width="29.33203125" bestFit="1" customWidth="1"/>
    <col min="13" max="13" width="34" bestFit="1" customWidth="1"/>
    <col min="14" max="14" width="26.109375" bestFit="1" customWidth="1"/>
    <col min="15" max="15" width="48.44140625" bestFit="1" customWidth="1"/>
    <col min="16" max="16" width="60.109375" bestFit="1" customWidth="1"/>
    <col min="17" max="17" width="36.77734375" bestFit="1" customWidth="1"/>
    <col min="18" max="18" width="26.109375" bestFit="1" customWidth="1"/>
    <col min="19" max="19" width="38.33203125" bestFit="1" customWidth="1"/>
    <col min="20" max="20" width="37.21875" bestFit="1" customWidth="1"/>
    <col min="21" max="21" width="41" bestFit="1" customWidth="1"/>
    <col min="22" max="22" width="37.21875" bestFit="1" customWidth="1"/>
    <col min="23" max="23" width="37.5546875" bestFit="1" customWidth="1"/>
    <col min="24" max="24" width="51.5546875" bestFit="1" customWidth="1"/>
    <col min="25" max="25" width="60.88671875" bestFit="1" customWidth="1"/>
    <col min="26" max="26" width="65.109375" bestFit="1" customWidth="1"/>
    <col min="27" max="27" width="52.5546875" bestFit="1" customWidth="1"/>
    <col min="28" max="28" width="52.88671875" bestFit="1" customWidth="1"/>
    <col min="29" max="29" width="66.88671875" bestFit="1" customWidth="1"/>
    <col min="30" max="30" width="33.33203125" bestFit="1" customWidth="1"/>
    <col min="31" max="31" width="33.6640625" bestFit="1" customWidth="1"/>
    <col min="32" max="32" width="47.77734375" bestFit="1" customWidth="1"/>
    <col min="33" max="33" width="46.44140625" bestFit="1" customWidth="1"/>
    <col min="34" max="34" width="59" bestFit="1" customWidth="1"/>
    <col min="35" max="35" width="58" bestFit="1" customWidth="1"/>
    <col min="36" max="36" width="52.5546875" bestFit="1" customWidth="1"/>
    <col min="37" max="37" width="47.109375" bestFit="1" customWidth="1"/>
    <col min="38" max="38" width="19.77734375" bestFit="1" customWidth="1"/>
    <col min="39" max="40" width="18.6640625" bestFit="1" customWidth="1"/>
    <col min="41" max="41" width="19" bestFit="1" customWidth="1"/>
    <col min="42" max="42" width="24.33203125" bestFit="1" customWidth="1"/>
    <col min="43" max="43" width="25.77734375" bestFit="1" customWidth="1"/>
    <col min="44" max="44" width="42" bestFit="1" customWidth="1"/>
    <col min="45" max="45" width="24.5546875" bestFit="1" customWidth="1"/>
    <col min="46" max="46" width="27" bestFit="1" customWidth="1"/>
    <col min="47" max="47" width="23.77734375" bestFit="1" customWidth="1"/>
    <col min="48" max="48" width="11.44140625" bestFit="1" customWidth="1"/>
    <col min="49" max="49" width="34.109375" bestFit="1" customWidth="1"/>
    <col min="50" max="50" width="14.109375" bestFit="1" customWidth="1"/>
    <col min="51" max="51" width="16.44140625" bestFit="1" customWidth="1"/>
    <col min="52" max="52" width="9.21875" bestFit="1" customWidth="1"/>
    <col min="53" max="53" width="9" bestFit="1" customWidth="1"/>
    <col min="54" max="54" width="26.77734375" bestFit="1" customWidth="1"/>
    <col min="55" max="55" width="30.109375" bestFit="1" customWidth="1"/>
    <col min="56" max="56" width="27.88671875" bestFit="1" customWidth="1"/>
    <col min="57" max="57" width="18.5546875" bestFit="1" customWidth="1"/>
    <col min="58" max="58" width="23.88671875" bestFit="1" customWidth="1"/>
    <col min="59" max="59" width="30.88671875" bestFit="1" customWidth="1"/>
    <col min="60" max="60" width="40.109375" bestFit="1" customWidth="1"/>
    <col min="61" max="61" width="43.6640625" bestFit="1" customWidth="1"/>
    <col min="62" max="62" width="38.6640625" bestFit="1" customWidth="1"/>
    <col min="63" max="63" width="34.21875" bestFit="1" customWidth="1"/>
    <col min="64" max="64" width="42.44140625" bestFit="1" customWidth="1"/>
    <col min="65" max="65" width="35.5546875" bestFit="1" customWidth="1"/>
    <col min="66" max="66" width="37" bestFit="1" customWidth="1"/>
    <col min="67" max="67" width="49.5546875" bestFit="1" customWidth="1"/>
    <col min="68" max="68" width="33.6640625" bestFit="1" customWidth="1"/>
    <col min="69" max="69" width="29" bestFit="1" customWidth="1"/>
    <col min="70" max="70" width="31.109375" bestFit="1" customWidth="1"/>
    <col min="71" max="71" width="40.109375" bestFit="1" customWidth="1"/>
    <col min="72" max="72" width="26.44140625" bestFit="1" customWidth="1"/>
    <col min="73" max="73" width="28.5546875" bestFit="1" customWidth="1"/>
    <col min="74" max="74" width="15.88671875" bestFit="1" customWidth="1"/>
    <col min="75" max="75" width="14.77734375" bestFit="1" customWidth="1"/>
    <col min="76" max="76" width="15.109375" bestFit="1" customWidth="1"/>
    <col min="77" max="77" width="29.21875" bestFit="1" customWidth="1"/>
    <col min="78" max="78" width="34.33203125" bestFit="1" customWidth="1"/>
    <col min="79" max="79" width="39.5546875" bestFit="1" customWidth="1"/>
    <col min="80" max="80" width="28" bestFit="1" customWidth="1"/>
    <col min="81" max="81" width="40.44140625" bestFit="1" customWidth="1"/>
    <col min="82" max="83" width="28.5546875" bestFit="1" customWidth="1"/>
    <col min="84" max="84" width="34" bestFit="1" customWidth="1"/>
    <col min="85" max="85" width="35.88671875" bestFit="1" customWidth="1"/>
    <col min="86" max="86" width="60" bestFit="1" customWidth="1"/>
    <col min="87" max="87" width="32.88671875" bestFit="1" customWidth="1"/>
    <col min="88" max="88" width="33.21875" bestFit="1" customWidth="1"/>
    <col min="89" max="89" width="47.33203125" bestFit="1" customWidth="1"/>
    <col min="90" max="90" width="46" bestFit="1" customWidth="1"/>
    <col min="91" max="91" width="30.5546875" bestFit="1" customWidth="1"/>
    <col min="92" max="92" width="30.88671875" bestFit="1" customWidth="1"/>
    <col min="93" max="93" width="45" bestFit="1" customWidth="1"/>
    <col min="94" max="94" width="43.77734375" bestFit="1" customWidth="1"/>
    <col min="95" max="95" width="59.88671875" bestFit="1" customWidth="1"/>
    <col min="96" max="96" width="46" bestFit="1" customWidth="1"/>
    <col min="97" max="97" width="50.33203125" bestFit="1" customWidth="1"/>
    <col min="98" max="98" width="49.6640625" bestFit="1" customWidth="1"/>
    <col min="99" max="99" width="51.88671875" bestFit="1" customWidth="1"/>
    <col min="100" max="100" width="60.77734375" bestFit="1" customWidth="1"/>
    <col min="101" max="101" width="47.109375" bestFit="1" customWidth="1"/>
    <col min="102" max="102" width="49.21875" bestFit="1" customWidth="1"/>
    <col min="103" max="103" width="55.21875" bestFit="1" customWidth="1"/>
    <col min="104" max="104" width="42.6640625" bestFit="1" customWidth="1"/>
    <col min="105" max="105" width="43" bestFit="1" customWidth="1"/>
    <col min="106" max="106" width="57.109375" bestFit="1" customWidth="1"/>
    <col min="107" max="107" width="51" bestFit="1" customWidth="1"/>
    <col min="108" max="108" width="28.44140625" bestFit="1" customWidth="1"/>
    <col min="109" max="109" width="27" bestFit="1" customWidth="1"/>
    <col min="110" max="110" width="27.33203125" bestFit="1" customWidth="1"/>
    <col min="111" max="111" width="41.33203125" bestFit="1" customWidth="1"/>
    <col min="112" max="112" width="58.5546875" bestFit="1" customWidth="1"/>
    <col min="113" max="113" width="40.109375" bestFit="1" customWidth="1"/>
    <col min="114" max="114" width="56.21875" bestFit="1" customWidth="1"/>
    <col min="115" max="115" width="45.5546875" bestFit="1" customWidth="1"/>
    <col min="116" max="116" width="46" bestFit="1" customWidth="1"/>
    <col min="117" max="117" width="48.21875" bestFit="1" customWidth="1"/>
    <col min="118" max="118" width="57.21875" bestFit="1" customWidth="1"/>
    <col min="119" max="119" width="43.44140625" bestFit="1" customWidth="1"/>
    <col min="120" max="120" width="45.5546875" bestFit="1" customWidth="1"/>
    <col min="121" max="122" width="44.21875" bestFit="1" customWidth="1"/>
    <col min="123" max="123" width="27" bestFit="1" customWidth="1"/>
    <col min="124" max="124" width="27.33203125" bestFit="1" customWidth="1"/>
    <col min="125" max="125" width="41.33203125" bestFit="1" customWidth="1"/>
    <col min="126" max="126" width="40.109375" bestFit="1" customWidth="1"/>
    <col min="127" max="127" width="52.109375" bestFit="1" customWidth="1"/>
    <col min="128" max="128" width="62.33203125" bestFit="1" customWidth="1"/>
    <col min="129" max="129" width="56.21875" bestFit="1" customWidth="1"/>
    <col min="130" max="130" width="45.5546875" bestFit="1" customWidth="1"/>
    <col min="131" max="131" width="44.88671875" bestFit="1" customWidth="1"/>
    <col min="132" max="133" width="44.21875" bestFit="1" customWidth="1"/>
    <col min="134" max="134" width="27" bestFit="1" customWidth="1"/>
    <col min="135" max="135" width="27.33203125" bestFit="1" customWidth="1"/>
    <col min="136" max="136" width="41.33203125" bestFit="1" customWidth="1"/>
    <col min="137" max="137" width="40.109375" bestFit="1" customWidth="1"/>
    <col min="138" max="138" width="62.33203125" bestFit="1" customWidth="1"/>
    <col min="139" max="139" width="56.21875" bestFit="1" customWidth="1"/>
    <col min="140" max="140" width="45.5546875" bestFit="1" customWidth="1"/>
    <col min="141" max="142" width="44.21875" bestFit="1" customWidth="1"/>
    <col min="143" max="143" width="28" bestFit="1" customWidth="1"/>
    <col min="144" max="144" width="28.33203125" bestFit="1" customWidth="1"/>
    <col min="145" max="145" width="42.44140625" bestFit="1" customWidth="1"/>
    <col min="146" max="146" width="43.44140625" bestFit="1" customWidth="1"/>
    <col min="147" max="147" width="41.109375" bestFit="1" customWidth="1"/>
    <col min="148" max="148" width="63.33203125" bestFit="1" customWidth="1"/>
    <col min="149" max="149" width="54.5546875" bestFit="1" customWidth="1"/>
    <col min="150" max="150" width="46.5546875" bestFit="1" customWidth="1"/>
    <col min="151" max="151" width="46.44140625" bestFit="1" customWidth="1"/>
    <col min="152" max="152" width="47.109375" bestFit="1" customWidth="1"/>
    <col min="153" max="153" width="49.21875" bestFit="1" customWidth="1"/>
    <col min="154" max="154" width="58.21875" bestFit="1" customWidth="1"/>
    <col min="155" max="155" width="44.44140625" bestFit="1" customWidth="1"/>
    <col min="156" max="156" width="46.5546875" bestFit="1" customWidth="1"/>
    <col min="157" max="158" width="45.21875" bestFit="1" customWidth="1"/>
    <col min="159" max="159" width="13.5546875" bestFit="1" customWidth="1"/>
    <col min="160" max="160" width="13.33203125" bestFit="1" customWidth="1"/>
    <col min="161" max="161" width="13" bestFit="1" customWidth="1"/>
    <col min="162" max="162" width="19.44140625" bestFit="1" customWidth="1"/>
    <col min="163" max="163" width="18.21875" bestFit="1" customWidth="1"/>
    <col min="164" max="166" width="17.5546875" bestFit="1" customWidth="1"/>
    <col min="167" max="167" width="18.5546875" bestFit="1" customWidth="1"/>
  </cols>
  <sheetData>
    <row r="1" spans="1:167" x14ac:dyDescent="0.3">
      <c r="A1" s="110" t="str">
        <f>IF(ISBLANK(PARAMETROS!$C$650),"",PARAMETROS!$C$650)</f>
        <v>LLAVE</v>
      </c>
      <c r="B1" s="110" t="str">
        <f>IF(ISBLANK(PARAMETROS!$C$651),"",PARAMETROS!$C$651)</f>
        <v>COD_PAIS</v>
      </c>
      <c r="C1" s="110" t="str">
        <f>IF(ISBLANK(PARAMETROS!$C$652),"",PARAMETROS!$C$652)</f>
        <v>ID_CANGURO</v>
      </c>
      <c r="D1" s="110" t="str">
        <f>IF(ISBLANK(PARAMETROS!$C$653),"",PARAMETROS!$C$653)</f>
        <v>ID_NACIONAL</v>
      </c>
      <c r="E1" s="110" t="str">
        <f>IF(ISBLANK(PARAMETROS!$C$654),"",PARAMETROS!$C$654)</f>
        <v>ADAPTACION_OXIGENO</v>
      </c>
      <c r="F1" s="110" t="str">
        <f>IF(ISBLANK(PARAMETROS!$C$655),"",PARAMETROS!$C$655)</f>
        <v>OXIGENO_BLENDER</v>
      </c>
      <c r="G1" s="110" t="str">
        <f>IF(ISBLANK(PARAMETROS!$C$656),"",PARAMETROS!$C$656)</f>
        <v>CPAP</v>
      </c>
      <c r="H1" s="110" t="str">
        <f>IF(ISBLANK(PARAMETROS!$C$657),"",PARAMETROS!$C$657)</f>
        <v>ADAPTACION_NEONATAL</v>
      </c>
      <c r="I1" s="110" t="str">
        <f>IF(ISBLANK(PARAMETROS!$C$658),"",PARAMETROS!$C$658)</f>
        <v>VIA_PARTO</v>
      </c>
      <c r="J1" s="110" t="str">
        <f>IF(ISBLANK(PARAMETROS!$C$659),"",PARAMETROS!$C$659)</f>
        <v>APGAR1</v>
      </c>
      <c r="K1" s="110" t="str">
        <f>IF(ISBLANK(PARAMETROS!$C$660),"",PARAMETROS!$C$660)</f>
        <v>APGAR5</v>
      </c>
      <c r="L1" s="110" t="str">
        <f>IF(ISBLANK(PARAMETROS!$C$661),"",PARAMETROS!$C$661)</f>
        <v>POSICION_CANGURO_INMEDIATA</v>
      </c>
      <c r="M1" s="110" t="str">
        <f>IF(ISBLANK(PARAMETROS!$C$662),"",PARAMETROS!$C$662)</f>
        <v>DURACION_POSICION_CANGURO_DIA1</v>
      </c>
      <c r="N1" s="110" t="str">
        <f>IF(ISBLANK(PARAMETROS!$C$663),"",PARAMETROS!$C$663)</f>
        <v>LACTANCIA_MATERNA_HORA1</v>
      </c>
      <c r="O1" s="110" t="str">
        <f>IF(ISBLANK(PARAMETROS!$C$664),"",PARAMETROS!$C$664)</f>
        <v>TRANSPORTE_POSICION_CANGURO_URN_ALOJAMIENTO</v>
      </c>
      <c r="P1" s="110" t="str">
        <f>IF(ISBLANK(PARAMETROS!$C$665),"",PARAMETROS!$C$665)</f>
        <v>TRANSPORTE_POSICION_CANGURO_REMISIONES_OTRA_INSTITUCION</v>
      </c>
      <c r="Q1" s="110" t="str">
        <f>IF(ISBLANK(PARAMETROS!$C$666),"",PARAMETROS!$C$666)</f>
        <v>DESTINO_PACIENTE_DESDE_SALA_PARTOS</v>
      </c>
      <c r="R1" s="110" t="str">
        <f>IF(ISBLANK(PARAMETROS!$C$667),"",PARAMETROS!$C$667)</f>
        <v>FECHA_SALIDA_SALA_PARTOS</v>
      </c>
      <c r="S1" s="110" t="str">
        <f>IF(ISBLANK(PARAMETROS!$C$668),"",PARAMETROS!$C$668)</f>
        <v>FECHA_ENTRADA_ALOJAMIENTO_CONJUNTO</v>
      </c>
      <c r="T1" s="110" t="str">
        <f>IF(ISBLANK(PARAMETROS!$C$669),"",PARAMETROS!$C$669)</f>
        <v>LUGAR_ORIGEN_ALOJAMIENTO_CONJUNTO</v>
      </c>
      <c r="U1" s="110" t="str">
        <f>IF(ISBLANK(PARAMETROS!$C$670),"",PARAMETROS!$C$670)</f>
        <v>DURACION_ESTADIA_ALOJAMIENTO_CONJUNTO</v>
      </c>
      <c r="V1" s="110" t="str">
        <f>IF(ISBLANK(PARAMETROS!$C$671),"",PARAMETROS!$C$671)</f>
        <v>PESO_INGRESO_ALOJAMIENTO_CONJUNTO</v>
      </c>
      <c r="W1" s="110" t="str">
        <f>IF(ISBLANK(PARAMETROS!$C$672),"",PARAMETROS!$C$672)</f>
        <v>TALLA_INGRESO_ALOJAMIENTO_CONJUNTO</v>
      </c>
      <c r="X1" s="110" t="str">
        <f>IF(ISBLANK(PARAMETROS!$C$673),"",PARAMETROS!$C$673)</f>
        <v>PERIMETRO_CEFALICO_INGRESO_ALOJAMIENTO_CONJUNTO</v>
      </c>
      <c r="Y1" s="110" t="str">
        <f>IF(ISBLANK(PARAMETROS!$C$674),"",PARAMETROS!$C$674)</f>
        <v>EDAD_CRONOLOGIA_RECUPERACION_PESO_ALOJAMIENTO_CONJUNTO</v>
      </c>
      <c r="Z1" s="110" t="str">
        <f>IF(ISBLANK(PARAMETROS!$C$675),"",PARAMETROS!$C$675)</f>
        <v>EDAD_CRONOLOGIA_DEJA_POSICION_CANGURO_ALOJAMIENTO_CONJUNTO</v>
      </c>
      <c r="AA1" s="110" t="str">
        <f>IF(ISBLANK(PARAMETROS!$C$676),"",PARAMETROS!$C$676)</f>
        <v>PESO_DEJA_POSICION_CANGURO_ALOJAMIENTO_CONJUNTO</v>
      </c>
      <c r="AB1" s="110" t="str">
        <f>IF(ISBLANK(PARAMETROS!$C$677),"",PARAMETROS!$C$677)</f>
        <v>TALLA_DEJA_POSICION_CANGURO_ALOJAMIENTO_CONJUNTO</v>
      </c>
      <c r="AC1" s="110" t="str">
        <f>IF(ISBLANK(PARAMETROS!$C$678),"",PARAMETROS!$C$678)</f>
        <v>PERIMETRO_CEFALICO_DEJA_POSICION_CANGURO_ALOJAMIENTO_CONJUNTO</v>
      </c>
      <c r="AD1" s="110" t="str">
        <f>IF(ISBLANK(PARAMETROS!$C$679),"",PARAMETROS!$C$679)</f>
        <v>PESO_ALTA_ALOJAMIENTO_CONJUNTO</v>
      </c>
      <c r="AE1" s="110" t="str">
        <f>IF(ISBLANK(PARAMETROS!$C$680),"",PARAMETROS!$C$680)</f>
        <v>TALLA_ALTA_ALOJAMIENTO_CONJUNTO</v>
      </c>
      <c r="AF1" s="110" t="str">
        <f>IF(ISBLANK(PARAMETROS!$C$681),"",PARAMETROS!$C$681)</f>
        <v>PERIMETRO_CEFALICO_ALTA_ALOJAMIENTO_CONJUNTO</v>
      </c>
      <c r="AG1" s="110" t="str">
        <f>IF(ISBLANK(PARAMETROS!$C$682),"",PARAMETROS!$C$682)</f>
        <v>TIPO_ALIMENTACION_ALTA_ALOJAMIENTO_CONJUNTO</v>
      </c>
      <c r="AH1" s="110" t="str">
        <f>IF(ISBLANK(PARAMETROS!$C$683),"",PARAMETROS!$C$683)</f>
        <v>ENTRENAMIENTO_OTRO_CUIDADOR_MMC_ALOJAMIENTO_CONJUNTO</v>
      </c>
      <c r="AI1" s="110" t="str">
        <f>IF(ISBLANK(PARAMETROS!$C$684),"",PARAMETROS!$C$684)</f>
        <v>MADRE_ABANDONA_VOLUNTARIAMENTE_ALOJAMIENTO_CONJUNTO</v>
      </c>
      <c r="AJ1" s="110" t="str">
        <f>IF(ISBLANK(PARAMETROS!$C$685),"",PARAMETROS!$C$685)</f>
        <v>ALTA_CASA_POSICION_CANGURO_ALOJAMIENTO_CONJUNTO</v>
      </c>
      <c r="AK1" s="110" t="str">
        <f>IF(ISBLANK(PARAMETROS!$C$686),"",PARAMETROS!$C$686)</f>
        <v>DESTINO_PACIENTE_DESDE_ALOJAMIENTO_CONJUNTO</v>
      </c>
      <c r="AL1" s="110" t="str">
        <f>IF(ISBLANK(PARAMETROS!$C$687),"",PARAMETROS!$C$687)</f>
        <v>FECHA_ENTRADA_URN</v>
      </c>
      <c r="AM1" s="110" t="str">
        <f>IF(ISBLANK(PARAMETROS!$C$688),"",PARAMETROS!$C$688)</f>
        <v>LUGAR_ORIGEN_URN</v>
      </c>
      <c r="AN1" s="110" t="str">
        <f>IF(ISBLANK(PARAMETROS!$C$689),"",PARAMETROS!$C$689)</f>
        <v>PESO_INGRESO_URN</v>
      </c>
      <c r="AO1" s="110" t="str">
        <f>IF(ISBLANK(PARAMETROS!$C$690),"",PARAMETROS!$C$690)</f>
        <v>TALLA_INGRESO_URN</v>
      </c>
      <c r="AP1" s="110" t="str">
        <f>IF(ISBLANK(PARAMETROS!$C$691),"",PARAMETROS!$C$691)</f>
        <v>PERIMETRO_CEFALICO_URN</v>
      </c>
      <c r="AQ1" s="110" t="str">
        <f>IF(ISBLANK(PARAMETROS!$C$692),"",PARAMETROS!$C$692)</f>
        <v>NECESITO_ANTIBIOTICO_URN</v>
      </c>
      <c r="AR1" s="110" t="str">
        <f>IF(ISBLANK(PARAMETROS!$C$693),"",PARAMETROS!$C$693)</f>
        <v>CICLO_ANTIBIOTICO_ULTIMA_GENERACION_URN</v>
      </c>
      <c r="AS1" s="110" t="str">
        <f>IF(ISBLANK(PARAMETROS!$C$694),"",PARAMETROS!$C$694)</f>
        <v>NUTRICION_PARENTAL_URN</v>
      </c>
      <c r="AT1" s="110" t="str">
        <f>IF(ISBLANK(PARAMETROS!$C$695),"",PARAMETROS!$C$695)</f>
        <v>SEPSIS_NEONATAL_TEMPRANA</v>
      </c>
      <c r="AU1" s="110" t="str">
        <f>IF(ISBLANK(PARAMETROS!$C$696),"",PARAMETROS!$C$696)</f>
        <v>SEPSIS_NEONATAL_TARDIA</v>
      </c>
      <c r="AV1" s="110" t="str">
        <f>IF(ISBLANK(PARAMETROS!$C$697),"",PARAMETROS!$C$697)</f>
        <v>HIPOTERMIA</v>
      </c>
      <c r="AW1" s="110" t="str">
        <f>IF(ISBLANK(PARAMETROS!$C$698),"",PARAMETROS!$C$698)</f>
        <v>SINDROME_DIFICULTAD_RESPIRATORIA</v>
      </c>
      <c r="AX1" s="110" t="str">
        <f>IF(ISBLANK(PARAMETROS!$C$699),"",PARAMETROS!$C$699)</f>
        <v>HIPOGLUCEMIA</v>
      </c>
      <c r="AY1" s="110" t="str">
        <f>IF(ISBLANK(PARAMETROS!$C$700),"",PARAMETROS!$C$700)</f>
        <v>ASFIXIA_NONATAL</v>
      </c>
      <c r="AZ1" s="110" t="str">
        <f>IF(ISBLANK(PARAMETROS!$C$701),"",PARAMETROS!$C$701)</f>
        <v>ICTERICIA</v>
      </c>
      <c r="BA1" s="110" t="str">
        <f>IF(ISBLANK(PARAMETROS!$C$702),"",PARAMETROS!$C$702)</f>
        <v>ANEMIA</v>
      </c>
      <c r="BB1" s="110" t="str">
        <f>IF(ISBLANK(PARAMETROS!$C$703),"",PARAMETROS!$C$703)</f>
        <v>ENTEROCOLITIS_NECROSANTE</v>
      </c>
      <c r="BC1" s="110" t="str">
        <f>IF(ISBLANK(PARAMETROS!$C$704),"",PARAMETROS!$C$704)</f>
        <v>HEMORRAGIA_INTRAVENTRICULAR</v>
      </c>
      <c r="BD1" s="110" t="str">
        <f>IF(ISBLANK(PARAMETROS!$C$705),"",PARAMETROS!$C$705)</f>
        <v>DISPLASIA_BRONCOPULMONAR</v>
      </c>
      <c r="BE1" s="110" t="str">
        <f>IF(ISBLANK(PARAMETROS!$C$706),"",PARAMETROS!$C$706)</f>
        <v>OTRO_DIAGNOSTICO</v>
      </c>
      <c r="BF1" s="110" t="str">
        <f>IF(ISBLANK(PARAMETROS!$C$707),"",PARAMETROS!$C$707)</f>
        <v>CUAL_OTRO_DIAGNOSTICO</v>
      </c>
      <c r="BG1" s="110" t="str">
        <f>IF(ISBLANK(PARAMETROS!$C$708),"",PARAMETROS!$C$708)</f>
        <v>TOTAL_SOPORTE_VENTILADOR_URN</v>
      </c>
      <c r="BH1" s="110" t="str">
        <f>IF(ISBLANK(PARAMETROS!$C$709),"",PARAMETROS!$C$709)</f>
        <v>TOTAL_SOPORTE_VENTILADOR_INVASIVO_URN</v>
      </c>
      <c r="BI1" s="110" t="str">
        <f>IF(ISBLANK(PARAMETROS!$C$710),"",PARAMETROS!$C$710)</f>
        <v>TOTAL_SOPORTE_VENTILADOR_NO_INVASIVO_URN</v>
      </c>
      <c r="BJ1" s="110" t="str">
        <f>IF(ISBLANK(PARAMETROS!$C$711),"",PARAMETROS!$C$711)</f>
        <v>TOTAL_DIAS_OXIGENO_CANULA_NASAL_URN</v>
      </c>
      <c r="BK1" s="110" t="str">
        <f>IF(ISBLANK(PARAMETROS!$C$712),"",PARAMETROS!$C$712)</f>
        <v>EGRESA_OXIGENO_AMBULATORIO_URN</v>
      </c>
      <c r="BL1" s="110" t="str">
        <f>IF(ISBLANK(PARAMETROS!$C$713),"",PARAMETROS!$C$713)</f>
        <v>EDAD_CRONOLOGIA_RECUPERACION_PESO_URN</v>
      </c>
      <c r="BM1" s="110" t="str">
        <f>IF(ISBLANK(PARAMETROS!$C$714),"",PARAMETROS!$C$714)</f>
        <v>EDAD_INICIO_POSICION_CANGURO_URN</v>
      </c>
      <c r="BN1" s="110" t="str">
        <f>IF(ISBLANK(PARAMETROS!$C$715),"",PARAMETROS!$C$715)</f>
        <v>NUMERO_DIAS_POSICION_CANGURO_URN</v>
      </c>
      <c r="BO1" s="110" t="str">
        <f>IF(ISBLANK(PARAMETROS!$C$716),"",PARAMETROS!$C$716)</f>
        <v>TIEMPO_MAXIMO_HORAS_DIA_POSICION_CANGURO_URN</v>
      </c>
      <c r="BP1" s="110" t="str">
        <f>IF(ISBLANK(PARAMETROS!$C$717),"",PARAMETROS!$C$717)</f>
        <v>NUMERO_HORAS_APERTURA_24H_URN</v>
      </c>
      <c r="BQ1" s="110" t="str">
        <f>IF(ISBLANK(PARAMETROS!$C$718),"",PARAMETROS!$C$718)</f>
        <v>TAMIZAJE_OFTALMOLOGICO_URN</v>
      </c>
      <c r="BR1" s="110" t="str">
        <f>IF(ISBLANK(PARAMETROS!$C$719),"",PARAMETROS!$C$719)</f>
        <v>RESULTADO_OFTALMOLOGICO_URN</v>
      </c>
      <c r="BS1" s="110" t="str">
        <f>IF(ISBLANK(PARAMETROS!$C$720),"",PARAMETROS!$C$720)</f>
        <v>RESULTADO_OFTALMOLOGICO_CEGUERA_URN</v>
      </c>
      <c r="BT1" s="110" t="str">
        <f>IF(ISBLANK(PARAMETROS!$C$721),"",PARAMETROS!$C$721)</f>
        <v>TAMIZAJE_AUDIOLOGICO_URN</v>
      </c>
      <c r="BU1" s="110" t="str">
        <f>IF(ISBLANK(PARAMETROS!$C$722),"",PARAMETROS!$C$722)</f>
        <v>RESULTADO_AUDIOLOGICO_URN</v>
      </c>
      <c r="BV1" s="110" t="str">
        <f>IF(ISBLANK(PARAMETROS!$C$723),"",PARAMETROS!$C$723)</f>
        <v>FECHA_ALTA_URN</v>
      </c>
      <c r="BW1" s="110" t="str">
        <f>IF(ISBLANK(PARAMETROS!$C$724),"",PARAMETROS!$C$724)</f>
        <v>PESO_ALTA_URN</v>
      </c>
      <c r="BX1" s="110" t="str">
        <f>IF(ISBLANK(PARAMETROS!$C$725),"",PARAMETROS!$C$725)</f>
        <v>TALLA_ALTA_URN</v>
      </c>
      <c r="BY1" s="110" t="str">
        <f>IF(ISBLANK(PARAMETROS!$C$726),"",PARAMETROS!$C$726)</f>
        <v>PERIMETRO_CEFALICO_ALTA_URN</v>
      </c>
      <c r="BZ1" s="110" t="str">
        <f>IF(ISBLANK(PARAMETROS!$C$727),"",PARAMETROS!$C$727)</f>
        <v>TIEMPO_TOTAL_HOSPITALIZACION_URN</v>
      </c>
      <c r="CA1" s="110" t="str">
        <f>IF(ISBLANK(PARAMETROS!$C$728),"",PARAMETROS!$C$728)</f>
        <v>TIEMPO_TOTAL_HOSPITALIZACION_UCIN_URN</v>
      </c>
      <c r="CB1" s="110" t="str">
        <f>IF(ISBLANK(PARAMETROS!$C$729),"",PARAMETROS!$C$729)</f>
        <v>TIPO_ALIMENTACION_ALTA_URN</v>
      </c>
      <c r="CC1" s="110" t="str">
        <f>IF(ISBLANK(PARAMETROS!$C$730),"",PARAMETROS!$C$730)</f>
        <v>ENTRENAMIENTO_OTRO_CUIDADOR_MMC_URN</v>
      </c>
      <c r="CD1" s="110" t="str">
        <f>IF(ISBLANK(PARAMETROS!$C$731),"",PARAMETROS!$C$731)</f>
        <v>ALTA_POSICION_CANGURO_URN</v>
      </c>
      <c r="CE1" s="110" t="str">
        <f>IF(ISBLANK(PARAMETROS!$C$732),"",PARAMETROS!$C$732)</f>
        <v>DESTINO_PACIENTE_DESDE_URN</v>
      </c>
      <c r="CF1" s="110" t="str">
        <f>IF(ISBLANK(PARAMETROS!$C$733),"",PARAMETROS!$C$733)</f>
        <v>FECHA_ADMISION_PMC_AMBULATORIO</v>
      </c>
      <c r="CG1" s="110" t="str">
        <f>IF(ISBLANK(PARAMETROS!$C$734),"",PARAMETROS!$C$734)</f>
        <v>FECHA_SALIDA_HOSPITAL_AMBULATORIO</v>
      </c>
      <c r="CH1" s="110" t="str">
        <f>IF(ISBLANK(PARAMETROS!$C$735),"",PARAMETROS!$C$735)</f>
        <v>PROCEDENCIA_CANGURO_PRIMERA_CONSULTA_AMBULATORIO</v>
      </c>
      <c r="CI1" s="110" t="str">
        <f>IF(ISBLANK(PARAMETROS!$C$736),"",PARAMETROS!$C$736)</f>
        <v>PESO_ADMISION_PMC_AMBULATORIO</v>
      </c>
      <c r="CJ1" s="110" t="str">
        <f>IF(ISBLANK(PARAMETROS!$C$737),"",PARAMETROS!$C$737)</f>
        <v>TALLA_ADMISION_PMC_AMBULATORIO</v>
      </c>
      <c r="CK1" s="110" t="str">
        <f>IF(ISBLANK(PARAMETROS!$C$738),"",PARAMETROS!$C$738)</f>
        <v>PERIMETRO_CEFALICO_ADMISION_PMC_AMBULATORIO</v>
      </c>
      <c r="CL1" s="110" t="str">
        <f>IF(ISBLANK(PARAMETROS!$C$739),"",PARAMETROS!$C$739)</f>
        <v>TIPO_ALIMENTACION_ADMISION_PMC_AMBULATORIO</v>
      </c>
      <c r="CM1" s="110" t="str">
        <f>IF(ISBLANK(PARAMETROS!$C$740),"",PARAMETROS!$C$740)</f>
        <v>PESO_40_SEMANAS_AMBULATORIO</v>
      </c>
      <c r="CN1" s="110" t="str">
        <f>IF(ISBLANK(PARAMETROS!$C$741),"",PARAMETROS!$C$741)</f>
        <v>TALLA_40_SEMANAS_AMBULATORIO</v>
      </c>
      <c r="CO1" s="110" t="str">
        <f>IF(ISBLANK(PARAMETROS!$C$742),"",PARAMETROS!$C$742)</f>
        <v>PERIMETRO_CEFALICO_40_SEMANAS_AMBULATORIO</v>
      </c>
      <c r="CP1" s="110" t="str">
        <f>IF(ISBLANK(PARAMETROS!$C$743),"",PARAMETROS!$C$743)</f>
        <v>TIPO_ALIMENTACION_40_SEMANAS_AMBULATORIO</v>
      </c>
      <c r="CQ1" s="110" t="str">
        <f>IF(ISBLANK(PARAMETROS!$C$744),"",PARAMETROS!$C$744)</f>
        <v>CALENDARIO_VACUNACION_COMPLETO_40_SEMANAS_AMBULATORIO</v>
      </c>
      <c r="CR1" s="110" t="str">
        <f>IF(ISBLANK(PARAMETROS!$C$745),"",PARAMETROS!$C$745)</f>
        <v>REHOSPITALIZACIONES_40_SEMANAS_AMBULATORIO</v>
      </c>
      <c r="CS1" s="110" t="str">
        <f>IF(ISBLANK(PARAMETROS!$C$746),"",PARAMETROS!$C$746)</f>
        <v>RESULTADO_NEUROMOTORA_40_SEMANAS_AMBULATORIO</v>
      </c>
      <c r="CT1" s="110" t="str">
        <f>IF(ISBLANK(PARAMETROS!$C$747),"",PARAMETROS!$C$747)</f>
        <v>TAMIZAJE_OFTALMOLOGICO_40_SEMANAS_AMBULATORIO</v>
      </c>
      <c r="CU1" s="110" t="str">
        <f>IF(ISBLANK(PARAMETROS!$C$748),"",PARAMETROS!$C$748)</f>
        <v>RESULTADO_OFTALMOLOGICO_40_SEMANAS_AMBULATORIO</v>
      </c>
      <c r="CV1" s="110" t="str">
        <f>IF(ISBLANK(PARAMETROS!$C$749),"",PARAMETROS!$C$749)</f>
        <v>RESULTADO_OFTALMOLOGICO_CEGUERA_40_SEMANAS_AMBULATORIO</v>
      </c>
      <c r="CW1" s="110" t="str">
        <f>IF(ISBLANK(PARAMETROS!$C$750),"",PARAMETROS!$C$750)</f>
        <v>TAMIZAJE_AUDIOLOGICO_40_SEMANAS_AMBULATORIO</v>
      </c>
      <c r="CX1" s="110" t="str">
        <f>IF(ISBLANK(PARAMETROS!$C$751),"",PARAMETROS!$C$751)</f>
        <v>RESULTADO_AUDIOLOGICO_40_SEMANAS_AMBULATORIO</v>
      </c>
      <c r="CY1" s="110" t="str">
        <f>IF(ISBLANK(PARAMETROS!$C$752),"",PARAMETROS!$C$752)</f>
        <v>EDAD_CRONOLOGIA_DEJA_POSICION_CANGURO_AMBULATORIO</v>
      </c>
      <c r="CZ1" s="110" t="str">
        <f>IF(ISBLANK(PARAMETROS!$C$753),"",PARAMETROS!$C$753)</f>
        <v>PESO_DEJA_POSICION_CANGURO_AMBULATORIO</v>
      </c>
      <c r="DA1" s="110" t="str">
        <f>IF(ISBLANK(PARAMETROS!$C$754),"",PARAMETROS!$C$754)</f>
        <v>TALLA_DEJA_POSICION_CANGURO_AMBULATORIO</v>
      </c>
      <c r="DB1" s="110" t="str">
        <f>IF(ISBLANK(PARAMETROS!$C$755),"",PARAMETROS!$C$755)</f>
        <v>PERIMETRO_CEFALICO_DEJA_POSICION_CANGURO_AMBULATORIO</v>
      </c>
      <c r="DC1" s="110" t="str">
        <f>IF(ISBLANK(PARAMETROS!$C$756),"",PARAMETROS!$C$756)</f>
        <v>EDAD_CRONOLOGIA_RECUPERACION_PESO_AMBULATORIO</v>
      </c>
      <c r="DD1" s="110" t="str">
        <f>IF(ISBLANK(PARAMETROS!$C$757),"",PARAMETROS!$C$757)</f>
        <v>RECUPERA_PESO_AMBULATORIO</v>
      </c>
      <c r="DE1" s="110" t="str">
        <f>IF(ISBLANK(PARAMETROS!$C$758),"",PARAMETROS!$C$758)</f>
        <v>PESO_3_MESES_AMBULATORIO</v>
      </c>
      <c r="DF1" s="110" t="str">
        <f>IF(ISBLANK(PARAMETROS!$C$759),"",PARAMETROS!$C$759)</f>
        <v>TALLA_3_MESES_AMBULATORIO</v>
      </c>
      <c r="DG1" s="110" t="str">
        <f>IF(ISBLANK(PARAMETROS!$C$760),"",PARAMETROS!$C$760)</f>
        <v>PERIMETRO_CEFALICO_3_MESES_AMBULATORIO</v>
      </c>
      <c r="DH1" s="110" t="str">
        <f>IF(ISBLANK(PARAMETROS!$C$761),"",PARAMETROS!$C$761)</f>
        <v>INICIO_ALIMENTACION_COMPLEMENTARIA_3_MESES_AMBULATORIO</v>
      </c>
      <c r="DI1" s="110" t="str">
        <f>IF(ISBLANK(PARAMETROS!$C$762),"",PARAMETROS!$C$762)</f>
        <v>TIPO_ALIMENTACION_3_MESES_AMBULATORIO</v>
      </c>
      <c r="DJ1" s="110" t="str">
        <f>IF(ISBLANK(PARAMETROS!$C$763),"",PARAMETROS!$C$763)</f>
        <v>CALENDARIO_VACUNACION_COMPLETO_3_MESES_AMBULATORIO</v>
      </c>
      <c r="DK1" s="110" t="str">
        <f>IF(ISBLANK(PARAMETROS!$C$764),"",PARAMETROS!$C$764)</f>
        <v>RESULTADO_NEUROMOTOR_3_MESES_AMBULATORIO</v>
      </c>
      <c r="DL1" s="110" t="str">
        <f>IF(ISBLANK(PARAMETROS!$C$765),"",PARAMETROS!$C$765)</f>
        <v>TAMIZAJE_OFTALMOLOGICO_3_MESES_AMBULATORIO</v>
      </c>
      <c r="DM1" s="110" t="str">
        <f>IF(ISBLANK(PARAMETROS!$C$766),"",PARAMETROS!$C$766)</f>
        <v>RESULTADO_OFTALMOLOGICO_3_MESES_AMBULATORIO</v>
      </c>
      <c r="DN1" s="110" t="str">
        <f>IF(ISBLANK(PARAMETROS!$C$767),"",PARAMETROS!$C$767)</f>
        <v>RESULTADO_OFTALMOLOGICO_CEGUERA_3_MESES_AMBULATORIO</v>
      </c>
      <c r="DO1" s="110" t="str">
        <f>IF(ISBLANK(PARAMETROS!$C$768),"",PARAMETROS!$C$768)</f>
        <v>TAMIZAJE_AUDIOLOGICO_3_MESES_AMBULATORIO</v>
      </c>
      <c r="DP1" s="110" t="str">
        <f>IF(ISBLANK(PARAMETROS!$C$769),"",PARAMETROS!$C$769)</f>
        <v>RESULTADO_AUDIOLOGICO_3_MESES_AMBULATORIO</v>
      </c>
      <c r="DQ1" s="110" t="str">
        <f>IF(ISBLANK(PARAMETROS!$C$770),"",PARAMETROS!$C$770)</f>
        <v>RESULTADO_OPTOMETRIA_3_MESES_AMBULATORIO</v>
      </c>
      <c r="DR1" s="110" t="str">
        <f>IF(ISBLANK(PARAMETROS!$C$771),"",PARAMETROS!$C$771)</f>
        <v>CUAL_OTRO_OPTOMETRIA_3_MESES_AMBULATORIO</v>
      </c>
      <c r="DS1" s="110" t="str">
        <f>IF(ISBLANK(PARAMETROS!$C$772),"",PARAMETROS!$C$772)</f>
        <v>PESO_6_MESES_AMBULATORIO</v>
      </c>
      <c r="DT1" s="110" t="str">
        <f>IF(ISBLANK(PARAMETROS!$C$773),"",PARAMETROS!$C$773)</f>
        <v>TALLA_6_MESES_AMBULATORIO</v>
      </c>
      <c r="DU1" s="110" t="str">
        <f>IF(ISBLANK(PARAMETROS!$C$774),"",PARAMETROS!$C$774)</f>
        <v>PERIMETRO_CEFALICO_6_MESES_AMBULATORIO</v>
      </c>
      <c r="DV1" s="110" t="str">
        <f>IF(ISBLANK(PARAMETROS!$C$775),"",PARAMETROS!$C$775)</f>
        <v>TIPO_ALIMENTACION_6_MESES_AMBULATORIO</v>
      </c>
      <c r="DW1" s="110" t="str">
        <f>IF(ISBLANK(PARAMETROS!$C$776),"",PARAMETROS!$C$776)</f>
        <v>ALIMENTACION_COMPLEMENTARIA_6_MESES_AMBULATORIO</v>
      </c>
      <c r="DX1" s="110" t="str">
        <f>IF(ISBLANK(PARAMETROS!$C$777),"",PARAMETROS!$C$777)</f>
        <v>ALIMENTACION_COMPLEMENTARIA_ADECUADA_6_MESES_AMBULATORIO</v>
      </c>
      <c r="DY1" s="110" t="str">
        <f>IF(ISBLANK(PARAMETROS!$C$778),"",PARAMETROS!$C$778)</f>
        <v>CALENDARIO_VACUNACION_COMPLETO_6_MESES_AMBULATORIO</v>
      </c>
      <c r="DZ1" s="110" t="str">
        <f>IF(ISBLANK(PARAMETROS!$C$779),"",PARAMETROS!$C$779)</f>
        <v>RESULTADO_NEUROMOTOR_6_MESES_AMBULATORIO</v>
      </c>
      <c r="EA1" s="110" t="str">
        <f>IF(ISBLANK(PARAMETROS!$C$780),"",PARAMETROS!$C$780)</f>
        <v>RESULTADO_PSICOMOTOR_6_MESES_AMBULATORIO</v>
      </c>
      <c r="EB1" s="110" t="str">
        <f>IF(ISBLANK(PARAMETROS!$C$781),"",PARAMETROS!$C$781)</f>
        <v>RESULTADO_OPTOMETRIA_6_MESES_AMBULATORIO</v>
      </c>
      <c r="EC1" s="110" t="str">
        <f>IF(ISBLANK(PARAMETROS!$C$782),"",PARAMETROS!$C$782)</f>
        <v>CUAL_OTRO_OPTOMETRIA_6_MESES_AMBULATORIO</v>
      </c>
      <c r="ED1" s="110" t="str">
        <f>IF(ISBLANK(PARAMETROS!$C$783),"",PARAMETROS!$C$783)</f>
        <v>PESO_9_MESES_AMBULATORIO</v>
      </c>
      <c r="EE1" s="110" t="str">
        <f>IF(ISBLANK(PARAMETROS!$C$784),"",PARAMETROS!$C$784)</f>
        <v>TALLA_9_MESES_AMBULATORIO</v>
      </c>
      <c r="EF1" s="110" t="str">
        <f>IF(ISBLANK(PARAMETROS!$C$785),"",PARAMETROS!$C$785)</f>
        <v>PERIMETRO_CEFALICO_9_MESES_AMBULATORIO</v>
      </c>
      <c r="EG1" s="110" t="str">
        <f>IF(ISBLANK(PARAMETROS!$C$786),"",PARAMETROS!$C$786)</f>
        <v>TIPO_ALIMENTACION_9_MESES_AMBULATORIO</v>
      </c>
      <c r="EH1" s="110" t="str">
        <f>IF(ISBLANK(PARAMETROS!$C$787),"",PARAMETROS!$C$787)</f>
        <v>ALIMENTACION_COMPLEMENTARIA_ADECUADA_9_MESES_AMBULATORIO</v>
      </c>
      <c r="EI1" s="110" t="str">
        <f>IF(ISBLANK(PARAMETROS!$C$788),"",PARAMETROS!$C$788)</f>
        <v>CALENDARIO_VACUNACION_COMPLETO_9_MESES_AMBULATORIO</v>
      </c>
      <c r="EJ1" s="110" t="str">
        <f>IF(ISBLANK(PARAMETROS!$C$789),"",PARAMETROS!$C$789)</f>
        <v>RESULTADO_NEUROMOTOR_9_MESES_AMBULATORIO</v>
      </c>
      <c r="EK1" s="110" t="str">
        <f>IF(ISBLANK(PARAMETROS!$C$790),"",PARAMETROS!$C$790)</f>
        <v>RESULTADO_OPTOMETRIA_9_MESES_AMBULATORIO</v>
      </c>
      <c r="EL1" s="110" t="str">
        <f>IF(ISBLANK(PARAMETROS!$C$791),"",PARAMETROS!$C$791)</f>
        <v>CUAL_OTRO_OPTOMETRIA_9_MESES_AMBULATORIO</v>
      </c>
      <c r="EM1" s="110" t="str">
        <f>IF(ISBLANK(PARAMETROS!$C$792),"",PARAMETROS!$C$792)</f>
        <v>PESO_12_MESES_AMBULATORIO</v>
      </c>
      <c r="EN1" s="110" t="str">
        <f>IF(ISBLANK(PARAMETROS!$C$793),"",PARAMETROS!$C$793)</f>
        <v>TALLA_12_MESES_AMBULATORIO</v>
      </c>
      <c r="EO1" s="110" t="str">
        <f>IF(ISBLANK(PARAMETROS!$C$794),"",PARAMETROS!$C$794)</f>
        <v>PERIMETRO_CEFALICO_12_MESES_AMBULATORIO</v>
      </c>
      <c r="EP1" s="110" t="str">
        <f>IF(ISBLANK(PARAMETROS!$C$795),"",PARAMETROS!$C$795)</f>
        <v>REHOSPITALIZACIONES_12_MESES_AMBULATORIO</v>
      </c>
      <c r="EQ1" s="110" t="str">
        <f>IF(ISBLANK(PARAMETROS!$C$796),"",PARAMETROS!$C$796)</f>
        <v>TIPO_ALIMENTACION_12_MESES_AMBULATORIO</v>
      </c>
      <c r="ER1" s="110" t="str">
        <f>IF(ISBLANK(PARAMETROS!$C$797),"",PARAMETROS!$C$797)</f>
        <v>ALIMENTACION_COMPLEMENTARIA_ADECUADA_12_MESES_AMBULATORIO</v>
      </c>
      <c r="ES1" s="110" t="str">
        <f>IF(ISBLANK(PARAMETROS!$C$798),"",PARAMETROS!$C$798)</f>
        <v>ESQUEMA_VACUNACION_COMPLETO_12_MESES_AMBULATORIO</v>
      </c>
      <c r="ET1" s="110" t="str">
        <f>IF(ISBLANK(PARAMETROS!$C$799),"",PARAMETROS!$C$799)</f>
        <v>RESULTADO_NEUROMOTOR_12_MESES_AMBULATORIO</v>
      </c>
      <c r="EU1" s="110" t="str">
        <f>IF(ISBLANK(PARAMETROS!$C$800),"",PARAMETROS!$C$800)</f>
        <v>RESULTADO_PSICOLOGICO_12_MESES_AMBULATORIO</v>
      </c>
      <c r="EV1" s="110" t="str">
        <f>IF(ISBLANK(PARAMETROS!$C$801),"",PARAMETROS!$C$801)</f>
        <v>TAMIZAJE_OFTALMOLOGICO_12_MESES_AMBULATORIO</v>
      </c>
      <c r="EW1" s="110" t="str">
        <f>IF(ISBLANK(PARAMETROS!$C$802),"",PARAMETROS!$C$802)</f>
        <v>RESULTADO_OFTALMOLOGICO_12_MESES_AMBULATORIO</v>
      </c>
      <c r="EX1" s="110" t="str">
        <f>IF(ISBLANK(PARAMETROS!$C$803),"",PARAMETROS!$C$803)</f>
        <v>RESULTADO_OFTALMOLOGICO_CEGUERA_12_MESES_AMBULATORIO</v>
      </c>
      <c r="EY1" s="110" t="str">
        <f>IF(ISBLANK(PARAMETROS!$C$804),"",PARAMETROS!$C$804)</f>
        <v>TAMIZAJE_AUDIOLOGICO_12_MESES_AMBULATORIO</v>
      </c>
      <c r="EZ1" s="110" t="str">
        <f>IF(ISBLANK(PARAMETROS!$C$805),"",PARAMETROS!$C$805)</f>
        <v>RESULTADO_AUDIOLOGICO_12_MESES_AMBULATORIO</v>
      </c>
      <c r="FA1" s="110" t="str">
        <f>IF(ISBLANK(PARAMETROS!$C$806),"",PARAMETROS!$C$806)</f>
        <v>RESULTADO_OPTOMETRIA_12_MESES_AMBULATORIO</v>
      </c>
      <c r="FB1" s="110" t="str">
        <f>IF(ISBLANK(PARAMETROS!$C$807),"",PARAMETROS!$C$807)</f>
        <v>CUAL_OTRO_OPTOMETRIA_12_MESES_AMBULATORIO</v>
      </c>
      <c r="FC1" s="112" t="s">
        <v>1795</v>
      </c>
      <c r="FD1" s="112" t="s">
        <v>1796</v>
      </c>
      <c r="FE1" s="112" t="s">
        <v>1797</v>
      </c>
      <c r="FF1" s="112" t="s">
        <v>1804</v>
      </c>
      <c r="FG1" s="112" t="s">
        <v>1798</v>
      </c>
      <c r="FH1" s="112" t="s">
        <v>2125</v>
      </c>
      <c r="FI1" s="112" t="s">
        <v>1799</v>
      </c>
      <c r="FJ1" s="112" t="s">
        <v>1800</v>
      </c>
      <c r="FK1" s="112" t="s">
        <v>1801</v>
      </c>
    </row>
  </sheetData>
  <sheetProtection algorithmName="SHA-512" hashValue="9Y2rAupg5P8sFfU6cYwNvNVREKvfS1mV57BTM6OCSw8rTBjLwYpo0+ijbi1O2+2KWnQaMdfwJrN6NsNj8sA/9w==" saltValue="41h1dZA4dWWbgvO0QuXeBw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D83E1-60C8-42A5-9FDC-74508AE1AD1C}">
  <sheetPr codeName="Hoja13"/>
  <dimension ref="A1:GK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4" width="19.88671875" customWidth="1"/>
    <col min="5" max="5" width="27.6640625" bestFit="1" customWidth="1"/>
    <col min="6" max="6" width="27.77734375" bestFit="1" customWidth="1"/>
    <col min="7" max="7" width="25.109375" bestFit="1" customWidth="1"/>
    <col min="8" max="8" width="25.77734375" bestFit="1" customWidth="1"/>
    <col min="9" max="9" width="32.109375" bestFit="1" customWidth="1"/>
    <col min="10" max="10" width="32.21875" bestFit="1" customWidth="1"/>
    <col min="11" max="11" width="29.5546875" bestFit="1" customWidth="1"/>
    <col min="12" max="12" width="39.6640625" bestFit="1" customWidth="1"/>
    <col min="13" max="13" width="22.109375" bestFit="1" customWidth="1"/>
    <col min="14" max="14" width="18.33203125" bestFit="1" customWidth="1"/>
    <col min="15" max="15" width="5.5546875" bestFit="1" customWidth="1"/>
    <col min="16" max="16" width="18.33203125" bestFit="1" customWidth="1"/>
    <col min="17" max="17" width="12.109375" bestFit="1" customWidth="1"/>
    <col min="18" max="18" width="12.44140625" bestFit="1" customWidth="1"/>
    <col min="19" max="19" width="26.5546875" bestFit="1" customWidth="1"/>
    <col min="20" max="20" width="11.6640625" bestFit="1" customWidth="1"/>
    <col min="21" max="21" width="14.33203125" bestFit="1" customWidth="1"/>
    <col min="22" max="22" width="22.88671875" bestFit="1" customWidth="1"/>
    <col min="23" max="23" width="18" bestFit="1" customWidth="1"/>
    <col min="24" max="24" width="12.77734375" bestFit="1" customWidth="1"/>
    <col min="25" max="25" width="19.109375" bestFit="1" customWidth="1"/>
    <col min="26" max="26" width="8.44140625" bestFit="1" customWidth="1"/>
    <col min="27" max="27" width="21.77734375" bestFit="1" customWidth="1"/>
    <col min="28" max="28" width="20.77734375" bestFit="1" customWidth="1"/>
    <col min="29" max="29" width="21.21875" bestFit="1" customWidth="1"/>
    <col min="30" max="30" width="29.33203125" bestFit="1" customWidth="1"/>
    <col min="31" max="31" width="29.44140625" bestFit="1" customWidth="1"/>
    <col min="32" max="32" width="13" bestFit="1" customWidth="1"/>
    <col min="33" max="34" width="14.109375" bestFit="1" customWidth="1"/>
    <col min="35" max="35" width="17.44140625" bestFit="1" customWidth="1"/>
    <col min="36" max="36" width="24" bestFit="1" customWidth="1"/>
    <col min="37" max="37" width="32.6640625" bestFit="1" customWidth="1"/>
    <col min="38" max="38" width="16.21875" bestFit="1" customWidth="1"/>
    <col min="39" max="39" width="16.44140625" bestFit="1" customWidth="1"/>
    <col min="40" max="40" width="20.88671875" bestFit="1" customWidth="1"/>
    <col min="41" max="41" width="17.5546875" bestFit="1" customWidth="1"/>
    <col min="42" max="42" width="5.5546875" bestFit="1" customWidth="1"/>
    <col min="43" max="43" width="22" bestFit="1" customWidth="1"/>
    <col min="44" max="44" width="10.109375" bestFit="1" customWidth="1"/>
    <col min="45" max="46" width="7.77734375" bestFit="1" customWidth="1"/>
    <col min="47" max="47" width="29.33203125" bestFit="1" customWidth="1"/>
    <col min="48" max="48" width="34" bestFit="1" customWidth="1"/>
    <col min="49" max="49" width="26.109375" bestFit="1" customWidth="1"/>
    <col min="50" max="50" width="48.44140625" bestFit="1" customWidth="1"/>
    <col min="51" max="51" width="60.109375" bestFit="1" customWidth="1"/>
    <col min="52" max="52" width="36.77734375" bestFit="1" customWidth="1"/>
    <col min="53" max="53" width="26.109375" bestFit="1" customWidth="1"/>
    <col min="54" max="54" width="38.33203125" bestFit="1" customWidth="1"/>
    <col min="55" max="55" width="37.21875" bestFit="1" customWidth="1"/>
    <col min="56" max="56" width="41" bestFit="1" customWidth="1"/>
    <col min="57" max="57" width="37.21875" bestFit="1" customWidth="1"/>
    <col min="58" max="58" width="37.5546875" bestFit="1" customWidth="1"/>
    <col min="59" max="59" width="51.5546875" bestFit="1" customWidth="1"/>
    <col min="60" max="60" width="60.88671875" bestFit="1" customWidth="1"/>
    <col min="61" max="61" width="65.109375" bestFit="1" customWidth="1"/>
    <col min="62" max="62" width="52.5546875" bestFit="1" customWidth="1"/>
    <col min="63" max="63" width="52.88671875" bestFit="1" customWidth="1"/>
    <col min="64" max="64" width="66.88671875" bestFit="1" customWidth="1"/>
    <col min="65" max="65" width="33.33203125" bestFit="1" customWidth="1"/>
    <col min="66" max="66" width="33.6640625" bestFit="1" customWidth="1"/>
    <col min="67" max="67" width="47.77734375" bestFit="1" customWidth="1"/>
    <col min="68" max="68" width="46.44140625" bestFit="1" customWidth="1"/>
    <col min="69" max="69" width="59" bestFit="1" customWidth="1"/>
    <col min="70" max="70" width="58" bestFit="1" customWidth="1"/>
    <col min="71" max="71" width="52.5546875" bestFit="1" customWidth="1"/>
    <col min="72" max="72" width="47.109375" bestFit="1" customWidth="1"/>
    <col min="73" max="73" width="19.77734375" bestFit="1" customWidth="1"/>
    <col min="74" max="75" width="18.6640625" bestFit="1" customWidth="1"/>
    <col min="76" max="76" width="19" bestFit="1" customWidth="1"/>
    <col min="77" max="77" width="24.33203125" bestFit="1" customWidth="1"/>
    <col min="78" max="78" width="25.77734375" bestFit="1" customWidth="1"/>
    <col min="79" max="79" width="42" bestFit="1" customWidth="1"/>
    <col min="80" max="80" width="24.5546875" bestFit="1" customWidth="1"/>
    <col min="81" max="81" width="27" bestFit="1" customWidth="1"/>
    <col min="82" max="82" width="23.77734375" bestFit="1" customWidth="1"/>
    <col min="83" max="83" width="11.44140625" bestFit="1" customWidth="1"/>
    <col min="84" max="84" width="34.109375" bestFit="1" customWidth="1"/>
    <col min="85" max="85" width="14.109375" bestFit="1" customWidth="1"/>
    <col min="86" max="86" width="16.44140625" bestFit="1" customWidth="1"/>
    <col min="87" max="87" width="9.21875" bestFit="1" customWidth="1"/>
    <col min="88" max="88" width="7.5546875" bestFit="1" customWidth="1"/>
    <col min="89" max="89" width="26.77734375" bestFit="1" customWidth="1"/>
    <col min="90" max="90" width="30.109375" bestFit="1" customWidth="1"/>
    <col min="91" max="91" width="27.88671875" bestFit="1" customWidth="1"/>
    <col min="92" max="92" width="18.5546875" bestFit="1" customWidth="1"/>
    <col min="93" max="93" width="23.88671875" bestFit="1" customWidth="1"/>
    <col min="94" max="94" width="30.88671875" bestFit="1" customWidth="1"/>
    <col min="95" max="95" width="40.109375" bestFit="1" customWidth="1"/>
    <col min="96" max="96" width="43.6640625" bestFit="1" customWidth="1"/>
    <col min="97" max="97" width="38.6640625" bestFit="1" customWidth="1"/>
    <col min="98" max="98" width="34.21875" bestFit="1" customWidth="1"/>
    <col min="99" max="99" width="42.44140625" bestFit="1" customWidth="1"/>
    <col min="100" max="100" width="35.5546875" bestFit="1" customWidth="1"/>
    <col min="101" max="101" width="37" bestFit="1" customWidth="1"/>
    <col min="102" max="102" width="49.5546875" bestFit="1" customWidth="1"/>
    <col min="103" max="103" width="33.6640625" bestFit="1" customWidth="1"/>
    <col min="104" max="104" width="29" bestFit="1" customWidth="1"/>
    <col min="105" max="105" width="31.109375" bestFit="1" customWidth="1"/>
    <col min="106" max="106" width="40.109375" bestFit="1" customWidth="1"/>
    <col min="107" max="107" width="26.44140625" bestFit="1" customWidth="1"/>
    <col min="108" max="108" width="28.5546875" bestFit="1" customWidth="1"/>
    <col min="109" max="109" width="15.88671875" bestFit="1" customWidth="1"/>
    <col min="110" max="110" width="14.77734375" bestFit="1" customWidth="1"/>
    <col min="111" max="111" width="15.109375" bestFit="1" customWidth="1"/>
    <col min="112" max="112" width="29.21875" bestFit="1" customWidth="1"/>
    <col min="113" max="113" width="34.33203125" bestFit="1" customWidth="1"/>
    <col min="114" max="114" width="39.5546875" bestFit="1" customWidth="1"/>
    <col min="115" max="115" width="28" bestFit="1" customWidth="1"/>
    <col min="116" max="116" width="40.44140625" bestFit="1" customWidth="1"/>
    <col min="117" max="118" width="28.5546875" bestFit="1" customWidth="1"/>
    <col min="119" max="119" width="34" bestFit="1" customWidth="1"/>
    <col min="120" max="120" width="35.88671875" bestFit="1" customWidth="1"/>
    <col min="121" max="121" width="60" bestFit="1" customWidth="1"/>
    <col min="122" max="122" width="32.88671875" bestFit="1" customWidth="1"/>
    <col min="123" max="123" width="33.21875" bestFit="1" customWidth="1"/>
    <col min="124" max="124" width="47.33203125" bestFit="1" customWidth="1"/>
    <col min="125" max="125" width="46" bestFit="1" customWidth="1"/>
    <col min="126" max="126" width="30.5546875" bestFit="1" customWidth="1"/>
    <col min="127" max="127" width="30.88671875" bestFit="1" customWidth="1"/>
    <col min="128" max="128" width="45" bestFit="1" customWidth="1"/>
    <col min="129" max="129" width="43.77734375" bestFit="1" customWidth="1"/>
    <col min="130" max="130" width="59.88671875" bestFit="1" customWidth="1"/>
    <col min="131" max="131" width="46" bestFit="1" customWidth="1"/>
    <col min="132" max="132" width="50.33203125" bestFit="1" customWidth="1"/>
    <col min="133" max="133" width="49.6640625" bestFit="1" customWidth="1"/>
    <col min="134" max="134" width="51.88671875" bestFit="1" customWidth="1"/>
    <col min="135" max="135" width="60.77734375" bestFit="1" customWidth="1"/>
    <col min="136" max="136" width="47.109375" bestFit="1" customWidth="1"/>
    <col min="137" max="137" width="49.21875" bestFit="1" customWidth="1"/>
    <col min="138" max="138" width="55.21875" bestFit="1" customWidth="1"/>
    <col min="139" max="139" width="42.6640625" bestFit="1" customWidth="1"/>
    <col min="140" max="140" width="43" bestFit="1" customWidth="1"/>
    <col min="141" max="141" width="57.109375" bestFit="1" customWidth="1"/>
    <col min="142" max="142" width="51" bestFit="1" customWidth="1"/>
    <col min="143" max="143" width="28.44140625" bestFit="1" customWidth="1"/>
    <col min="144" max="144" width="27" bestFit="1" customWidth="1"/>
    <col min="145" max="145" width="27.33203125" bestFit="1" customWidth="1"/>
    <col min="146" max="146" width="41.33203125" bestFit="1" customWidth="1"/>
    <col min="147" max="147" width="58.5546875" bestFit="1" customWidth="1"/>
    <col min="148" max="148" width="40.109375" bestFit="1" customWidth="1"/>
    <col min="149" max="149" width="56.21875" bestFit="1" customWidth="1"/>
    <col min="150" max="150" width="45.5546875" bestFit="1" customWidth="1"/>
    <col min="151" max="151" width="46" bestFit="1" customWidth="1"/>
    <col min="152" max="152" width="48.21875" bestFit="1" customWidth="1"/>
    <col min="153" max="153" width="57.21875" bestFit="1" customWidth="1"/>
    <col min="154" max="154" width="43.44140625" bestFit="1" customWidth="1"/>
    <col min="155" max="155" width="45.5546875" bestFit="1" customWidth="1"/>
    <col min="156" max="157" width="44.21875" bestFit="1" customWidth="1"/>
    <col min="158" max="158" width="27" bestFit="1" customWidth="1"/>
    <col min="159" max="159" width="27.33203125" bestFit="1" customWidth="1"/>
    <col min="160" max="160" width="41.33203125" bestFit="1" customWidth="1"/>
    <col min="161" max="161" width="40.109375" bestFit="1" customWidth="1"/>
    <col min="162" max="162" width="52.109375" bestFit="1" customWidth="1"/>
    <col min="163" max="163" width="62.33203125" bestFit="1" customWidth="1"/>
    <col min="164" max="164" width="56.21875" bestFit="1" customWidth="1"/>
    <col min="165" max="165" width="45.5546875" bestFit="1" customWidth="1"/>
    <col min="166" max="166" width="44.88671875" bestFit="1" customWidth="1"/>
    <col min="167" max="168" width="44.21875" bestFit="1" customWidth="1"/>
    <col min="169" max="169" width="27" bestFit="1" customWidth="1"/>
    <col min="170" max="170" width="27.33203125" bestFit="1" customWidth="1"/>
    <col min="171" max="171" width="41.33203125" bestFit="1" customWidth="1"/>
    <col min="172" max="172" width="40.109375" bestFit="1" customWidth="1"/>
    <col min="173" max="173" width="62.33203125" bestFit="1" customWidth="1"/>
    <col min="174" max="174" width="56.21875" bestFit="1" customWidth="1"/>
    <col min="175" max="175" width="45.5546875" bestFit="1" customWidth="1"/>
    <col min="176" max="177" width="44.21875" bestFit="1" customWidth="1"/>
    <col min="178" max="178" width="28" bestFit="1" customWidth="1"/>
    <col min="179" max="179" width="28.33203125" bestFit="1" customWidth="1"/>
    <col min="180" max="180" width="42.44140625" bestFit="1" customWidth="1"/>
    <col min="181" max="181" width="43.44140625" bestFit="1" customWidth="1"/>
    <col min="182" max="182" width="41.109375" bestFit="1" customWidth="1"/>
    <col min="183" max="183" width="63.33203125" bestFit="1" customWidth="1"/>
    <col min="184" max="184" width="54.5546875" bestFit="1" customWidth="1"/>
    <col min="185" max="185" width="46.5546875" bestFit="1" customWidth="1"/>
    <col min="186" max="186" width="46.44140625" bestFit="1" customWidth="1"/>
    <col min="187" max="187" width="47.109375" bestFit="1" customWidth="1"/>
    <col min="188" max="188" width="49.21875" bestFit="1" customWidth="1"/>
    <col min="189" max="189" width="58.21875" bestFit="1" customWidth="1"/>
    <col min="190" max="190" width="44.44140625" bestFit="1" customWidth="1"/>
    <col min="191" max="191" width="46.5546875" bestFit="1" customWidth="1"/>
    <col min="192" max="193" width="45.21875" bestFit="1" customWidth="1"/>
  </cols>
  <sheetData>
    <row r="1" spans="1:193" x14ac:dyDescent="0.3">
      <c r="A1" s="110" t="s">
        <v>353</v>
      </c>
      <c r="B1" s="110" t="s">
        <v>317</v>
      </c>
      <c r="C1" s="110" t="s">
        <v>318</v>
      </c>
      <c r="D1" s="110" t="s">
        <v>319</v>
      </c>
      <c r="E1" s="110" t="s">
        <v>365</v>
      </c>
      <c r="F1" s="110" t="s">
        <v>366</v>
      </c>
      <c r="G1" s="110" t="s">
        <v>367</v>
      </c>
      <c r="H1" s="110" t="s">
        <v>368</v>
      </c>
      <c r="I1" s="110" t="s">
        <v>320</v>
      </c>
      <c r="J1" s="110" t="s">
        <v>322</v>
      </c>
      <c r="K1" s="110" t="s">
        <v>323</v>
      </c>
      <c r="L1" s="110" t="s">
        <v>321</v>
      </c>
      <c r="M1" s="110" t="s">
        <v>324</v>
      </c>
      <c r="N1" s="110" t="s">
        <v>325</v>
      </c>
      <c r="O1" s="110" t="s">
        <v>327</v>
      </c>
      <c r="P1" s="110" t="s">
        <v>326</v>
      </c>
      <c r="Q1" s="110" t="s">
        <v>328</v>
      </c>
      <c r="R1" s="110" t="s">
        <v>329</v>
      </c>
      <c r="S1" s="110" t="s">
        <v>330</v>
      </c>
      <c r="T1" s="110" t="s">
        <v>331</v>
      </c>
      <c r="U1" s="110" t="s">
        <v>332</v>
      </c>
      <c r="V1" s="110" t="s">
        <v>333</v>
      </c>
      <c r="W1" s="110" t="s">
        <v>334</v>
      </c>
      <c r="X1" s="110" t="s">
        <v>335</v>
      </c>
      <c r="Y1" s="110" t="s">
        <v>336</v>
      </c>
      <c r="Z1" s="110" t="s">
        <v>337</v>
      </c>
      <c r="AA1" s="110" t="s">
        <v>338</v>
      </c>
      <c r="AB1" s="110" t="s">
        <v>339</v>
      </c>
      <c r="AC1" s="110" t="s">
        <v>340</v>
      </c>
      <c r="AD1" s="110" t="s">
        <v>341</v>
      </c>
      <c r="AE1" s="110" t="s">
        <v>342</v>
      </c>
      <c r="AF1" s="110" t="s">
        <v>343</v>
      </c>
      <c r="AG1" s="110" t="s">
        <v>344</v>
      </c>
      <c r="AH1" s="110" t="s">
        <v>345</v>
      </c>
      <c r="AI1" s="110" t="s">
        <v>346</v>
      </c>
      <c r="AJ1" s="111" t="s">
        <v>347</v>
      </c>
      <c r="AK1" s="111" t="s">
        <v>350</v>
      </c>
      <c r="AL1" s="111" t="s">
        <v>348</v>
      </c>
      <c r="AM1" s="111" t="s">
        <v>349</v>
      </c>
      <c r="AN1" s="110" t="s">
        <v>354</v>
      </c>
      <c r="AO1" s="110" t="s">
        <v>355</v>
      </c>
      <c r="AP1" s="110" t="s">
        <v>1</v>
      </c>
      <c r="AQ1" s="110" t="s">
        <v>356</v>
      </c>
      <c r="AR1" s="110" t="s">
        <v>357</v>
      </c>
      <c r="AS1" s="110" t="s">
        <v>358</v>
      </c>
      <c r="AT1" s="110" t="s">
        <v>359</v>
      </c>
      <c r="AU1" s="110" t="s">
        <v>371</v>
      </c>
      <c r="AV1" s="110" t="s">
        <v>370</v>
      </c>
      <c r="AW1" s="110" t="s">
        <v>360</v>
      </c>
      <c r="AX1" s="110" t="s">
        <v>372</v>
      </c>
      <c r="AY1" s="110" t="s">
        <v>373</v>
      </c>
      <c r="AZ1" s="110" t="s">
        <v>374</v>
      </c>
      <c r="BA1" s="110" t="s">
        <v>361</v>
      </c>
      <c r="BB1" s="110" t="s">
        <v>364</v>
      </c>
      <c r="BC1" s="110" t="s">
        <v>390</v>
      </c>
      <c r="BD1" s="110" t="s">
        <v>362</v>
      </c>
      <c r="BE1" s="110" t="s">
        <v>376</v>
      </c>
      <c r="BF1" s="110" t="s">
        <v>375</v>
      </c>
      <c r="BG1" s="110" t="s">
        <v>377</v>
      </c>
      <c r="BH1" s="110" t="s">
        <v>419</v>
      </c>
      <c r="BI1" s="110" t="s">
        <v>378</v>
      </c>
      <c r="BJ1" s="110" t="s">
        <v>379</v>
      </c>
      <c r="BK1" s="110" t="s">
        <v>380</v>
      </c>
      <c r="BL1" s="110" t="s">
        <v>381</v>
      </c>
      <c r="BM1" s="110" t="s">
        <v>382</v>
      </c>
      <c r="BN1" s="110" t="s">
        <v>383</v>
      </c>
      <c r="BO1" s="110" t="s">
        <v>384</v>
      </c>
      <c r="BP1" s="110" t="s">
        <v>439</v>
      </c>
      <c r="BQ1" s="110" t="s">
        <v>385</v>
      </c>
      <c r="BR1" s="110" t="s">
        <v>386</v>
      </c>
      <c r="BS1" s="110" t="s">
        <v>387</v>
      </c>
      <c r="BT1" s="110" t="s">
        <v>388</v>
      </c>
      <c r="BU1" s="110" t="s">
        <v>389</v>
      </c>
      <c r="BV1" s="110" t="s">
        <v>391</v>
      </c>
      <c r="BW1" s="110" t="s">
        <v>392</v>
      </c>
      <c r="BX1" s="110" t="s">
        <v>393</v>
      </c>
      <c r="BY1" s="110" t="s">
        <v>394</v>
      </c>
      <c r="BZ1" s="110" t="s">
        <v>395</v>
      </c>
      <c r="CA1" s="110" t="s">
        <v>396</v>
      </c>
      <c r="CB1" s="110" t="s">
        <v>397</v>
      </c>
      <c r="CC1" s="110" t="s">
        <v>398</v>
      </c>
      <c r="CD1" s="110" t="s">
        <v>399</v>
      </c>
      <c r="CE1" s="110" t="s">
        <v>400</v>
      </c>
      <c r="CF1" s="110" t="s">
        <v>402</v>
      </c>
      <c r="CG1" s="110" t="s">
        <v>408</v>
      </c>
      <c r="CH1" s="110" t="s">
        <v>403</v>
      </c>
      <c r="CI1" s="110" t="s">
        <v>405</v>
      </c>
      <c r="CJ1" s="110" t="s">
        <v>406</v>
      </c>
      <c r="CK1" s="110" t="s">
        <v>409</v>
      </c>
      <c r="CL1" s="110" t="s">
        <v>410</v>
      </c>
      <c r="CM1" s="110" t="s">
        <v>411</v>
      </c>
      <c r="CN1" s="110" t="s">
        <v>412</v>
      </c>
      <c r="CO1" s="110" t="s">
        <v>478</v>
      </c>
      <c r="CP1" s="110" t="s">
        <v>413</v>
      </c>
      <c r="CQ1" s="110" t="s">
        <v>414</v>
      </c>
      <c r="CR1" s="110" t="s">
        <v>415</v>
      </c>
      <c r="CS1" s="110" t="s">
        <v>417</v>
      </c>
      <c r="CT1" s="110" t="s">
        <v>416</v>
      </c>
      <c r="CU1" s="110" t="s">
        <v>418</v>
      </c>
      <c r="CV1" s="110" t="s">
        <v>420</v>
      </c>
      <c r="CW1" s="110" t="s">
        <v>421</v>
      </c>
      <c r="CX1" s="110" t="s">
        <v>422</v>
      </c>
      <c r="CY1" s="110" t="s">
        <v>423</v>
      </c>
      <c r="CZ1" s="110" t="s">
        <v>424</v>
      </c>
      <c r="DA1" s="110" t="s">
        <v>425</v>
      </c>
      <c r="DB1" s="110" t="s">
        <v>426</v>
      </c>
      <c r="DC1" s="110" t="s">
        <v>427</v>
      </c>
      <c r="DD1" s="110" t="s">
        <v>428</v>
      </c>
      <c r="DE1" s="110" t="s">
        <v>429</v>
      </c>
      <c r="DF1" s="110" t="s">
        <v>430</v>
      </c>
      <c r="DG1" s="110" t="s">
        <v>431</v>
      </c>
      <c r="DH1" s="110" t="s">
        <v>432</v>
      </c>
      <c r="DI1" s="110" t="s">
        <v>433</v>
      </c>
      <c r="DJ1" s="110" t="s">
        <v>434</v>
      </c>
      <c r="DK1" s="110" t="s">
        <v>438</v>
      </c>
      <c r="DL1" s="110" t="s">
        <v>435</v>
      </c>
      <c r="DM1" s="110" t="s">
        <v>436</v>
      </c>
      <c r="DN1" s="110" t="s">
        <v>437</v>
      </c>
      <c r="DO1" s="110" t="s">
        <v>440</v>
      </c>
      <c r="DP1" s="110" t="s">
        <v>441</v>
      </c>
      <c r="DQ1" s="110" t="s">
        <v>442</v>
      </c>
      <c r="DR1" s="110" t="s">
        <v>443</v>
      </c>
      <c r="DS1" s="110" t="s">
        <v>444</v>
      </c>
      <c r="DT1" s="110" t="s">
        <v>449</v>
      </c>
      <c r="DU1" s="110" t="s">
        <v>445</v>
      </c>
      <c r="DV1" s="110" t="s">
        <v>446</v>
      </c>
      <c r="DW1" s="110" t="s">
        <v>447</v>
      </c>
      <c r="DX1" s="110" t="s">
        <v>448</v>
      </c>
      <c r="DY1" s="110" t="s">
        <v>467</v>
      </c>
      <c r="DZ1" s="110" t="s">
        <v>452</v>
      </c>
      <c r="EA1" s="110" t="s">
        <v>451</v>
      </c>
      <c r="EB1" s="110" t="s">
        <v>450</v>
      </c>
      <c r="EC1" s="110" t="s">
        <v>453</v>
      </c>
      <c r="ED1" s="110" t="s">
        <v>454</v>
      </c>
      <c r="EE1" s="110" t="s">
        <v>455</v>
      </c>
      <c r="EF1" s="110" t="s">
        <v>456</v>
      </c>
      <c r="EG1" s="110" t="s">
        <v>457</v>
      </c>
      <c r="EH1" s="110" t="s">
        <v>458</v>
      </c>
      <c r="EI1" s="110" t="s">
        <v>459</v>
      </c>
      <c r="EJ1" s="110" t="s">
        <v>460</v>
      </c>
      <c r="EK1" s="110" t="s">
        <v>461</v>
      </c>
      <c r="EL1" s="110" t="s">
        <v>462</v>
      </c>
      <c r="EM1" s="110" t="s">
        <v>463</v>
      </c>
      <c r="EN1" s="110" t="s">
        <v>464</v>
      </c>
      <c r="EO1" s="110" t="s">
        <v>465</v>
      </c>
      <c r="EP1" s="110" t="s">
        <v>466</v>
      </c>
      <c r="EQ1" s="110" t="s">
        <v>468</v>
      </c>
      <c r="ER1" s="110" t="s">
        <v>469</v>
      </c>
      <c r="ES1" s="110" t="s">
        <v>470</v>
      </c>
      <c r="ET1" s="110" t="s">
        <v>471</v>
      </c>
      <c r="EU1" s="110" t="s">
        <v>472</v>
      </c>
      <c r="EV1" s="110" t="s">
        <v>473</v>
      </c>
      <c r="EW1" s="110" t="s">
        <v>474</v>
      </c>
      <c r="EX1" s="110" t="s">
        <v>475</v>
      </c>
      <c r="EY1" s="110" t="s">
        <v>476</v>
      </c>
      <c r="EZ1" s="110" t="s">
        <v>477</v>
      </c>
      <c r="FA1" s="110" t="s">
        <v>479</v>
      </c>
      <c r="FB1" s="110" t="s">
        <v>480</v>
      </c>
      <c r="FC1" s="110" t="s">
        <v>481</v>
      </c>
      <c r="FD1" s="110" t="s">
        <v>482</v>
      </c>
      <c r="FE1" s="110" t="s">
        <v>483</v>
      </c>
      <c r="FF1" s="110" t="s">
        <v>484</v>
      </c>
      <c r="FG1" s="110" t="s">
        <v>485</v>
      </c>
      <c r="FH1" s="110" t="s">
        <v>486</v>
      </c>
      <c r="FI1" s="110" t="s">
        <v>487</v>
      </c>
      <c r="FJ1" s="110" t="s">
        <v>488</v>
      </c>
      <c r="FK1" s="110" t="s">
        <v>489</v>
      </c>
      <c r="FL1" s="110" t="s">
        <v>490</v>
      </c>
      <c r="FM1" s="110" t="s">
        <v>492</v>
      </c>
      <c r="FN1" s="110" t="s">
        <v>493</v>
      </c>
      <c r="FO1" s="110" t="s">
        <v>494</v>
      </c>
      <c r="FP1" s="110" t="s">
        <v>495</v>
      </c>
      <c r="FQ1" s="110" t="s">
        <v>496</v>
      </c>
      <c r="FR1" s="110" t="s">
        <v>497</v>
      </c>
      <c r="FS1" s="110" t="s">
        <v>498</v>
      </c>
      <c r="FT1" s="110" t="s">
        <v>499</v>
      </c>
      <c r="FU1" s="110" t="s">
        <v>500</v>
      </c>
      <c r="FV1" s="110" t="s">
        <v>502</v>
      </c>
      <c r="FW1" s="110" t="s">
        <v>503</v>
      </c>
      <c r="FX1" s="110" t="s">
        <v>504</v>
      </c>
      <c r="FY1" s="110" t="s">
        <v>501</v>
      </c>
      <c r="FZ1" s="110" t="s">
        <v>505</v>
      </c>
      <c r="GA1" s="110" t="s">
        <v>506</v>
      </c>
      <c r="GB1" s="110" t="s">
        <v>507</v>
      </c>
      <c r="GC1" s="110" t="s">
        <v>508</v>
      </c>
      <c r="GD1" s="110" t="s">
        <v>509</v>
      </c>
      <c r="GE1" s="110" t="s">
        <v>510</v>
      </c>
      <c r="GF1" s="110" t="s">
        <v>511</v>
      </c>
      <c r="GG1" s="110" t="s">
        <v>512</v>
      </c>
      <c r="GH1" s="110" t="s">
        <v>513</v>
      </c>
      <c r="GI1" s="110" t="s">
        <v>514</v>
      </c>
      <c r="GJ1" s="110" t="s">
        <v>515</v>
      </c>
      <c r="GK1" s="110" t="s">
        <v>516</v>
      </c>
    </row>
  </sheetData>
  <sheetProtection algorithmName="SHA-512" hashValue="3nNy7hxLNghYi4Y8i+Io6+qxnsTkkkirqkswkqMqXCP1yh+fbEUUO2voHLbq8JkLd6j0Rd7iv+BXe0q4Ex6wWQ==" saltValue="Hf2ZopvHSVKTYIE5GT44ng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DAD9B-ECAF-48F0-81C0-3194163277D5}">
  <sheetPr codeName="Hoja12"/>
  <dimension ref="A1:W252"/>
  <sheetViews>
    <sheetView showGridLines="0" zoomScale="85" zoomScaleNormal="85" workbookViewId="0"/>
  </sheetViews>
  <sheetFormatPr baseColWidth="10" defaultColWidth="0" defaultRowHeight="0" customHeight="1" zeroHeight="1" x14ac:dyDescent="0.3"/>
  <cols>
    <col min="1" max="1" width="23" style="1" bestFit="1" customWidth="1"/>
    <col min="2" max="2" width="3.77734375" style="1" customWidth="1"/>
    <col min="3" max="3" width="26" style="1" bestFit="1" customWidth="1"/>
    <col min="4" max="4" width="3.77734375" style="1" customWidth="1"/>
    <col min="5" max="5" width="29.44140625" style="1" bestFit="1" customWidth="1"/>
    <col min="6" max="6" width="3.77734375" style="1" customWidth="1"/>
    <col min="7" max="7" width="23.109375" style="1" bestFit="1" customWidth="1"/>
    <col min="8" max="8" width="3.77734375" style="1" customWidth="1"/>
    <col min="9" max="9" width="44.6640625" style="1" bestFit="1" customWidth="1"/>
    <col min="10" max="10" width="3.77734375" style="1" customWidth="1"/>
    <col min="11" max="11" width="30.6640625" style="1" bestFit="1" customWidth="1"/>
    <col min="12" max="12" width="3.77734375" style="1" customWidth="1"/>
    <col min="13" max="13" width="31.109375" style="1" bestFit="1" customWidth="1"/>
    <col min="14" max="14" width="3.77734375" style="1" customWidth="1"/>
    <col min="15" max="15" width="26" style="1" bestFit="1" customWidth="1"/>
    <col min="16" max="16" width="3.77734375" style="1" customWidth="1"/>
    <col min="17" max="17" width="19.33203125" style="1" bestFit="1" customWidth="1"/>
    <col min="18" max="20" width="3.77734375" style="1" customWidth="1"/>
    <col min="21" max="21" width="41.44140625" style="1" bestFit="1" customWidth="1"/>
    <col min="22" max="22" width="11.5546875" style="1" customWidth="1"/>
    <col min="23" max="23" width="3.77734375" style="1" customWidth="1"/>
    <col min="24" max="16384" width="11.5546875" style="1" hidden="1"/>
  </cols>
  <sheetData>
    <row r="1" spans="1:22" ht="19.2" customHeight="1" thickBot="1" x14ac:dyDescent="0.35">
      <c r="A1" s="2" t="s">
        <v>223</v>
      </c>
      <c r="C1" s="2" t="s">
        <v>4</v>
      </c>
      <c r="E1" s="2" t="s">
        <v>5</v>
      </c>
      <c r="G1" s="2" t="s">
        <v>22</v>
      </c>
      <c r="I1" s="2" t="s">
        <v>29</v>
      </c>
      <c r="K1" s="2" t="s">
        <v>33</v>
      </c>
      <c r="M1" s="2" t="s">
        <v>38</v>
      </c>
      <c r="O1" s="2" t="s">
        <v>48</v>
      </c>
      <c r="Q1" s="2" t="s">
        <v>58</v>
      </c>
      <c r="U1" s="153" t="s">
        <v>967</v>
      </c>
      <c r="V1" s="160"/>
    </row>
    <row r="2" spans="1:22" ht="19.2" customHeight="1" thickBot="1" x14ac:dyDescent="0.35">
      <c r="A2" s="3" t="str">
        <f>IF(ISBLANK(PARAMETROS!$C$48),"",PARAMETROS!$C$48)</f>
        <v>Sí</v>
      </c>
      <c r="C2" s="3" t="str">
        <f>IF(ISBLANK(PARAMETROS!$C$48),"",PARAMETROS!$C$48)</f>
        <v>Sí</v>
      </c>
      <c r="E2" s="3" t="str">
        <f>IF(ISBLANK(PARAMETROS!$C$48),"",PARAMETROS!$C$48)</f>
        <v>Sí</v>
      </c>
      <c r="G2" s="3" t="str">
        <f>IF(ISBLANK(PARAMETROS!$C$48),"",PARAMETROS!$C$48)</f>
        <v>Sí</v>
      </c>
      <c r="I2" s="3" t="str">
        <f>IF(ISBLANK(PARAMETROS!$C$52),"",PARAMETROS!$C$52)</f>
        <v>Segundo nivel</v>
      </c>
      <c r="K2" s="3" t="str">
        <f>IF(ISBLANK(PARAMETROS!$C$54),"",PARAMETROS!$C$54)</f>
        <v>Parto en comunidad (casa)</v>
      </c>
      <c r="M2" s="3" t="str">
        <f>IF(ISBLANK(PARAMETROS!$C$56),"",PARAMETROS!$C$56)</f>
        <v>Masculino</v>
      </c>
      <c r="O2" s="3" t="str">
        <f>IF(ISBLANK(PARAMETROS!$C$59),"",PARAMETROS!$C$59)</f>
        <v>Primaria</v>
      </c>
      <c r="Q2" s="3" t="str">
        <f>IF(ISBLANK(PARAMETROS!$C$62),"",PARAMETROS!$C$62)</f>
        <v>Soltera sola</v>
      </c>
      <c r="U2" s="6" t="s">
        <v>968</v>
      </c>
      <c r="V2" s="7" t="s">
        <v>969</v>
      </c>
    </row>
    <row r="3" spans="1:22" ht="19.2" customHeight="1" x14ac:dyDescent="0.3">
      <c r="A3" s="3" t="str">
        <f>IF(ISBLANK(PARAMETROS!$C$49),"",PARAMETROS!$C$49)</f>
        <v>No</v>
      </c>
      <c r="C3" s="3" t="str">
        <f>IF(ISBLANK(PARAMETROS!$C$49),"",PARAMETROS!$C$49)</f>
        <v>No</v>
      </c>
      <c r="E3" s="3" t="str">
        <f>IF(ISBLANK(PARAMETROS!$C$49),"",PARAMETROS!$C$49)</f>
        <v>No</v>
      </c>
      <c r="G3" s="3" t="str">
        <f>IF(ISBLANK(PARAMETROS!$C$49),"",PARAMETROS!$C$49)</f>
        <v>No</v>
      </c>
      <c r="I3" s="3" t="str">
        <f>IF(ISBLANK(PARAMETROS!$C$53),"",PARAMETROS!$C$53)</f>
        <v>Tercer nivel</v>
      </c>
      <c r="K3" s="3" t="str">
        <f>IF(ISBLANK(PARAMETROS!$C$55),"",PARAMETROS!$C$55)</f>
        <v>Primer nivel (centro de salud)</v>
      </c>
      <c r="M3" s="3" t="str">
        <f>IF(ISBLANK(PARAMETROS!$C$57),"",PARAMETROS!$C$57)</f>
        <v>Femenino</v>
      </c>
      <c r="O3" s="3" t="str">
        <f>IF(ISBLANK(PARAMETROS!$C$60),"",PARAMETROS!$C$60)</f>
        <v>Secundaria</v>
      </c>
      <c r="Q3" s="3" t="str">
        <f>IF(ISBLANK(PARAMETROS!$C$63),"",PARAMETROS!$C$63)</f>
        <v>Soltera con apoyo</v>
      </c>
      <c r="U3" s="8" t="str">
        <f>IF(ISBLANK(PARAMETROS!$C$115),"",PARAMETROS!$C$115)</f>
        <v>Afganistán</v>
      </c>
      <c r="V3" s="9" t="s">
        <v>970</v>
      </c>
    </row>
    <row r="4" spans="1:22" ht="19.2" customHeight="1" x14ac:dyDescent="0.3">
      <c r="A4" s="3"/>
      <c r="C4" s="3" t="str">
        <f>IF(ISBLANK(PARAMETROS!$C$50),"",PARAMETROS!$C$50)</f>
        <v>Sin información</v>
      </c>
      <c r="E4" s="3" t="str">
        <f>IF(ISBLANK(PARAMETROS!$C$51),"",PARAMETROS!$C$51)</f>
        <v>No aplica</v>
      </c>
      <c r="G4" s="3" t="str">
        <f>IF(ISBLANK(PARAMETROS!$C$51),"",PARAMETROS!$C$51)</f>
        <v>No aplica</v>
      </c>
      <c r="I4" s="3" t="str">
        <f>IF(ISBLANK(PARAMETROS!$C$50),"",PARAMETROS!$C$50)</f>
        <v>Sin información</v>
      </c>
      <c r="K4" s="3" t="str">
        <f>IF(ISBLANK(PARAMETROS!$C$52),"",PARAMETROS!$C$52)</f>
        <v>Segundo nivel</v>
      </c>
      <c r="M4" s="3" t="str">
        <f>IF(ISBLANK(PARAMETROS!$C$58),"",PARAMETROS!$C$58)</f>
        <v>Ambiguo</v>
      </c>
      <c r="O4" s="3" t="str">
        <f>IF(ISBLANK(PARAMETROS!$C$61),"",PARAMETROS!$C$61)</f>
        <v>Más de secundaria</v>
      </c>
      <c r="Q4" s="3" t="str">
        <f>IF(ISBLANK(PARAMETROS!$C$64),"",PARAMETROS!$C$64)</f>
        <v>En pareja</v>
      </c>
      <c r="U4" s="10" t="str">
        <f>IF(ISBLANK(PARAMETROS!$C$116),"",PARAMETROS!$C$116)</f>
        <v>Albania</v>
      </c>
      <c r="V4" s="11" t="s">
        <v>971</v>
      </c>
    </row>
    <row r="5" spans="1:22" ht="19.2" customHeight="1" x14ac:dyDescent="0.3">
      <c r="A5" s="3"/>
      <c r="C5" s="3"/>
      <c r="E5" s="3"/>
      <c r="G5" s="3" t="str">
        <f>IF(ISBLANK(PARAMETROS!$C$50),"",PARAMETROS!$C$50)</f>
        <v>Sin información</v>
      </c>
      <c r="I5" s="3"/>
      <c r="K5" s="3" t="str">
        <f>IF(ISBLANK(PARAMETROS!$C$53),"",PARAMETROS!$C$53)</f>
        <v>Tercer nivel</v>
      </c>
      <c r="M5" s="3"/>
      <c r="O5" s="3" t="str">
        <f>IF(ISBLANK(PARAMETROS!$C$50),"",PARAMETROS!$C$50)</f>
        <v>Sin información</v>
      </c>
      <c r="Q5" s="3" t="str">
        <f>IF(ISBLANK(PARAMETROS!$C$50),"",PARAMETROS!$C$50)</f>
        <v>Sin información</v>
      </c>
      <c r="U5" s="10" t="str">
        <f>IF(ISBLANK(PARAMETROS!$C$117),"",PARAMETROS!$C$117)</f>
        <v>Alemania</v>
      </c>
      <c r="V5" s="11" t="s">
        <v>972</v>
      </c>
    </row>
    <row r="6" spans="1:22" ht="19.2" customHeight="1" x14ac:dyDescent="0.3">
      <c r="A6" s="3"/>
      <c r="C6" s="3"/>
      <c r="E6" s="3"/>
      <c r="G6" s="3"/>
      <c r="I6" s="3"/>
      <c r="K6" s="3" t="str">
        <f>IF(ISBLANK(PARAMETROS!$C$50),"",PARAMETROS!$C$50)</f>
        <v>Sin información</v>
      </c>
      <c r="M6" s="3"/>
      <c r="O6" s="3"/>
      <c r="Q6" s="3"/>
      <c r="U6" s="10" t="str">
        <f>IF(ISBLANK(PARAMETROS!$C$118),"",PARAMETROS!$C$118)</f>
        <v>Andorra</v>
      </c>
      <c r="V6" s="11" t="s">
        <v>973</v>
      </c>
    </row>
    <row r="7" spans="1:22" ht="19.2" customHeight="1" x14ac:dyDescent="0.3">
      <c r="A7" s="3"/>
      <c r="C7" s="3"/>
      <c r="E7" s="3"/>
      <c r="G7" s="3"/>
      <c r="I7" s="3"/>
      <c r="K7" s="3"/>
      <c r="M7" s="3"/>
      <c r="O7" s="3"/>
      <c r="Q7" s="3"/>
      <c r="U7" s="10" t="str">
        <f>IF(ISBLANK(PARAMETROS!$C$119),"",PARAMETROS!$C$119)</f>
        <v>Angola</v>
      </c>
      <c r="V7" s="11" t="s">
        <v>974</v>
      </c>
    </row>
    <row r="8" spans="1:22" ht="19.2" customHeight="1" x14ac:dyDescent="0.3">
      <c r="A8" s="3"/>
      <c r="C8" s="3"/>
      <c r="E8" s="3"/>
      <c r="G8" s="3"/>
      <c r="I8" s="3"/>
      <c r="K8" s="3"/>
      <c r="M8" s="3"/>
      <c r="O8" s="3"/>
      <c r="Q8" s="3"/>
      <c r="U8" s="10" t="str">
        <f>IF(ISBLANK(PARAMETROS!$C$120),"",PARAMETROS!$C$120)</f>
        <v>Anguila</v>
      </c>
      <c r="V8" s="11" t="s">
        <v>975</v>
      </c>
    </row>
    <row r="9" spans="1:22" ht="19.2" customHeight="1" x14ac:dyDescent="0.3">
      <c r="A9" s="3"/>
      <c r="C9" s="3"/>
      <c r="E9" s="3"/>
      <c r="G9" s="3"/>
      <c r="I9" s="3"/>
      <c r="K9" s="3"/>
      <c r="M9" s="3"/>
      <c r="O9" s="3"/>
      <c r="Q9" s="3"/>
      <c r="U9" s="10" t="str">
        <f>IF(ISBLANK(PARAMETROS!$C$121),"",PARAMETROS!$C$121)</f>
        <v>Antártida</v>
      </c>
      <c r="V9" s="11" t="s">
        <v>976</v>
      </c>
    </row>
    <row r="10" spans="1:22" ht="19.2" customHeight="1" x14ac:dyDescent="0.3">
      <c r="A10" s="3"/>
      <c r="C10" s="3"/>
      <c r="E10" s="3"/>
      <c r="G10" s="3"/>
      <c r="I10" s="3"/>
      <c r="K10" s="3"/>
      <c r="M10" s="3"/>
      <c r="O10" s="3"/>
      <c r="Q10" s="3"/>
      <c r="U10" s="10" t="str">
        <f>IF(ISBLANK(PARAMETROS!$C$122),"",PARAMETROS!$C$122)</f>
        <v>Antigua y Barbuda</v>
      </c>
      <c r="V10" s="11" t="s">
        <v>977</v>
      </c>
    </row>
    <row r="11" spans="1:22" ht="19.2" customHeight="1" thickBot="1" x14ac:dyDescent="0.35">
      <c r="A11" s="4"/>
      <c r="C11" s="4"/>
      <c r="E11" s="4"/>
      <c r="G11" s="4"/>
      <c r="I11" s="4"/>
      <c r="K11" s="4"/>
      <c r="M11" s="4"/>
      <c r="O11" s="4"/>
      <c r="Q11" s="4"/>
      <c r="U11" s="10" t="str">
        <f>IF(ISBLANK(PARAMETROS!$C$123),"",PARAMETROS!$C$123)</f>
        <v>Arabia Saudita</v>
      </c>
      <c r="V11" s="11" t="s">
        <v>978</v>
      </c>
    </row>
    <row r="12" spans="1:22" ht="19.2" customHeight="1" thickBot="1" x14ac:dyDescent="0.35">
      <c r="U12" s="10" t="str">
        <f>IF(ISBLANK(PARAMETROS!$C$124),"",PARAMETROS!$C$124)</f>
        <v>Argelia</v>
      </c>
      <c r="V12" s="11" t="s">
        <v>979</v>
      </c>
    </row>
    <row r="13" spans="1:22" ht="19.2" customHeight="1" thickBot="1" x14ac:dyDescent="0.35">
      <c r="A13" s="2" t="s">
        <v>224</v>
      </c>
      <c r="C13" s="2" t="s">
        <v>65</v>
      </c>
      <c r="E13" s="2" t="s">
        <v>72</v>
      </c>
      <c r="G13" s="2" t="s">
        <v>76</v>
      </c>
      <c r="I13" s="2" t="s">
        <v>81</v>
      </c>
      <c r="K13" s="2" t="s">
        <v>95</v>
      </c>
      <c r="M13" s="2" t="s">
        <v>100</v>
      </c>
      <c r="O13" s="2" t="s">
        <v>108</v>
      </c>
      <c r="Q13" s="2" t="s">
        <v>115</v>
      </c>
      <c r="U13" s="10" t="str">
        <f>IF(ISBLANK(PARAMETROS!$C$125),"",PARAMETROS!$C$125)</f>
        <v>Argentina</v>
      </c>
      <c r="V13" s="11" t="s">
        <v>980</v>
      </c>
    </row>
    <row r="14" spans="1:22" ht="19.2" customHeight="1" x14ac:dyDescent="0.3">
      <c r="A14" s="3" t="str">
        <f>IF(ISBLANK(PARAMETROS!$C$65),"",PARAMETROS!$C$65)</f>
        <v>Vivo</v>
      </c>
      <c r="C14" s="3" t="str">
        <f>IF(ISBLANK(PARAMETROS!$C$67),"",PARAMETROS!$C$67)</f>
        <v>Durante el parto en casa</v>
      </c>
      <c r="E14" s="3" t="str">
        <f>IF(ISBLANK(PARAMETROS!$C$48),"",PARAMETROS!$C$48)</f>
        <v>Sí</v>
      </c>
      <c r="G14" s="3" t="str">
        <f>IF(ISBLANK(PARAMETROS!$C$78),"",PARAMETROS!$C$78)</f>
        <v>Vaginal</v>
      </c>
      <c r="I14" s="3" t="str">
        <f>IF(ISBLANK(PARAMETROS!$C$80),"",PARAMETROS!$C$80)</f>
        <v>Espontánea</v>
      </c>
      <c r="K14" s="3" t="str">
        <f>IF(ISBLANK(PARAMETROS!$C$83),"",PARAMETROS!$C$83)</f>
        <v>Remitido</v>
      </c>
      <c r="M14" s="3" t="str">
        <f>IF(ISBLANK(PARAMETROS!$C$86),"",PARAMETROS!$C$86)</f>
        <v>Unidad de recién nacidos</v>
      </c>
      <c r="O14" s="3" t="str">
        <f>IF(ISBLANK(PARAMETROS!$C$89),"",PARAMETROS!$C$89)</f>
        <v>LME</v>
      </c>
      <c r="Q14" s="3" t="str">
        <f>IF(ISBLANK(PARAMETROS!$C$83),"",PARAMETROS!$C$83)</f>
        <v>Remitido</v>
      </c>
      <c r="U14" s="10" t="str">
        <f>IF(ISBLANK(PARAMETROS!$C$126),"",PARAMETROS!$C$126)</f>
        <v>Armenia</v>
      </c>
      <c r="V14" s="11" t="s">
        <v>981</v>
      </c>
    </row>
    <row r="15" spans="1:22" ht="19.2" customHeight="1" x14ac:dyDescent="0.3">
      <c r="A15" s="3" t="str">
        <f>IF(ISBLANK(PARAMETROS!$C$66),"",PARAMETROS!$C$66)</f>
        <v>Fallecido</v>
      </c>
      <c r="C15" s="3" t="str">
        <f>IF(ISBLANK(PARAMETROS!$C$68),"",PARAMETROS!$C$68)</f>
        <v>Sala de partos</v>
      </c>
      <c r="E15" s="3" t="str">
        <f>IF(ISBLANK(PARAMETROS!$C$73),"",PARAMETROS!$C$73)</f>
        <v>No - deserción 40 semanas</v>
      </c>
      <c r="G15" s="3" t="str">
        <f>IF(ISBLANK(PARAMETROS!$C$79),"",PARAMETROS!$C$79)</f>
        <v>Cesárea</v>
      </c>
      <c r="I15" s="3" t="str">
        <f>IF(ISBLANK(PARAMETROS!$C$81),"",PARAMETROS!$C$81)</f>
        <v>Conducida</v>
      </c>
      <c r="K15" s="3" t="str">
        <f>IF(ISBLANK(PARAMETROS!$C$70),"",PARAMETROS!$C$70)</f>
        <v>Alojamiento canguro</v>
      </c>
      <c r="M15" s="3" t="str">
        <f>IF(ISBLANK(PARAMETROS!$C$68),"",PARAMETROS!$C$68)</f>
        <v>Sala de partos</v>
      </c>
      <c r="O15" s="3" t="str">
        <f>IF(ISBLANK(PARAMETROS!$C$90),"",PARAMETROS!$C$90)</f>
        <v>LA</v>
      </c>
      <c r="Q15" s="3" t="str">
        <f>IF(ISBLANK(PARAMETROS!$C$84),"",PARAMETROS!$C$84)</f>
        <v>URN</v>
      </c>
      <c r="U15" s="10" t="str">
        <f>IF(ISBLANK(PARAMETROS!$C$127),"",PARAMETROS!$C$127)</f>
        <v>Aruba</v>
      </c>
      <c r="V15" s="11" t="s">
        <v>982</v>
      </c>
    </row>
    <row r="16" spans="1:22" ht="19.2" customHeight="1" x14ac:dyDescent="0.3">
      <c r="A16" s="3" t="str">
        <f>IF(ISBLANK(PARAMETROS!$C$50),"",PARAMETROS!$C$50)</f>
        <v>Sin información</v>
      </c>
      <c r="C16" s="3" t="str">
        <f>IF(ISBLANK(PARAMETROS!$C$69),"",PARAMETROS!$C$69)</f>
        <v>Unidad neonatal</v>
      </c>
      <c r="E16" s="3" t="str">
        <f>IF(ISBLANK(PARAMETROS!$C$74),"",PARAMETROS!$C$74)</f>
        <v>No - deserción 3 meses EC</v>
      </c>
      <c r="G16" s="3" t="str">
        <f>IF(ISBLANK(PARAMETROS!$C$50),"",PARAMETROS!$C$50)</f>
        <v>Sin información</v>
      </c>
      <c r="I16" s="3" t="str">
        <f>IF(ISBLANK(PARAMETROS!$C$82),"",PARAMETROS!$C$82)</f>
        <v>Inducida</v>
      </c>
      <c r="K16" s="3" t="str">
        <f>IF(ISBLANK(PARAMETROS!$C$84),"",PARAMETROS!$C$84)</f>
        <v>URN</v>
      </c>
      <c r="M16" s="3" t="str">
        <f>IF(ISBLANK(PARAMETROS!$C$87),"",PARAMETROS!$C$87)</f>
        <v>Remitidos</v>
      </c>
      <c r="O16" s="3" t="str">
        <f>IF(ISBLANK(PARAMETROS!$C$91),"",PARAMETROS!$C$91)</f>
        <v>Mixta</v>
      </c>
      <c r="Q16" s="3" t="str">
        <f>IF(ISBLANK(PARAMETROS!$C$92),"",PARAMETROS!$C$92)</f>
        <v>Casa - PMC</v>
      </c>
      <c r="U16" s="10" t="str">
        <f>IF(ISBLANK(PARAMETROS!$C$128),"",PARAMETROS!$C$128)</f>
        <v>Australia</v>
      </c>
      <c r="V16" s="11" t="s">
        <v>983</v>
      </c>
    </row>
    <row r="17" spans="1:22" ht="19.2" customHeight="1" x14ac:dyDescent="0.3">
      <c r="A17" s="3"/>
      <c r="C17" s="3" t="str">
        <f>IF(ISBLANK(PARAMETROS!$C$70),"",PARAMETROS!$C$70)</f>
        <v>Alojamiento canguro</v>
      </c>
      <c r="E17" s="3" t="str">
        <f>IF(ISBLANK(PARAMETROS!$C$75),"",PARAMETROS!$C$75)</f>
        <v>No - deserción 6 meses EC</v>
      </c>
      <c r="G17" s="3"/>
      <c r="I17" s="3" t="str">
        <f>IF(ISBLANK(PARAMETROS!$C$50),"",PARAMETROS!$C$50)</f>
        <v>Sin información</v>
      </c>
      <c r="K17" s="3" t="str">
        <f>IF(ISBLANK(PARAMETROS!$C$85),"",PARAMETROS!$C$85)</f>
        <v>Casa</v>
      </c>
      <c r="M17" s="3" t="str">
        <f>IF(ISBLANK(PARAMETROS!$C$88),"",PARAMETROS!$C$88)</f>
        <v>Readmitidos</v>
      </c>
      <c r="O17" s="3" t="str">
        <f>IF(ISBLANK(PARAMETROS!$C$50),"",PARAMETROS!$C$50)</f>
        <v>Sin información</v>
      </c>
      <c r="Q17" s="3" t="str">
        <f>IF(ISBLANK(PARAMETROS!$C$50),"",PARAMETROS!$C$50)</f>
        <v>Sin información</v>
      </c>
      <c r="U17" s="10" t="str">
        <f>IF(ISBLANK(PARAMETROS!$C$129),"",PARAMETROS!$C$129)</f>
        <v>Austria</v>
      </c>
      <c r="V17" s="11" t="s">
        <v>984</v>
      </c>
    </row>
    <row r="18" spans="1:22" ht="19.2" customHeight="1" x14ac:dyDescent="0.3">
      <c r="A18" s="3"/>
      <c r="C18" s="3" t="str">
        <f>IF(ISBLANK(PARAMETROS!$C$71),"",PARAMETROS!$C$71)</f>
        <v>Ambulatorio en casa</v>
      </c>
      <c r="E18" s="3" t="str">
        <f>IF(ISBLANK(PARAMETROS!$C$76),"",PARAMETROS!$C$76)</f>
        <v>No - deserción 9 meses EC</v>
      </c>
      <c r="G18" s="3"/>
      <c r="I18" s="3"/>
      <c r="K18" s="3" t="str">
        <f>IF(ISBLANK(PARAMETROS!$C$50),"",PARAMETROS!$C$50)</f>
        <v>Sin información</v>
      </c>
      <c r="M18" s="3" t="str">
        <f>IF(ISBLANK(PARAMETROS!$C$50),"",PARAMETROS!$C$50)</f>
        <v>Sin información</v>
      </c>
      <c r="O18" s="3"/>
      <c r="Q18" s="3"/>
      <c r="U18" s="10" t="str">
        <f>IF(ISBLANK(PARAMETROS!$C$130),"",PARAMETROS!$C$130)</f>
        <v>Azerbaiyán</v>
      </c>
      <c r="V18" s="11" t="s">
        <v>985</v>
      </c>
    </row>
    <row r="19" spans="1:22" ht="19.2" customHeight="1" x14ac:dyDescent="0.3">
      <c r="A19" s="3"/>
      <c r="C19" s="3" t="str">
        <f>IF(ISBLANK(PARAMETROS!$C$72),"",PARAMETROS!$C$72)</f>
        <v>Rehospitalización</v>
      </c>
      <c r="E19" s="3" t="str">
        <f>IF(ISBLANK(PARAMETROS!$C$77),"",PARAMETROS!$C$77)</f>
        <v>No - deserción 12 meses EC</v>
      </c>
      <c r="G19" s="3"/>
      <c r="I19" s="3"/>
      <c r="K19" s="3"/>
      <c r="M19" s="3"/>
      <c r="O19" s="3"/>
      <c r="Q19" s="3"/>
      <c r="U19" s="10" t="str">
        <f>IF(ISBLANK(PARAMETROS!$C$131),"",PARAMETROS!$C$131)</f>
        <v>Bahamas</v>
      </c>
      <c r="V19" s="11" t="s">
        <v>986</v>
      </c>
    </row>
    <row r="20" spans="1:22" ht="19.2" customHeight="1" x14ac:dyDescent="0.3">
      <c r="A20" s="3"/>
      <c r="C20" s="3" t="str">
        <f>IF(ISBLANK(PARAMETROS!$C$50),"",PARAMETROS!$C$50)</f>
        <v>Sin información</v>
      </c>
      <c r="E20" s="3" t="str">
        <f>IF(ISBLANK(PARAMETROS!$C$51),"",PARAMETROS!$C$51)</f>
        <v>No aplica</v>
      </c>
      <c r="G20" s="3"/>
      <c r="I20" s="3"/>
      <c r="K20" s="3"/>
      <c r="M20" s="3"/>
      <c r="O20" s="3"/>
      <c r="Q20" s="3"/>
      <c r="U20" s="10" t="str">
        <f>IF(ISBLANK(PARAMETROS!$C$132),"",PARAMETROS!$C$132)</f>
        <v>Bangladés</v>
      </c>
      <c r="V20" s="11" t="s">
        <v>987</v>
      </c>
    </row>
    <row r="21" spans="1:22" ht="19.2" customHeight="1" x14ac:dyDescent="0.3">
      <c r="A21" s="3"/>
      <c r="C21" s="3"/>
      <c r="E21" s="3"/>
      <c r="G21" s="3"/>
      <c r="I21" s="3"/>
      <c r="K21" s="3"/>
      <c r="M21" s="3"/>
      <c r="O21" s="3"/>
      <c r="Q21" s="3"/>
      <c r="U21" s="10" t="str">
        <f>IF(ISBLANK(PARAMETROS!$C$133),"",PARAMETROS!$C$133)</f>
        <v>Barbados</v>
      </c>
      <c r="V21" s="11" t="s">
        <v>988</v>
      </c>
    </row>
    <row r="22" spans="1:22" ht="19.2" customHeight="1" x14ac:dyDescent="0.3">
      <c r="A22" s="3"/>
      <c r="C22" s="3"/>
      <c r="E22" s="3"/>
      <c r="G22" s="3"/>
      <c r="I22" s="3"/>
      <c r="K22" s="3"/>
      <c r="M22" s="3"/>
      <c r="O22" s="3"/>
      <c r="Q22" s="3"/>
      <c r="U22" s="10" t="str">
        <f>IF(ISBLANK(PARAMETROS!$C$134),"",PARAMETROS!$C$134)</f>
        <v>Baréin</v>
      </c>
      <c r="V22" s="11" t="s">
        <v>989</v>
      </c>
    </row>
    <row r="23" spans="1:22" ht="19.2" customHeight="1" thickBot="1" x14ac:dyDescent="0.35">
      <c r="A23" s="4"/>
      <c r="C23" s="4"/>
      <c r="E23" s="4"/>
      <c r="G23" s="4"/>
      <c r="I23" s="4"/>
      <c r="K23" s="4"/>
      <c r="M23" s="4"/>
      <c r="O23" s="4"/>
      <c r="Q23" s="4"/>
      <c r="U23" s="10" t="str">
        <f>IF(ISBLANK(PARAMETROS!$C$135),"",PARAMETROS!$C$135)</f>
        <v>Bélgica</v>
      </c>
      <c r="V23" s="11" t="s">
        <v>990</v>
      </c>
    </row>
    <row r="24" spans="1:22" ht="19.2" customHeight="1" thickBot="1" x14ac:dyDescent="0.35">
      <c r="U24" s="10" t="str">
        <f>IF(ISBLANK(PARAMETROS!$C$136),"",PARAMETROS!$C$136)</f>
        <v>Belice</v>
      </c>
      <c r="V24" s="11" t="s">
        <v>991</v>
      </c>
    </row>
    <row r="25" spans="1:22" ht="19.2" customHeight="1" thickBot="1" x14ac:dyDescent="0.35">
      <c r="A25" s="2" t="s">
        <v>119</v>
      </c>
      <c r="C25" s="2" t="s">
        <v>141</v>
      </c>
      <c r="E25" s="2" t="s">
        <v>148</v>
      </c>
      <c r="G25" s="2" t="s">
        <v>150</v>
      </c>
      <c r="I25" s="2" t="s">
        <v>156</v>
      </c>
      <c r="K25" s="2" t="s">
        <v>167</v>
      </c>
      <c r="M25" s="2" t="s">
        <v>170</v>
      </c>
      <c r="O25" s="2" t="s">
        <v>191</v>
      </c>
      <c r="Q25" s="2" t="s">
        <v>218</v>
      </c>
      <c r="U25" s="10" t="str">
        <f>IF(ISBLANK(PARAMETROS!$C$137),"",PARAMETROS!$C$137)</f>
        <v>Benín</v>
      </c>
      <c r="V25" s="11" t="s">
        <v>992</v>
      </c>
    </row>
    <row r="26" spans="1:22" ht="19.2" customHeight="1" x14ac:dyDescent="0.3">
      <c r="A26" s="3" t="str">
        <f>IF(ISBLANK(PARAMETROS!$C$68),"",PARAMETROS!$C$68)</f>
        <v>Sala de partos</v>
      </c>
      <c r="C26" s="3" t="str">
        <f>IF(ISBLANK(PARAMETROS!$C$95),"",PARAMETROS!$C$95)</f>
        <v>Unilateral</v>
      </c>
      <c r="E26" s="3" t="str">
        <f>IF(ISBLANK(PARAMETROS!$C$97),"",PARAMETROS!$C$97)</f>
        <v>Normal</v>
      </c>
      <c r="G26" s="3" t="str">
        <f>IF(ISBLANK(PARAMETROS!$C$97),"",PARAMETROS!$C$97)</f>
        <v>Normal</v>
      </c>
      <c r="I26" s="3" t="str">
        <f>IF(ISBLANK(PARAMETROS!$C$68),"",PARAMETROS!$C$68)</f>
        <v>Sala de partos</v>
      </c>
      <c r="K26" s="3" t="str">
        <f>IF(ISBLANK(PARAMETROS!$C$97),"",PARAMETROS!$C$97)</f>
        <v>Normal</v>
      </c>
      <c r="M26" s="3" t="str">
        <f>IF(ISBLANK(PARAMETROS!$C$97),"",PARAMETROS!$C$97)</f>
        <v>Normal</v>
      </c>
      <c r="O26" s="3" t="str">
        <f>IF(ISBLANK(PARAMETROS!$C$112),"",PARAMETROS!$C$112)</f>
        <v>LME + complementaria</v>
      </c>
      <c r="Q26" s="3" t="str">
        <f>IF(ISBLANK(PARAMETROS!$C$97),"",PARAMETROS!$C$97)</f>
        <v>Normal</v>
      </c>
      <c r="U26" s="10" t="str">
        <f>IF(ISBLANK(PARAMETROS!$C$138),"",PARAMETROS!$C$138)</f>
        <v>Bermudas</v>
      </c>
      <c r="V26" s="11" t="s">
        <v>993</v>
      </c>
    </row>
    <row r="27" spans="1:22" ht="19.2" customHeight="1" x14ac:dyDescent="0.3">
      <c r="A27" s="3" t="str">
        <f>IF(ISBLANK(PARAMETROS!$C$93),"",PARAMETROS!$C$93)</f>
        <v>Alojamiento conjunto</v>
      </c>
      <c r="C27" s="3" t="str">
        <f>IF(ISBLANK(PARAMETROS!$C$96),"",PARAMETROS!$C$96)</f>
        <v>Bilateral</v>
      </c>
      <c r="E27" s="3" t="str">
        <f>IF(ISBLANK(PARAMETROS!$C$98),"",PARAMETROS!$C$98)</f>
        <v>Anormal unilateral</v>
      </c>
      <c r="G27" s="3" t="str">
        <f>IF(ISBLANK(PARAMETROS!$C$100),"",PARAMETROS!$C$100)</f>
        <v>ROP regresiva</v>
      </c>
      <c r="I27" s="3" t="str">
        <f>IF(ISBLANK(PARAMETROS!$C$70),"",PARAMETROS!$C$70)</f>
        <v>Alojamiento canguro</v>
      </c>
      <c r="K27" s="3" t="str">
        <f>IF(ISBLANK(PARAMETROS!$C$104),"",PARAMETROS!$C$104)</f>
        <v>Transitoria</v>
      </c>
      <c r="M27" s="3" t="str">
        <f>IF(ISBLANK(PARAMETROS!$C$106),"",PARAMETROS!$C$106)</f>
        <v>Miope</v>
      </c>
      <c r="O27" s="3" t="str">
        <f>IF(ISBLANK(PARAMETROS!$C$113),"",PARAMETROS!$C$113)</f>
        <v>LA + complementaria</v>
      </c>
      <c r="Q27" s="3" t="str">
        <f>IF(ISBLANK(PARAMETROS!$C$105),"",PARAMETROS!$C$105)</f>
        <v>Anormal</v>
      </c>
      <c r="U27" s="10" t="str">
        <f>IF(ISBLANK(PARAMETROS!$C$139),"",PARAMETROS!$C$139)</f>
        <v>Bielorrusia</v>
      </c>
      <c r="V27" s="11" t="s">
        <v>994</v>
      </c>
    </row>
    <row r="28" spans="1:22" ht="19.2" customHeight="1" x14ac:dyDescent="0.3">
      <c r="A28" s="3" t="str">
        <f>IF(ISBLANK(PARAMETROS!$C$83),"",PARAMETROS!$C$83)</f>
        <v>Remitido</v>
      </c>
      <c r="C28" s="3" t="str">
        <f>IF(ISBLANK(PARAMETROS!$C$49),"",PARAMETROS!$C$49)</f>
        <v>No</v>
      </c>
      <c r="E28" s="3" t="str">
        <f>IF(ISBLANK(PARAMETROS!$C$99),"",PARAMETROS!$C$99)</f>
        <v>Anormal bilateral</v>
      </c>
      <c r="G28" s="3" t="str">
        <f>IF(ISBLANK(PARAMETROS!$C$101),"",PARAMETROS!$C$101)</f>
        <v>ROP operada</v>
      </c>
      <c r="I28" s="3" t="str">
        <f>IF(ISBLANK(PARAMETROS!$C$69),"",PARAMETROS!$C$69)</f>
        <v>Unidad neonatal</v>
      </c>
      <c r="K28" s="3" t="str">
        <f>IF(ISBLANK(PARAMETROS!$C$105),"",PARAMETROS!$C$105)</f>
        <v>Anormal</v>
      </c>
      <c r="M28" s="3" t="str">
        <f>IF(ISBLANK(PARAMETROS!$C$107),"",PARAMETROS!$C$107)</f>
        <v>Astigmatismo miópico</v>
      </c>
      <c r="O28" s="3" t="str">
        <f>IF(ISBLANK(PARAMETROS!$C$114),"",PARAMETROS!$C$114)</f>
        <v>Mixta + complementaria</v>
      </c>
      <c r="Q28" s="3" t="str">
        <f>IF(ISBLANK(PARAMETROS!$C$50),"",PARAMETROS!$C$50)</f>
        <v>Sin información</v>
      </c>
      <c r="U28" s="10" t="str">
        <f>IF(ISBLANK(PARAMETROS!$C$140),"",PARAMETROS!$C$140)</f>
        <v>Bolivia</v>
      </c>
      <c r="V28" s="11" t="s">
        <v>995</v>
      </c>
    </row>
    <row r="29" spans="1:22" ht="19.2" customHeight="1" x14ac:dyDescent="0.3">
      <c r="A29" s="3" t="str">
        <f>IF(ISBLANK(PARAMETROS!$C$94),"",PARAMETROS!$C$94)</f>
        <v>Readmisión</v>
      </c>
      <c r="C29" s="3" t="str">
        <f>IF(ISBLANK(PARAMETROS!$C$50),"",PARAMETROS!$C$50)</f>
        <v>Sin información</v>
      </c>
      <c r="E29" s="3" t="str">
        <f>IF(ISBLANK(PARAMETROS!$C$50),"",PARAMETROS!$C$50)</f>
        <v>Sin información</v>
      </c>
      <c r="G29" s="3" t="str">
        <f>IF(ISBLANK(PARAMETROS!$C$102),"",PARAMETROS!$C$102)</f>
        <v>Otra alteración ocular</v>
      </c>
      <c r="I29" s="3" t="str">
        <f>IF(ISBLANK(PARAMETROS!$C$103),"",PARAMETROS!$C$103)</f>
        <v>Referidos hospitalizados de otra institución</v>
      </c>
      <c r="K29" s="3" t="str">
        <f>IF(ISBLANK(PARAMETROS!$C$50),"",PARAMETROS!$C$50)</f>
        <v>Sin información</v>
      </c>
      <c r="M29" s="3" t="str">
        <f>IF(ISBLANK(PARAMETROS!$C$108),"",PARAMETROS!$C$108)</f>
        <v>Hipermetropía</v>
      </c>
      <c r="O29" s="3" t="str">
        <f>IF(ISBLANK(PARAMETROS!$C$50),"",PARAMETROS!$C$50)</f>
        <v>Sin información</v>
      </c>
      <c r="Q29" s="3"/>
      <c r="U29" s="10" t="str">
        <f>IF(ISBLANK(PARAMETROS!$C$141),"",PARAMETROS!$C$141)</f>
        <v>Bosnia-Herzegovina</v>
      </c>
      <c r="V29" s="11" t="s">
        <v>996</v>
      </c>
    </row>
    <row r="30" spans="1:22" ht="19.2" customHeight="1" x14ac:dyDescent="0.3">
      <c r="A30" s="3" t="str">
        <f>IF(ISBLANK(PARAMETROS!$C$50),"",PARAMETROS!$C$50)</f>
        <v>Sin información</v>
      </c>
      <c r="C30" s="3"/>
      <c r="E30" s="3"/>
      <c r="G30" s="3" t="str">
        <f>IF(ISBLANK(PARAMETROS!$C$50),"",PARAMETROS!$C$50)</f>
        <v>Sin información</v>
      </c>
      <c r="I30" s="3" t="str">
        <f>IF(ISBLANK(PARAMETROS!$C$50),"",PARAMETROS!$C$50)</f>
        <v>Sin información</v>
      </c>
      <c r="K30" s="3"/>
      <c r="M30" s="3" t="str">
        <f>IF(ISBLANK(PARAMETROS!$C$109),"",PARAMETROS!$C$109)</f>
        <v>Astigmatismo hipermetrópico</v>
      </c>
      <c r="O30" s="3"/>
      <c r="Q30" s="3"/>
      <c r="U30" s="10" t="str">
        <f>IF(ISBLANK(PARAMETROS!$C$142),"",PARAMETROS!$C$142)</f>
        <v>Botsuana</v>
      </c>
      <c r="V30" s="11" t="s">
        <v>997</v>
      </c>
    </row>
    <row r="31" spans="1:22" ht="19.2" customHeight="1" x14ac:dyDescent="0.3">
      <c r="A31" s="3"/>
      <c r="C31" s="3"/>
      <c r="E31" s="3"/>
      <c r="G31" s="3"/>
      <c r="I31" s="3"/>
      <c r="K31" s="3"/>
      <c r="M31" s="3" t="str">
        <f>IF(ISBLANK(PARAMETROS!$C$110),"",PARAMETROS!$C$110)</f>
        <v>Otro</v>
      </c>
      <c r="O31" s="3"/>
      <c r="Q31" s="3"/>
      <c r="U31" s="10" t="str">
        <f>IF(ISBLANK(PARAMETROS!$C$143),"",PARAMETROS!$C$143)</f>
        <v>Brasil</v>
      </c>
      <c r="V31" s="11" t="s">
        <v>998</v>
      </c>
    </row>
    <row r="32" spans="1:22" ht="19.2" customHeight="1" x14ac:dyDescent="0.3">
      <c r="A32" s="3"/>
      <c r="C32" s="3"/>
      <c r="E32" s="3"/>
      <c r="G32" s="3"/>
      <c r="I32" s="3"/>
      <c r="K32" s="3"/>
      <c r="M32" s="3" t="str">
        <f>IF(ISBLANK(PARAMETROS!$C$111),"",PARAMETROS!$C$111)</f>
        <v>No se realiza</v>
      </c>
      <c r="O32" s="3"/>
      <c r="Q32" s="3"/>
      <c r="U32" s="10" t="str">
        <f>IF(ISBLANK(PARAMETROS!$C$144),"",PARAMETROS!$C$144)</f>
        <v>Brunéi</v>
      </c>
      <c r="V32" s="11" t="s">
        <v>999</v>
      </c>
    </row>
    <row r="33" spans="1:22" ht="19.2" customHeight="1" x14ac:dyDescent="0.3">
      <c r="A33" s="3"/>
      <c r="C33" s="3"/>
      <c r="E33" s="3"/>
      <c r="G33" s="3"/>
      <c r="I33" s="3"/>
      <c r="K33" s="3"/>
      <c r="M33" s="3" t="str">
        <f>IF(ISBLANK(PARAMETROS!$C$50),"",PARAMETROS!$C$50)</f>
        <v>Sin información</v>
      </c>
      <c r="O33" s="3"/>
      <c r="Q33" s="3"/>
      <c r="U33" s="10" t="str">
        <f>IF(ISBLANK(PARAMETROS!$C$145),"",PARAMETROS!$C$145)</f>
        <v>Bulgaria</v>
      </c>
      <c r="V33" s="11" t="s">
        <v>1000</v>
      </c>
    </row>
    <row r="34" spans="1:22" ht="19.2" customHeight="1" x14ac:dyDescent="0.3">
      <c r="A34" s="3"/>
      <c r="C34" s="3"/>
      <c r="E34" s="3"/>
      <c r="G34" s="3"/>
      <c r="I34" s="3"/>
      <c r="K34" s="3"/>
      <c r="M34" s="3"/>
      <c r="O34" s="3"/>
      <c r="Q34" s="3"/>
      <c r="U34" s="10" t="str">
        <f>IF(ISBLANK(PARAMETROS!$C$146),"",PARAMETROS!$C$146)</f>
        <v>Burkina Faso</v>
      </c>
      <c r="V34" s="11" t="s">
        <v>1001</v>
      </c>
    </row>
    <row r="35" spans="1:22" ht="19.2" customHeight="1" thickBot="1" x14ac:dyDescent="0.35">
      <c r="A35" s="4"/>
      <c r="C35" s="4"/>
      <c r="E35" s="4"/>
      <c r="G35" s="4"/>
      <c r="I35" s="4"/>
      <c r="K35" s="4"/>
      <c r="M35" s="4"/>
      <c r="O35" s="4"/>
      <c r="Q35" s="4"/>
      <c r="U35" s="10" t="str">
        <f>IF(ISBLANK(PARAMETROS!$C$147),"",PARAMETROS!$C$147)</f>
        <v>Burundi</v>
      </c>
      <c r="V35" s="11" t="s">
        <v>1002</v>
      </c>
    </row>
    <row r="36" spans="1:22" ht="19.2" customHeight="1" thickBot="1" x14ac:dyDescent="0.35">
      <c r="U36" s="10" t="str">
        <f>IF(ISBLANK(PARAMETROS!$C$148),"",PARAMETROS!$C$148)</f>
        <v>Bután</v>
      </c>
      <c r="V36" s="11" t="s">
        <v>1003</v>
      </c>
    </row>
    <row r="37" spans="1:22" ht="19.2" customHeight="1" thickBot="1" x14ac:dyDescent="0.35">
      <c r="A37" s="170" t="s">
        <v>1894</v>
      </c>
      <c r="B37" s="171"/>
      <c r="E37" s="21" t="s">
        <v>1895</v>
      </c>
      <c r="U37" s="10" t="str">
        <f>IF(ISBLANK(PARAMETROS!$C$149),"",PARAMETROS!$C$149)</f>
        <v>Cabo Verde</v>
      </c>
      <c r="V37" s="11" t="s">
        <v>1004</v>
      </c>
    </row>
    <row r="38" spans="1:22" ht="19.2" customHeight="1" thickBot="1" x14ac:dyDescent="0.35">
      <c r="A38" s="19" t="s">
        <v>1899</v>
      </c>
      <c r="B38" s="20" t="s">
        <v>1900</v>
      </c>
      <c r="E38" s="21" t="s">
        <v>1901</v>
      </c>
      <c r="U38" s="10" t="str">
        <f>IF(ISBLANK(PARAMETROS!$C$150),"",PARAMETROS!$C$150)</f>
        <v>Camboya</v>
      </c>
      <c r="V38" s="11" t="s">
        <v>1005</v>
      </c>
    </row>
    <row r="39" spans="1:22" ht="19.2" customHeight="1" x14ac:dyDescent="0.3">
      <c r="A39" s="10" t="str">
        <f>IF(ISBLANK(PARAMETROS!$C$364),"",PARAMETROS!$C$364)</f>
        <v>Enero</v>
      </c>
      <c r="B39" s="11">
        <v>1</v>
      </c>
      <c r="E39" s="22">
        <v>2024</v>
      </c>
      <c r="U39" s="10" t="str">
        <f>IF(ISBLANK(PARAMETROS!$C$151),"",PARAMETROS!$C$151)</f>
        <v>Camerún</v>
      </c>
      <c r="V39" s="11" t="s">
        <v>1006</v>
      </c>
    </row>
    <row r="40" spans="1:22" ht="19.2" customHeight="1" x14ac:dyDescent="0.3">
      <c r="A40" s="10" t="str">
        <f>IF(ISBLANK(PARAMETROS!$C$365),"",PARAMETROS!$C$365)</f>
        <v>Febrero</v>
      </c>
      <c r="B40" s="11">
        <v>2</v>
      </c>
      <c r="E40" s="3">
        <f t="shared" ref="E40:E65" si="0">E39+1</f>
        <v>2025</v>
      </c>
      <c r="U40" s="10" t="str">
        <f>IF(ISBLANK(PARAMETROS!$C$152),"",PARAMETROS!$C$152)</f>
        <v>Canadá</v>
      </c>
      <c r="V40" s="11" t="s">
        <v>1007</v>
      </c>
    </row>
    <row r="41" spans="1:22" ht="19.2" customHeight="1" x14ac:dyDescent="0.3">
      <c r="A41" s="10" t="str">
        <f>IF(ISBLANK(PARAMETROS!$C$366),"",PARAMETROS!$C$366)</f>
        <v>Marzo</v>
      </c>
      <c r="B41" s="11">
        <v>3</v>
      </c>
      <c r="E41" s="3">
        <f t="shared" si="0"/>
        <v>2026</v>
      </c>
      <c r="U41" s="10" t="str">
        <f>IF(ISBLANK(PARAMETROS!$C$153),"",PARAMETROS!$C$153)</f>
        <v>Caribe neerlandés</v>
      </c>
      <c r="V41" s="11" t="s">
        <v>1008</v>
      </c>
    </row>
    <row r="42" spans="1:22" ht="19.2" customHeight="1" x14ac:dyDescent="0.3">
      <c r="A42" s="10" t="str">
        <f>IF(ISBLANK(PARAMETROS!$C$367),"",PARAMETROS!$C$367)</f>
        <v>Abril</v>
      </c>
      <c r="B42" s="11">
        <v>4</v>
      </c>
      <c r="E42" s="3">
        <f t="shared" si="0"/>
        <v>2027</v>
      </c>
      <c r="U42" s="10" t="str">
        <f>IF(ISBLANK(PARAMETROS!$C$154),"",PARAMETROS!$C$154)</f>
        <v>Catar</v>
      </c>
      <c r="V42" s="11" t="s">
        <v>1009</v>
      </c>
    </row>
    <row r="43" spans="1:22" ht="19.2" customHeight="1" x14ac:dyDescent="0.3">
      <c r="A43" s="10" t="str">
        <f>IF(ISBLANK(PARAMETROS!$C$368),"",PARAMETROS!$C$368)</f>
        <v>Mayo</v>
      </c>
      <c r="B43" s="11">
        <v>5</v>
      </c>
      <c r="E43" s="3">
        <f t="shared" si="0"/>
        <v>2028</v>
      </c>
      <c r="U43" s="10" t="str">
        <f>IF(ISBLANK(PARAMETROS!$C$155),"",PARAMETROS!$C$155)</f>
        <v>Chad</v>
      </c>
      <c r="V43" s="11" t="s">
        <v>1010</v>
      </c>
    </row>
    <row r="44" spans="1:22" ht="19.2" customHeight="1" x14ac:dyDescent="0.3">
      <c r="A44" s="10" t="str">
        <f>IF(ISBLANK(PARAMETROS!$C$369),"",PARAMETROS!$C$369)</f>
        <v>Junio</v>
      </c>
      <c r="B44" s="11">
        <v>6</v>
      </c>
      <c r="E44" s="3">
        <f t="shared" si="0"/>
        <v>2029</v>
      </c>
      <c r="U44" s="10" t="str">
        <f>IF(ISBLANK(PARAMETROS!$C$156),"",PARAMETROS!$C$156)</f>
        <v>Chequia</v>
      </c>
      <c r="V44" s="11" t="s">
        <v>1011</v>
      </c>
    </row>
    <row r="45" spans="1:22" ht="19.2" customHeight="1" x14ac:dyDescent="0.3">
      <c r="A45" s="10" t="str">
        <f>IF(ISBLANK(PARAMETROS!$C$370),"",PARAMETROS!$C$370)</f>
        <v>Julio</v>
      </c>
      <c r="B45" s="11">
        <v>7</v>
      </c>
      <c r="E45" s="3">
        <f t="shared" si="0"/>
        <v>2030</v>
      </c>
      <c r="U45" s="10" t="str">
        <f>IF(ISBLANK(PARAMETROS!$C$157),"",PARAMETROS!$C$157)</f>
        <v>Chile</v>
      </c>
      <c r="V45" s="11" t="s">
        <v>1012</v>
      </c>
    </row>
    <row r="46" spans="1:22" ht="19.2" customHeight="1" x14ac:dyDescent="0.3">
      <c r="A46" s="10" t="str">
        <f>IF(ISBLANK(PARAMETROS!$C$371),"",PARAMETROS!$C$371)</f>
        <v>Agosto</v>
      </c>
      <c r="B46" s="11">
        <v>8</v>
      </c>
      <c r="E46" s="3">
        <f t="shared" si="0"/>
        <v>2031</v>
      </c>
      <c r="U46" s="10" t="str">
        <f>IF(ISBLANK(PARAMETROS!$C$158),"",PARAMETROS!$C$158)</f>
        <v>China</v>
      </c>
      <c r="V46" s="11" t="s">
        <v>1013</v>
      </c>
    </row>
    <row r="47" spans="1:22" ht="19.2" customHeight="1" x14ac:dyDescent="0.3">
      <c r="A47" s="10" t="str">
        <f>IF(ISBLANK(PARAMETROS!$C$372),"",PARAMETROS!$C$372)</f>
        <v>Septiembre</v>
      </c>
      <c r="B47" s="11">
        <v>9</v>
      </c>
      <c r="E47" s="3">
        <f t="shared" si="0"/>
        <v>2032</v>
      </c>
      <c r="U47" s="10" t="str">
        <f>IF(ISBLANK(PARAMETROS!$C$159),"",PARAMETROS!$C$159)</f>
        <v>Chipre</v>
      </c>
      <c r="V47" s="11" t="s">
        <v>1014</v>
      </c>
    </row>
    <row r="48" spans="1:22" ht="19.2" customHeight="1" x14ac:dyDescent="0.3">
      <c r="A48" s="10" t="str">
        <f>IF(ISBLANK(PARAMETROS!$C$373),"",PARAMETROS!$C$373)</f>
        <v>Octubre</v>
      </c>
      <c r="B48" s="11">
        <v>10</v>
      </c>
      <c r="E48" s="3">
        <f t="shared" si="0"/>
        <v>2033</v>
      </c>
      <c r="U48" s="10" t="str">
        <f>IF(ISBLANK(PARAMETROS!$C$160),"",PARAMETROS!$C$160)</f>
        <v>Ciudad del Vaticano</v>
      </c>
      <c r="V48" s="11" t="s">
        <v>1015</v>
      </c>
    </row>
    <row r="49" spans="1:22" ht="19.2" customHeight="1" x14ac:dyDescent="0.3">
      <c r="A49" s="10" t="str">
        <f>IF(ISBLANK(PARAMETROS!$C$374),"",PARAMETROS!$C$374)</f>
        <v>Noviembre</v>
      </c>
      <c r="B49" s="11">
        <v>11</v>
      </c>
      <c r="E49" s="3">
        <f t="shared" si="0"/>
        <v>2034</v>
      </c>
      <c r="U49" s="10" t="str">
        <f>IF(ISBLANK(PARAMETROS!$C$161),"",PARAMETROS!$C$161)</f>
        <v>Colombia</v>
      </c>
      <c r="V49" s="11" t="s">
        <v>1016</v>
      </c>
    </row>
    <row r="50" spans="1:22" ht="19.2" customHeight="1" thickBot="1" x14ac:dyDescent="0.35">
      <c r="A50" s="12" t="str">
        <f>IF(ISBLANK(PARAMETROS!$C$375),"",PARAMETROS!$C$375)</f>
        <v>Diciembre</v>
      </c>
      <c r="B50" s="13">
        <v>12</v>
      </c>
      <c r="E50" s="3">
        <f t="shared" si="0"/>
        <v>2035</v>
      </c>
      <c r="U50" s="10" t="str">
        <f>IF(ISBLANK(PARAMETROS!$C$162),"",PARAMETROS!$C$162)</f>
        <v>Comoras</v>
      </c>
      <c r="V50" s="11" t="s">
        <v>1017</v>
      </c>
    </row>
    <row r="51" spans="1:22" ht="19.2" customHeight="1" x14ac:dyDescent="0.3">
      <c r="E51" s="3">
        <f t="shared" si="0"/>
        <v>2036</v>
      </c>
      <c r="U51" s="10" t="str">
        <f>IF(ISBLANK(PARAMETROS!$C$163),"",PARAMETROS!$C$163)</f>
        <v>Corea del Norte</v>
      </c>
      <c r="V51" s="11" t="s">
        <v>1018</v>
      </c>
    </row>
    <row r="52" spans="1:22" ht="19.2" customHeight="1" x14ac:dyDescent="0.3">
      <c r="E52" s="3">
        <f t="shared" si="0"/>
        <v>2037</v>
      </c>
      <c r="U52" s="10" t="str">
        <f>IF(ISBLANK(PARAMETROS!$C$164),"",PARAMETROS!$C$164)</f>
        <v>Corea del Sur</v>
      </c>
      <c r="V52" s="11" t="s">
        <v>1019</v>
      </c>
    </row>
    <row r="53" spans="1:22" ht="19.2" customHeight="1" x14ac:dyDescent="0.3">
      <c r="E53" s="3">
        <f t="shared" si="0"/>
        <v>2038</v>
      </c>
      <c r="U53" s="10" t="str">
        <f>IF(ISBLANK(PARAMETROS!$C$165),"",PARAMETROS!$C$165)</f>
        <v>Costa de Marfil</v>
      </c>
      <c r="V53" s="11" t="s">
        <v>1020</v>
      </c>
    </row>
    <row r="54" spans="1:22" ht="19.2" customHeight="1" x14ac:dyDescent="0.3">
      <c r="E54" s="3">
        <f t="shared" si="0"/>
        <v>2039</v>
      </c>
      <c r="U54" s="10" t="str">
        <f>IF(ISBLANK(PARAMETROS!$C$166),"",PARAMETROS!$C$166)</f>
        <v>Costa Rica</v>
      </c>
      <c r="V54" s="11" t="s">
        <v>1021</v>
      </c>
    </row>
    <row r="55" spans="1:22" ht="19.2" customHeight="1" x14ac:dyDescent="0.3">
      <c r="E55" s="3">
        <f t="shared" si="0"/>
        <v>2040</v>
      </c>
      <c r="U55" s="10" t="str">
        <f>IF(ISBLANK(PARAMETROS!$C$167),"",PARAMETROS!$C$167)</f>
        <v>Croacia</v>
      </c>
      <c r="V55" s="11" t="s">
        <v>1022</v>
      </c>
    </row>
    <row r="56" spans="1:22" ht="19.2" customHeight="1" x14ac:dyDescent="0.3">
      <c r="E56" s="3">
        <f t="shared" si="0"/>
        <v>2041</v>
      </c>
      <c r="U56" s="10" t="str">
        <f>IF(ISBLANK(PARAMETROS!$C$168),"",PARAMETROS!$C$168)</f>
        <v>Cuba</v>
      </c>
      <c r="V56" s="11" t="s">
        <v>1023</v>
      </c>
    </row>
    <row r="57" spans="1:22" ht="19.2" customHeight="1" x14ac:dyDescent="0.3">
      <c r="E57" s="3">
        <f t="shared" si="0"/>
        <v>2042</v>
      </c>
      <c r="U57" s="10" t="str">
        <f>IF(ISBLANK(PARAMETROS!$C$169),"",PARAMETROS!$C$169)</f>
        <v>Curazao</v>
      </c>
      <c r="V57" s="11" t="s">
        <v>1024</v>
      </c>
    </row>
    <row r="58" spans="1:22" ht="19.2" customHeight="1" x14ac:dyDescent="0.3">
      <c r="E58" s="3">
        <f t="shared" si="0"/>
        <v>2043</v>
      </c>
      <c r="U58" s="10" t="str">
        <f>IF(ISBLANK(PARAMETROS!$C$170),"",PARAMETROS!$C$170)</f>
        <v>Dinamarca</v>
      </c>
      <c r="V58" s="11" t="s">
        <v>1025</v>
      </c>
    </row>
    <row r="59" spans="1:22" ht="19.2" customHeight="1" x14ac:dyDescent="0.3">
      <c r="E59" s="3">
        <f t="shared" si="0"/>
        <v>2044</v>
      </c>
      <c r="U59" s="10" t="str">
        <f>IF(ISBLANK(PARAMETROS!$C$171),"",PARAMETROS!$C$171)</f>
        <v>Dominica</v>
      </c>
      <c r="V59" s="11" t="s">
        <v>1026</v>
      </c>
    </row>
    <row r="60" spans="1:22" ht="19.2" customHeight="1" x14ac:dyDescent="0.3">
      <c r="E60" s="3">
        <f t="shared" si="0"/>
        <v>2045</v>
      </c>
      <c r="U60" s="10" t="str">
        <f>IF(ISBLANK(PARAMETROS!$C$172),"",PARAMETROS!$C$172)</f>
        <v>Ecuador</v>
      </c>
      <c r="V60" s="11" t="s">
        <v>1027</v>
      </c>
    </row>
    <row r="61" spans="1:22" ht="19.2" customHeight="1" x14ac:dyDescent="0.3">
      <c r="E61" s="3">
        <f t="shared" si="0"/>
        <v>2046</v>
      </c>
      <c r="U61" s="10" t="str">
        <f>IF(ISBLANK(PARAMETROS!$C$173),"",PARAMETROS!$C$173)</f>
        <v>Egipto</v>
      </c>
      <c r="V61" s="11" t="s">
        <v>1028</v>
      </c>
    </row>
    <row r="62" spans="1:22" ht="19.2" customHeight="1" x14ac:dyDescent="0.3">
      <c r="E62" s="3">
        <f t="shared" si="0"/>
        <v>2047</v>
      </c>
      <c r="U62" s="10" t="str">
        <f>IF(ISBLANK(PARAMETROS!$C$174),"",PARAMETROS!$C$174)</f>
        <v>El Salvador</v>
      </c>
      <c r="V62" s="11" t="s">
        <v>1029</v>
      </c>
    </row>
    <row r="63" spans="1:22" ht="19.2" customHeight="1" x14ac:dyDescent="0.3">
      <c r="E63" s="3">
        <f t="shared" si="0"/>
        <v>2048</v>
      </c>
      <c r="U63" s="10" t="str">
        <f>IF(ISBLANK(PARAMETROS!$C$175),"",PARAMETROS!$C$175)</f>
        <v>Emiratos Árabes Unidos</v>
      </c>
      <c r="V63" s="11" t="s">
        <v>1030</v>
      </c>
    </row>
    <row r="64" spans="1:22" ht="19.2" customHeight="1" x14ac:dyDescent="0.3">
      <c r="E64" s="3">
        <f t="shared" si="0"/>
        <v>2049</v>
      </c>
      <c r="U64" s="10" t="str">
        <f>IF(ISBLANK(PARAMETROS!$C$176),"",PARAMETROS!$C$176)</f>
        <v>Eritrea</v>
      </c>
      <c r="V64" s="11" t="s">
        <v>1031</v>
      </c>
    </row>
    <row r="65" spans="5:22" ht="19.2" customHeight="1" thickBot="1" x14ac:dyDescent="0.35">
      <c r="E65" s="4">
        <f t="shared" si="0"/>
        <v>2050</v>
      </c>
      <c r="U65" s="10" t="str">
        <f>IF(ISBLANK(PARAMETROS!$C$177),"",PARAMETROS!$C$177)</f>
        <v>Eslovaquia</v>
      </c>
      <c r="V65" s="11" t="s">
        <v>1032</v>
      </c>
    </row>
    <row r="66" spans="5:22" ht="19.2" customHeight="1" x14ac:dyDescent="0.3">
      <c r="U66" s="10" t="str">
        <f>IF(ISBLANK(PARAMETROS!$C$178),"",PARAMETROS!$C$178)</f>
        <v>Eslovenia</v>
      </c>
      <c r="V66" s="11" t="s">
        <v>1033</v>
      </c>
    </row>
    <row r="67" spans="5:22" ht="19.2" customHeight="1" x14ac:dyDescent="0.3">
      <c r="U67" s="10" t="str">
        <f>IF(ISBLANK(PARAMETROS!$C$179),"",PARAMETROS!$C$179)</f>
        <v>España</v>
      </c>
      <c r="V67" s="11" t="s">
        <v>1034</v>
      </c>
    </row>
    <row r="68" spans="5:22" ht="19.2" customHeight="1" x14ac:dyDescent="0.3">
      <c r="U68" s="10" t="str">
        <f>IF(ISBLANK(PARAMETROS!$C$180),"",PARAMETROS!$C$180)</f>
        <v>Estados Unidos</v>
      </c>
      <c r="V68" s="11" t="s">
        <v>1035</v>
      </c>
    </row>
    <row r="69" spans="5:22" ht="19.2" customHeight="1" x14ac:dyDescent="0.3">
      <c r="U69" s="10" t="str">
        <f>IF(ISBLANK(PARAMETROS!$C$181),"",PARAMETROS!$C$181)</f>
        <v>Estonia</v>
      </c>
      <c r="V69" s="11" t="s">
        <v>1036</v>
      </c>
    </row>
    <row r="70" spans="5:22" ht="19.2" customHeight="1" x14ac:dyDescent="0.3">
      <c r="U70" s="10" t="str">
        <f>IF(ISBLANK(PARAMETROS!$C$182),"",PARAMETROS!$C$182)</f>
        <v>Esuatini</v>
      </c>
      <c r="V70" s="11" t="s">
        <v>1037</v>
      </c>
    </row>
    <row r="71" spans="5:22" ht="19.2" customHeight="1" x14ac:dyDescent="0.3">
      <c r="U71" s="10" t="str">
        <f>IF(ISBLANK(PARAMETROS!$C$183),"",PARAMETROS!$C$183)</f>
        <v>Etiopía</v>
      </c>
      <c r="V71" s="11" t="s">
        <v>1038</v>
      </c>
    </row>
    <row r="72" spans="5:22" ht="19.2" customHeight="1" x14ac:dyDescent="0.3">
      <c r="U72" s="10" t="str">
        <f>IF(ISBLANK(PARAMETROS!$C$184),"",PARAMETROS!$C$184)</f>
        <v>Filipinas</v>
      </c>
      <c r="V72" s="11" t="s">
        <v>1039</v>
      </c>
    </row>
    <row r="73" spans="5:22" ht="19.2" customHeight="1" x14ac:dyDescent="0.3">
      <c r="U73" s="10" t="str">
        <f>IF(ISBLANK(PARAMETROS!$C$185),"",PARAMETROS!$C$185)</f>
        <v>Finlandia</v>
      </c>
      <c r="V73" s="11" t="s">
        <v>1040</v>
      </c>
    </row>
    <row r="74" spans="5:22" ht="19.2" customHeight="1" x14ac:dyDescent="0.3">
      <c r="U74" s="10" t="str">
        <f>IF(ISBLANK(PARAMETROS!$C$186),"",PARAMETROS!$C$186)</f>
        <v>Fiyi</v>
      </c>
      <c r="V74" s="11" t="s">
        <v>1041</v>
      </c>
    </row>
    <row r="75" spans="5:22" ht="19.2" customHeight="1" x14ac:dyDescent="0.3">
      <c r="U75" s="10" t="str">
        <f>IF(ISBLANK(PARAMETROS!$C$187),"",PARAMETROS!$C$187)</f>
        <v>Francia</v>
      </c>
      <c r="V75" s="11" t="s">
        <v>1042</v>
      </c>
    </row>
    <row r="76" spans="5:22" ht="19.2" customHeight="1" x14ac:dyDescent="0.3">
      <c r="U76" s="10" t="str">
        <f>IF(ISBLANK(PARAMETROS!$C$188),"",PARAMETROS!$C$188)</f>
        <v>Gabón</v>
      </c>
      <c r="V76" s="11" t="s">
        <v>1043</v>
      </c>
    </row>
    <row r="77" spans="5:22" ht="19.2" customHeight="1" x14ac:dyDescent="0.3">
      <c r="U77" s="10" t="str">
        <f>IF(ISBLANK(PARAMETROS!$C$189),"",PARAMETROS!$C$189)</f>
        <v>Gambia</v>
      </c>
      <c r="V77" s="11" t="s">
        <v>1044</v>
      </c>
    </row>
    <row r="78" spans="5:22" ht="19.2" customHeight="1" x14ac:dyDescent="0.3">
      <c r="U78" s="10" t="str">
        <f>IF(ISBLANK(PARAMETROS!$C$190),"",PARAMETROS!$C$190)</f>
        <v>Georgia</v>
      </c>
      <c r="V78" s="11" t="s">
        <v>1045</v>
      </c>
    </row>
    <row r="79" spans="5:22" ht="19.2" customHeight="1" x14ac:dyDescent="0.3">
      <c r="U79" s="10" t="str">
        <f>IF(ISBLANK(PARAMETROS!$C$191),"",PARAMETROS!$C$191)</f>
        <v>Ghana</v>
      </c>
      <c r="V79" s="11" t="s">
        <v>1046</v>
      </c>
    </row>
    <row r="80" spans="5:22" ht="19.2" customHeight="1" x14ac:dyDescent="0.3">
      <c r="U80" s="10" t="str">
        <f>IF(ISBLANK(PARAMETROS!$C$192),"",PARAMETROS!$C$192)</f>
        <v>Gibraltar</v>
      </c>
      <c r="V80" s="11" t="s">
        <v>1047</v>
      </c>
    </row>
    <row r="81" spans="21:22" ht="19.2" customHeight="1" x14ac:dyDescent="0.3">
      <c r="U81" s="10" t="str">
        <f>IF(ISBLANK(PARAMETROS!$C$193),"",PARAMETROS!$C$193)</f>
        <v>Granada</v>
      </c>
      <c r="V81" s="11" t="s">
        <v>1048</v>
      </c>
    </row>
    <row r="82" spans="21:22" ht="19.2" customHeight="1" x14ac:dyDescent="0.3">
      <c r="U82" s="10" t="str">
        <f>IF(ISBLANK(PARAMETROS!$C$194),"",PARAMETROS!$C$194)</f>
        <v>Grecia</v>
      </c>
      <c r="V82" s="11" t="s">
        <v>1049</v>
      </c>
    </row>
    <row r="83" spans="21:22" ht="19.2" customHeight="1" x14ac:dyDescent="0.3">
      <c r="U83" s="10" t="str">
        <f>IF(ISBLANK(PARAMETROS!$C$195),"",PARAMETROS!$C$195)</f>
        <v>Groenlandia</v>
      </c>
      <c r="V83" s="11" t="s">
        <v>1050</v>
      </c>
    </row>
    <row r="84" spans="21:22" ht="19.2" customHeight="1" x14ac:dyDescent="0.3">
      <c r="U84" s="10" t="str">
        <f>IF(ISBLANK(PARAMETROS!$C$196),"",PARAMETROS!$C$196)</f>
        <v>Guadalupe</v>
      </c>
      <c r="V84" s="11" t="s">
        <v>1051</v>
      </c>
    </row>
    <row r="85" spans="21:22" ht="19.2" customHeight="1" x14ac:dyDescent="0.3">
      <c r="U85" s="10" t="str">
        <f>IF(ISBLANK(PARAMETROS!$C$197),"",PARAMETROS!$C$197)</f>
        <v>Guam</v>
      </c>
      <c r="V85" s="11" t="s">
        <v>1052</v>
      </c>
    </row>
    <row r="86" spans="21:22" ht="19.2" customHeight="1" x14ac:dyDescent="0.3">
      <c r="U86" s="10" t="str">
        <f>IF(ISBLANK(PARAMETROS!$C$198),"",PARAMETROS!$C$198)</f>
        <v>Guatemala</v>
      </c>
      <c r="V86" s="11" t="s">
        <v>1053</v>
      </c>
    </row>
    <row r="87" spans="21:22" ht="19.2" customHeight="1" x14ac:dyDescent="0.3">
      <c r="U87" s="10" t="str">
        <f>IF(ISBLANK(PARAMETROS!$C$199),"",PARAMETROS!$C$199)</f>
        <v>Guayana Francesa</v>
      </c>
      <c r="V87" s="11" t="s">
        <v>1054</v>
      </c>
    </row>
    <row r="88" spans="21:22" ht="19.2" customHeight="1" x14ac:dyDescent="0.3">
      <c r="U88" s="10" t="str">
        <f>IF(ISBLANK(PARAMETROS!$C$200),"",PARAMETROS!$C$200)</f>
        <v>Guernesey</v>
      </c>
      <c r="V88" s="11" t="s">
        <v>1055</v>
      </c>
    </row>
    <row r="89" spans="21:22" ht="19.2" customHeight="1" x14ac:dyDescent="0.3">
      <c r="U89" s="10" t="str">
        <f>IF(ISBLANK(PARAMETROS!$C$201),"",PARAMETROS!$C$201)</f>
        <v>Guinea</v>
      </c>
      <c r="V89" s="11" t="s">
        <v>1056</v>
      </c>
    </row>
    <row r="90" spans="21:22" ht="19.2" customHeight="1" x14ac:dyDescent="0.3">
      <c r="U90" s="10" t="str">
        <f>IF(ISBLANK(PARAMETROS!$C$202),"",PARAMETROS!$C$202)</f>
        <v>Guinea Ecuatorial</v>
      </c>
      <c r="V90" s="11" t="s">
        <v>1057</v>
      </c>
    </row>
    <row r="91" spans="21:22" ht="19.2" customHeight="1" x14ac:dyDescent="0.3">
      <c r="U91" s="10" t="str">
        <f>IF(ISBLANK(PARAMETROS!$C$203),"",PARAMETROS!$C$203)</f>
        <v>Guinea-Bisáu</v>
      </c>
      <c r="V91" s="11" t="s">
        <v>1058</v>
      </c>
    </row>
    <row r="92" spans="21:22" ht="19.2" customHeight="1" x14ac:dyDescent="0.3">
      <c r="U92" s="10" t="str">
        <f>IF(ISBLANK(PARAMETROS!$C$204),"",PARAMETROS!$C$204)</f>
        <v>Guyana</v>
      </c>
      <c r="V92" s="11" t="s">
        <v>1059</v>
      </c>
    </row>
    <row r="93" spans="21:22" ht="19.2" customHeight="1" x14ac:dyDescent="0.3">
      <c r="U93" s="10" t="str">
        <f>IF(ISBLANK(PARAMETROS!$C$205),"",PARAMETROS!$C$205)</f>
        <v>Haití</v>
      </c>
      <c r="V93" s="11" t="s">
        <v>1060</v>
      </c>
    </row>
    <row r="94" spans="21:22" ht="19.2" customHeight="1" x14ac:dyDescent="0.3">
      <c r="U94" s="10" t="str">
        <f>IF(ISBLANK(PARAMETROS!$C$206),"",PARAMETROS!$C$206)</f>
        <v>Honduras</v>
      </c>
      <c r="V94" s="11" t="s">
        <v>1061</v>
      </c>
    </row>
    <row r="95" spans="21:22" ht="19.2" customHeight="1" x14ac:dyDescent="0.3">
      <c r="U95" s="10" t="str">
        <f>IF(ISBLANK(PARAMETROS!$C$207),"",PARAMETROS!$C$207)</f>
        <v>Hungría</v>
      </c>
      <c r="V95" s="11" t="s">
        <v>1062</v>
      </c>
    </row>
    <row r="96" spans="21:22" ht="19.2" customHeight="1" x14ac:dyDescent="0.3">
      <c r="U96" s="10" t="str">
        <f>IF(ISBLANK(PARAMETROS!$C$208),"",PARAMETROS!$C$208)</f>
        <v>India</v>
      </c>
      <c r="V96" s="11" t="s">
        <v>1063</v>
      </c>
    </row>
    <row r="97" spans="21:22" ht="19.2" customHeight="1" x14ac:dyDescent="0.3">
      <c r="U97" s="10" t="str">
        <f>IF(ISBLANK(PARAMETROS!$C$209),"",PARAMETROS!$C$209)</f>
        <v>Indonesia</v>
      </c>
      <c r="V97" s="11" t="s">
        <v>1064</v>
      </c>
    </row>
    <row r="98" spans="21:22" ht="19.2" customHeight="1" x14ac:dyDescent="0.3">
      <c r="U98" s="10" t="str">
        <f>IF(ISBLANK(PARAMETROS!$C$210),"",PARAMETROS!$C$210)</f>
        <v>Irak</v>
      </c>
      <c r="V98" s="11" t="s">
        <v>1065</v>
      </c>
    </row>
    <row r="99" spans="21:22" ht="19.2" customHeight="1" x14ac:dyDescent="0.3">
      <c r="U99" s="10" t="str">
        <f>IF(ISBLANK(PARAMETROS!$C$211),"",PARAMETROS!$C$211)</f>
        <v>Irán</v>
      </c>
      <c r="V99" s="11" t="s">
        <v>1066</v>
      </c>
    </row>
    <row r="100" spans="21:22" ht="19.2" customHeight="1" x14ac:dyDescent="0.3">
      <c r="U100" s="10" t="str">
        <f>IF(ISBLANK(PARAMETROS!$C$212),"",PARAMETROS!$C$212)</f>
        <v>Irlanda</v>
      </c>
      <c r="V100" s="11" t="s">
        <v>1067</v>
      </c>
    </row>
    <row r="101" spans="21:22" ht="19.2" customHeight="1" x14ac:dyDescent="0.3">
      <c r="U101" s="10" t="str">
        <f>IF(ISBLANK(PARAMETROS!$C$213),"",PARAMETROS!$C$213)</f>
        <v>Isla Bouvet</v>
      </c>
      <c r="V101" s="11" t="s">
        <v>1068</v>
      </c>
    </row>
    <row r="102" spans="21:22" ht="19.2" customHeight="1" x14ac:dyDescent="0.3">
      <c r="U102" s="10" t="str">
        <f>IF(ISBLANK(PARAMETROS!$C$214),"",PARAMETROS!$C$214)</f>
        <v>Isla de Man</v>
      </c>
      <c r="V102" s="11" t="s">
        <v>1069</v>
      </c>
    </row>
    <row r="103" spans="21:22" ht="19.2" customHeight="1" x14ac:dyDescent="0.3">
      <c r="U103" s="10" t="str">
        <f>IF(ISBLANK(PARAMETROS!$C$215),"",PARAMETROS!$C$215)</f>
        <v>Isla de Navidad</v>
      </c>
      <c r="V103" s="11" t="s">
        <v>1070</v>
      </c>
    </row>
    <row r="104" spans="21:22" ht="19.2" customHeight="1" x14ac:dyDescent="0.3">
      <c r="U104" s="10" t="str">
        <f>IF(ISBLANK(PARAMETROS!$C$216),"",PARAMETROS!$C$216)</f>
        <v>Isla Norfolk</v>
      </c>
      <c r="V104" s="11" t="s">
        <v>1071</v>
      </c>
    </row>
    <row r="105" spans="21:22" ht="19.2" customHeight="1" x14ac:dyDescent="0.3">
      <c r="U105" s="10" t="str">
        <f>IF(ISBLANK(PARAMETROS!$C$217),"",PARAMETROS!$C$217)</f>
        <v>Islandia</v>
      </c>
      <c r="V105" s="11" t="s">
        <v>1072</v>
      </c>
    </row>
    <row r="106" spans="21:22" ht="19.2" customHeight="1" x14ac:dyDescent="0.3">
      <c r="U106" s="10" t="str">
        <f>IF(ISBLANK(PARAMETROS!$C$218),"",PARAMETROS!$C$218)</f>
        <v>Islas Åland</v>
      </c>
      <c r="V106" s="11" t="s">
        <v>1073</v>
      </c>
    </row>
    <row r="107" spans="21:22" ht="19.2" customHeight="1" x14ac:dyDescent="0.3">
      <c r="U107" s="10" t="str">
        <f>IF(ISBLANK(PARAMETROS!$C$219),"",PARAMETROS!$C$219)</f>
        <v>Islas Caimán</v>
      </c>
      <c r="V107" s="11" t="s">
        <v>1074</v>
      </c>
    </row>
    <row r="108" spans="21:22" ht="19.2" customHeight="1" x14ac:dyDescent="0.3">
      <c r="U108" s="10" t="str">
        <f>IF(ISBLANK(PARAMETROS!$C$220),"",PARAMETROS!$C$220)</f>
        <v>Islas Cocos</v>
      </c>
      <c r="V108" s="11" t="s">
        <v>1075</v>
      </c>
    </row>
    <row r="109" spans="21:22" ht="19.2" customHeight="1" x14ac:dyDescent="0.3">
      <c r="U109" s="10" t="str">
        <f>IF(ISBLANK(PARAMETROS!$C$221),"",PARAMETROS!$C$221)</f>
        <v>Islas Cook</v>
      </c>
      <c r="V109" s="11" t="s">
        <v>1076</v>
      </c>
    </row>
    <row r="110" spans="21:22" ht="19.2" customHeight="1" x14ac:dyDescent="0.3">
      <c r="U110" s="10" t="str">
        <f>IF(ISBLANK(PARAMETROS!$C$222),"",PARAMETROS!$C$222)</f>
        <v>Islas Feroe</v>
      </c>
      <c r="V110" s="11" t="s">
        <v>1077</v>
      </c>
    </row>
    <row r="111" spans="21:22" ht="19.2" customHeight="1" x14ac:dyDescent="0.3">
      <c r="U111" s="10" t="str">
        <f>IF(ISBLANK(PARAMETROS!$C$223),"",PARAMETROS!$C$223)</f>
        <v>Islas Georgia del Sur y Sándwich del Sur</v>
      </c>
      <c r="V111" s="11" t="s">
        <v>1078</v>
      </c>
    </row>
    <row r="112" spans="21:22" ht="19.2" customHeight="1" x14ac:dyDescent="0.3">
      <c r="U112" s="10" t="str">
        <f>IF(ISBLANK(PARAMETROS!$C$224),"",PARAMETROS!$C$224)</f>
        <v>Islas Heard y McDonald</v>
      </c>
      <c r="V112" s="11" t="s">
        <v>1079</v>
      </c>
    </row>
    <row r="113" spans="21:22" ht="19.2" customHeight="1" x14ac:dyDescent="0.3">
      <c r="U113" s="10" t="str">
        <f>IF(ISBLANK(PARAMETROS!$C$225),"",PARAMETROS!$C$225)</f>
        <v>Islas Malvinas</v>
      </c>
      <c r="V113" s="11" t="s">
        <v>1080</v>
      </c>
    </row>
    <row r="114" spans="21:22" ht="19.2" customHeight="1" x14ac:dyDescent="0.3">
      <c r="U114" s="10" t="str">
        <f>IF(ISBLANK(PARAMETROS!$C$226),"",PARAMETROS!$C$226)</f>
        <v>Islas Marianas del Norte</v>
      </c>
      <c r="V114" s="11" t="s">
        <v>1081</v>
      </c>
    </row>
    <row r="115" spans="21:22" ht="19.2" customHeight="1" x14ac:dyDescent="0.3">
      <c r="U115" s="10" t="str">
        <f>IF(ISBLANK(PARAMETROS!$C$227),"",PARAMETROS!$C$227)</f>
        <v>Islas Marshall</v>
      </c>
      <c r="V115" s="11" t="s">
        <v>1082</v>
      </c>
    </row>
    <row r="116" spans="21:22" ht="19.2" customHeight="1" x14ac:dyDescent="0.3">
      <c r="U116" s="10" t="str">
        <f>IF(ISBLANK(PARAMETROS!$C$228),"",PARAMETROS!$C$228)</f>
        <v>Islas Pitcairn</v>
      </c>
      <c r="V116" s="11" t="s">
        <v>1083</v>
      </c>
    </row>
    <row r="117" spans="21:22" ht="19.2" customHeight="1" x14ac:dyDescent="0.3">
      <c r="U117" s="10" t="str">
        <f>IF(ISBLANK(PARAMETROS!$C$229),"",PARAMETROS!$C$229)</f>
        <v>Islas Salomón</v>
      </c>
      <c r="V117" s="11" t="s">
        <v>1084</v>
      </c>
    </row>
    <row r="118" spans="21:22" ht="19.2" customHeight="1" x14ac:dyDescent="0.3">
      <c r="U118" s="10" t="str">
        <f>IF(ISBLANK(PARAMETROS!$C$230),"",PARAMETROS!$C$230)</f>
        <v>Islas Turcas y Caicos</v>
      </c>
      <c r="V118" s="11" t="s">
        <v>1085</v>
      </c>
    </row>
    <row r="119" spans="21:22" ht="19.2" customHeight="1" x14ac:dyDescent="0.3">
      <c r="U119" s="10" t="str">
        <f>IF(ISBLANK(PARAMETROS!$C$231),"",PARAMETROS!$C$231)</f>
        <v>Islas Ultramarinas de EE.UU.</v>
      </c>
      <c r="V119" s="11" t="s">
        <v>1086</v>
      </c>
    </row>
    <row r="120" spans="21:22" ht="19.2" customHeight="1" x14ac:dyDescent="0.3">
      <c r="U120" s="10" t="str">
        <f>IF(ISBLANK(PARAMETROS!$C$232),"",PARAMETROS!$C$232)</f>
        <v>Islas Vírgenes Británicas</v>
      </c>
      <c r="V120" s="11" t="s">
        <v>1087</v>
      </c>
    </row>
    <row r="121" spans="21:22" ht="19.2" customHeight="1" x14ac:dyDescent="0.3">
      <c r="U121" s="10" t="str">
        <f>IF(ISBLANK(PARAMETROS!$C$233),"",PARAMETROS!$C$233)</f>
        <v>Islas Vírgenes de EE. UU.</v>
      </c>
      <c r="V121" s="11" t="s">
        <v>1088</v>
      </c>
    </row>
    <row r="122" spans="21:22" ht="19.2" customHeight="1" x14ac:dyDescent="0.3">
      <c r="U122" s="10" t="str">
        <f>IF(ISBLANK(PARAMETROS!$C$234),"",PARAMETROS!$C$234)</f>
        <v>Israel</v>
      </c>
      <c r="V122" s="11" t="s">
        <v>1089</v>
      </c>
    </row>
    <row r="123" spans="21:22" ht="19.2" customHeight="1" x14ac:dyDescent="0.3">
      <c r="U123" s="10" t="str">
        <f>IF(ISBLANK(PARAMETROS!$C$235),"",PARAMETROS!$C$235)</f>
        <v>Italia</v>
      </c>
      <c r="V123" s="11" t="s">
        <v>1090</v>
      </c>
    </row>
    <row r="124" spans="21:22" ht="19.2" customHeight="1" x14ac:dyDescent="0.3">
      <c r="U124" s="10" t="str">
        <f>IF(ISBLANK(PARAMETROS!$C$236),"",PARAMETROS!$C$236)</f>
        <v>Jamaica</v>
      </c>
      <c r="V124" s="11" t="s">
        <v>1091</v>
      </c>
    </row>
    <row r="125" spans="21:22" ht="19.2" customHeight="1" x14ac:dyDescent="0.3">
      <c r="U125" s="10" t="str">
        <f>IF(ISBLANK(PARAMETROS!$C$237),"",PARAMETROS!$C$237)</f>
        <v>Japón</v>
      </c>
      <c r="V125" s="11" t="s">
        <v>1092</v>
      </c>
    </row>
    <row r="126" spans="21:22" ht="19.2" customHeight="1" x14ac:dyDescent="0.3">
      <c r="U126" s="10" t="str">
        <f>IF(ISBLANK(PARAMETROS!$C$238),"",PARAMETROS!$C$238)</f>
        <v>Jersey</v>
      </c>
      <c r="V126" s="11" t="s">
        <v>1093</v>
      </c>
    </row>
    <row r="127" spans="21:22" ht="19.2" customHeight="1" x14ac:dyDescent="0.3">
      <c r="U127" s="10" t="str">
        <f>IF(ISBLANK(PARAMETROS!$C$239),"",PARAMETROS!$C$239)</f>
        <v>Jordania</v>
      </c>
      <c r="V127" s="11" t="s">
        <v>1094</v>
      </c>
    </row>
    <row r="128" spans="21:22" ht="19.2" customHeight="1" x14ac:dyDescent="0.3">
      <c r="U128" s="10" t="str">
        <f>IF(ISBLANK(PARAMETROS!$C$240),"",PARAMETROS!$C$240)</f>
        <v>Kazajistán</v>
      </c>
      <c r="V128" s="11" t="s">
        <v>1095</v>
      </c>
    </row>
    <row r="129" spans="21:22" ht="19.2" customHeight="1" x14ac:dyDescent="0.3">
      <c r="U129" s="10" t="str">
        <f>IF(ISBLANK(PARAMETROS!$C$241),"",PARAMETROS!$C$241)</f>
        <v>Kenia</v>
      </c>
      <c r="V129" s="11" t="s">
        <v>1096</v>
      </c>
    </row>
    <row r="130" spans="21:22" ht="19.2" customHeight="1" x14ac:dyDescent="0.3">
      <c r="U130" s="10" t="str">
        <f>IF(ISBLANK(PARAMETROS!$C$242),"",PARAMETROS!$C$242)</f>
        <v>Kirguistán</v>
      </c>
      <c r="V130" s="11" t="s">
        <v>1097</v>
      </c>
    </row>
    <row r="131" spans="21:22" ht="19.2" customHeight="1" x14ac:dyDescent="0.3">
      <c r="U131" s="10" t="str">
        <f>IF(ISBLANK(PARAMETROS!$C$243),"",PARAMETROS!$C$243)</f>
        <v>Kiribati</v>
      </c>
      <c r="V131" s="11" t="s">
        <v>1098</v>
      </c>
    </row>
    <row r="132" spans="21:22" ht="19.2" customHeight="1" x14ac:dyDescent="0.3">
      <c r="U132" s="10" t="str">
        <f>IF(ISBLANK(PARAMETROS!$C$244),"",PARAMETROS!$C$244)</f>
        <v>Kuwait</v>
      </c>
      <c r="V132" s="11" t="s">
        <v>1099</v>
      </c>
    </row>
    <row r="133" spans="21:22" ht="19.2" customHeight="1" x14ac:dyDescent="0.3">
      <c r="U133" s="10" t="str">
        <f>IF(ISBLANK(PARAMETROS!$C$245),"",PARAMETROS!$C$245)</f>
        <v>Laos</v>
      </c>
      <c r="V133" s="11" t="s">
        <v>1100</v>
      </c>
    </row>
    <row r="134" spans="21:22" ht="19.2" customHeight="1" x14ac:dyDescent="0.3">
      <c r="U134" s="10" t="str">
        <f>IF(ISBLANK(PARAMETROS!$C$246),"",PARAMETROS!$C$246)</f>
        <v>Lesoto</v>
      </c>
      <c r="V134" s="11" t="s">
        <v>1101</v>
      </c>
    </row>
    <row r="135" spans="21:22" ht="19.2" customHeight="1" x14ac:dyDescent="0.3">
      <c r="U135" s="10" t="str">
        <f>IF(ISBLANK(PARAMETROS!$C$247),"",PARAMETROS!$C$247)</f>
        <v>Letonia</v>
      </c>
      <c r="V135" s="11" t="s">
        <v>1102</v>
      </c>
    </row>
    <row r="136" spans="21:22" ht="19.2" customHeight="1" x14ac:dyDescent="0.3">
      <c r="U136" s="10" t="str">
        <f>IF(ISBLANK(PARAMETROS!$C$248),"",PARAMETROS!$C$248)</f>
        <v>Líbano</v>
      </c>
      <c r="V136" s="11" t="s">
        <v>1103</v>
      </c>
    </row>
    <row r="137" spans="21:22" ht="19.2" customHeight="1" x14ac:dyDescent="0.3">
      <c r="U137" s="10" t="str">
        <f>IF(ISBLANK(PARAMETROS!$C$249),"",PARAMETROS!$C$249)</f>
        <v>Liberia</v>
      </c>
      <c r="V137" s="11" t="s">
        <v>1104</v>
      </c>
    </row>
    <row r="138" spans="21:22" ht="19.2" customHeight="1" x14ac:dyDescent="0.3">
      <c r="U138" s="10" t="str">
        <f>IF(ISBLANK(PARAMETROS!$C$250),"",PARAMETROS!$C$250)</f>
        <v>Libia</v>
      </c>
      <c r="V138" s="11" t="s">
        <v>1105</v>
      </c>
    </row>
    <row r="139" spans="21:22" ht="19.2" customHeight="1" x14ac:dyDescent="0.3">
      <c r="U139" s="10" t="str">
        <f>IF(ISBLANK(PARAMETROS!$C$251),"",PARAMETROS!$C$251)</f>
        <v>Liechtenstein</v>
      </c>
      <c r="V139" s="11" t="s">
        <v>1106</v>
      </c>
    </row>
    <row r="140" spans="21:22" ht="19.2" customHeight="1" x14ac:dyDescent="0.3">
      <c r="U140" s="10" t="str">
        <f>IF(ISBLANK(PARAMETROS!$C$252),"",PARAMETROS!$C$252)</f>
        <v>Lituania</v>
      </c>
      <c r="V140" s="11" t="s">
        <v>1107</v>
      </c>
    </row>
    <row r="141" spans="21:22" ht="19.2" customHeight="1" x14ac:dyDescent="0.3">
      <c r="U141" s="10" t="str">
        <f>IF(ISBLANK(PARAMETROS!$C$253),"",PARAMETROS!$C$253)</f>
        <v>Luxemburgo</v>
      </c>
      <c r="V141" s="11" t="s">
        <v>1108</v>
      </c>
    </row>
    <row r="142" spans="21:22" ht="19.2" customHeight="1" x14ac:dyDescent="0.3">
      <c r="U142" s="10" t="str">
        <f>IF(ISBLANK(PARAMETROS!$C$254),"",PARAMETROS!$C$254)</f>
        <v>Macedonia del Norte</v>
      </c>
      <c r="V142" s="11" t="s">
        <v>1109</v>
      </c>
    </row>
    <row r="143" spans="21:22" ht="19.2" customHeight="1" x14ac:dyDescent="0.3">
      <c r="U143" s="10" t="str">
        <f>IF(ISBLANK(PARAMETROS!$C$255),"",PARAMETROS!$C$255)</f>
        <v>Madagascar</v>
      </c>
      <c r="V143" s="11" t="s">
        <v>1110</v>
      </c>
    </row>
    <row r="144" spans="21:22" ht="19.2" customHeight="1" x14ac:dyDescent="0.3">
      <c r="U144" s="10" t="str">
        <f>IF(ISBLANK(PARAMETROS!$C$256),"",PARAMETROS!$C$256)</f>
        <v>Malasia</v>
      </c>
      <c r="V144" s="11" t="s">
        <v>1111</v>
      </c>
    </row>
    <row r="145" spans="21:22" ht="19.2" customHeight="1" x14ac:dyDescent="0.3">
      <c r="U145" s="10" t="str">
        <f>IF(ISBLANK(PARAMETROS!$C$257),"",PARAMETROS!$C$257)</f>
        <v>Malaui</v>
      </c>
      <c r="V145" s="11" t="s">
        <v>1112</v>
      </c>
    </row>
    <row r="146" spans="21:22" ht="19.2" customHeight="1" x14ac:dyDescent="0.3">
      <c r="U146" s="10" t="str">
        <f>IF(ISBLANK(PARAMETROS!$C$258),"",PARAMETROS!$C$258)</f>
        <v>Maldivas</v>
      </c>
      <c r="V146" s="11" t="s">
        <v>1113</v>
      </c>
    </row>
    <row r="147" spans="21:22" ht="19.2" customHeight="1" x14ac:dyDescent="0.3">
      <c r="U147" s="10" t="str">
        <f>IF(ISBLANK(PARAMETROS!$C$259),"",PARAMETROS!$C$259)</f>
        <v>Mali</v>
      </c>
      <c r="V147" s="11" t="s">
        <v>1114</v>
      </c>
    </row>
    <row r="148" spans="21:22" ht="19.2" customHeight="1" x14ac:dyDescent="0.3">
      <c r="U148" s="10" t="str">
        <f>IF(ISBLANK(PARAMETROS!$C$260),"",PARAMETROS!$C$260)</f>
        <v>Malta</v>
      </c>
      <c r="V148" s="11" t="s">
        <v>1115</v>
      </c>
    </row>
    <row r="149" spans="21:22" ht="19.2" customHeight="1" x14ac:dyDescent="0.3">
      <c r="U149" s="10" t="str">
        <f>IF(ISBLANK(PARAMETROS!$C$261),"",PARAMETROS!$C$261)</f>
        <v>Marruecos</v>
      </c>
      <c r="V149" s="11" t="s">
        <v>1116</v>
      </c>
    </row>
    <row r="150" spans="21:22" ht="19.2" customHeight="1" x14ac:dyDescent="0.3">
      <c r="U150" s="10" t="str">
        <f>IF(ISBLANK(PARAMETROS!$C$262),"",PARAMETROS!$C$262)</f>
        <v>Martinica</v>
      </c>
      <c r="V150" s="11" t="s">
        <v>1117</v>
      </c>
    </row>
    <row r="151" spans="21:22" ht="19.2" customHeight="1" x14ac:dyDescent="0.3">
      <c r="U151" s="10" t="str">
        <f>IF(ISBLANK(PARAMETROS!$C$263),"",PARAMETROS!$C$263)</f>
        <v>Mauricio</v>
      </c>
      <c r="V151" s="11" t="s">
        <v>1118</v>
      </c>
    </row>
    <row r="152" spans="21:22" ht="19.2" customHeight="1" x14ac:dyDescent="0.3">
      <c r="U152" s="10" t="str">
        <f>IF(ISBLANK(PARAMETROS!$C$264),"",PARAMETROS!$C$264)</f>
        <v>Mauritania</v>
      </c>
      <c r="V152" s="11" t="s">
        <v>1119</v>
      </c>
    </row>
    <row r="153" spans="21:22" ht="19.2" customHeight="1" x14ac:dyDescent="0.3">
      <c r="U153" s="10" t="str">
        <f>IF(ISBLANK(PARAMETROS!$C$265),"",PARAMETROS!$C$265)</f>
        <v>Mayotte</v>
      </c>
      <c r="V153" s="11" t="s">
        <v>1120</v>
      </c>
    </row>
    <row r="154" spans="21:22" ht="19.2" customHeight="1" x14ac:dyDescent="0.3">
      <c r="U154" s="10" t="str">
        <f>IF(ISBLANK(PARAMETROS!$C$266),"",PARAMETROS!$C$266)</f>
        <v>México</v>
      </c>
      <c r="V154" s="11" t="s">
        <v>1121</v>
      </c>
    </row>
    <row r="155" spans="21:22" ht="19.2" customHeight="1" x14ac:dyDescent="0.3">
      <c r="U155" s="10" t="str">
        <f>IF(ISBLANK(PARAMETROS!$C$267),"",PARAMETROS!$C$267)</f>
        <v>Micronesia</v>
      </c>
      <c r="V155" s="11" t="s">
        <v>1122</v>
      </c>
    </row>
    <row r="156" spans="21:22" ht="19.2" customHeight="1" x14ac:dyDescent="0.3">
      <c r="U156" s="10" t="str">
        <f>IF(ISBLANK(PARAMETROS!$C$268),"",PARAMETROS!$C$268)</f>
        <v>Moldavia</v>
      </c>
      <c r="V156" s="11" t="s">
        <v>1123</v>
      </c>
    </row>
    <row r="157" spans="21:22" ht="19.2" customHeight="1" x14ac:dyDescent="0.3">
      <c r="U157" s="10" t="str">
        <f>IF(ISBLANK(PARAMETROS!$C$269),"",PARAMETROS!$C$269)</f>
        <v>Mónaco</v>
      </c>
      <c r="V157" s="11" t="s">
        <v>1124</v>
      </c>
    </row>
    <row r="158" spans="21:22" ht="19.2" customHeight="1" x14ac:dyDescent="0.3">
      <c r="U158" s="10" t="str">
        <f>IF(ISBLANK(PARAMETROS!$C$270),"",PARAMETROS!$C$270)</f>
        <v>Mongolia</v>
      </c>
      <c r="V158" s="11" t="s">
        <v>1125</v>
      </c>
    </row>
    <row r="159" spans="21:22" ht="19.2" customHeight="1" x14ac:dyDescent="0.3">
      <c r="U159" s="10" t="str">
        <f>IF(ISBLANK(PARAMETROS!$C$271),"",PARAMETROS!$C$271)</f>
        <v>Montenegro</v>
      </c>
      <c r="V159" s="11" t="s">
        <v>1126</v>
      </c>
    </row>
    <row r="160" spans="21:22" ht="19.2" customHeight="1" x14ac:dyDescent="0.3">
      <c r="U160" s="10" t="str">
        <f>IF(ISBLANK(PARAMETROS!$C$272),"",PARAMETROS!$C$272)</f>
        <v>Montserrat</v>
      </c>
      <c r="V160" s="11" t="s">
        <v>1127</v>
      </c>
    </row>
    <row r="161" spans="21:22" ht="19.2" customHeight="1" x14ac:dyDescent="0.3">
      <c r="U161" s="10" t="str">
        <f>IF(ISBLANK(PARAMETROS!$C$273),"",PARAMETROS!$C$273)</f>
        <v>Mozambique</v>
      </c>
      <c r="V161" s="11" t="s">
        <v>1128</v>
      </c>
    </row>
    <row r="162" spans="21:22" ht="19.2" customHeight="1" x14ac:dyDescent="0.3">
      <c r="U162" s="10" t="str">
        <f>IF(ISBLANK(PARAMETROS!$C$274),"",PARAMETROS!$C$274)</f>
        <v>Myanmar (Birmania)</v>
      </c>
      <c r="V162" s="11" t="s">
        <v>1129</v>
      </c>
    </row>
    <row r="163" spans="21:22" ht="19.2" customHeight="1" x14ac:dyDescent="0.3">
      <c r="U163" s="10" t="str">
        <f>IF(ISBLANK(PARAMETROS!$C$275),"",PARAMETROS!$C$275)</f>
        <v>Namibia</v>
      </c>
      <c r="V163" s="11" t="s">
        <v>1130</v>
      </c>
    </row>
    <row r="164" spans="21:22" ht="19.2" customHeight="1" x14ac:dyDescent="0.3">
      <c r="U164" s="10" t="str">
        <f>IF(ISBLANK(PARAMETROS!$C$276),"",PARAMETROS!$C$276)</f>
        <v>Nauru</v>
      </c>
      <c r="V164" s="11" t="s">
        <v>1131</v>
      </c>
    </row>
    <row r="165" spans="21:22" ht="19.2" customHeight="1" x14ac:dyDescent="0.3">
      <c r="U165" s="10" t="str">
        <f>IF(ISBLANK(PARAMETROS!$C$277),"",PARAMETROS!$C$277)</f>
        <v>Nepal</v>
      </c>
      <c r="V165" s="11" t="s">
        <v>1132</v>
      </c>
    </row>
    <row r="166" spans="21:22" ht="19.2" customHeight="1" x14ac:dyDescent="0.3">
      <c r="U166" s="10" t="str">
        <f>IF(ISBLANK(PARAMETROS!$C$278),"",PARAMETROS!$C$278)</f>
        <v>Nicaragua</v>
      </c>
      <c r="V166" s="11" t="s">
        <v>1133</v>
      </c>
    </row>
    <row r="167" spans="21:22" ht="19.2" customHeight="1" x14ac:dyDescent="0.3">
      <c r="U167" s="10" t="str">
        <f>IF(ISBLANK(PARAMETROS!$C$279),"",PARAMETROS!$C$279)</f>
        <v>Níger</v>
      </c>
      <c r="V167" s="11" t="s">
        <v>1134</v>
      </c>
    </row>
    <row r="168" spans="21:22" ht="19.2" customHeight="1" x14ac:dyDescent="0.3">
      <c r="U168" s="10" t="str">
        <f>IF(ISBLANK(PARAMETROS!$C$280),"",PARAMETROS!$C$280)</f>
        <v>Nigeria</v>
      </c>
      <c r="V168" s="11" t="s">
        <v>1135</v>
      </c>
    </row>
    <row r="169" spans="21:22" ht="19.2" customHeight="1" x14ac:dyDescent="0.3">
      <c r="U169" s="10" t="str">
        <f>IF(ISBLANK(PARAMETROS!$C$281),"",PARAMETROS!$C$281)</f>
        <v>Niue</v>
      </c>
      <c r="V169" s="11" t="s">
        <v>1136</v>
      </c>
    </row>
    <row r="170" spans="21:22" ht="19.2" customHeight="1" x14ac:dyDescent="0.3">
      <c r="U170" s="10" t="str">
        <f>IF(ISBLANK(PARAMETROS!$C$282),"",PARAMETROS!$C$282)</f>
        <v>Noruega</v>
      </c>
      <c r="V170" s="11" t="s">
        <v>1137</v>
      </c>
    </row>
    <row r="171" spans="21:22" ht="19.2" customHeight="1" x14ac:dyDescent="0.3">
      <c r="U171" s="10" t="str">
        <f>IF(ISBLANK(PARAMETROS!$C$283),"",PARAMETROS!$C$283)</f>
        <v>Nueva Caledonia</v>
      </c>
      <c r="V171" s="11" t="s">
        <v>1138</v>
      </c>
    </row>
    <row r="172" spans="21:22" ht="19.2" customHeight="1" x14ac:dyDescent="0.3">
      <c r="U172" s="10" t="str">
        <f>IF(ISBLANK(PARAMETROS!$C$284),"",PARAMETROS!$C$284)</f>
        <v>Nueva Zelanda</v>
      </c>
      <c r="V172" s="11" t="s">
        <v>1139</v>
      </c>
    </row>
    <row r="173" spans="21:22" ht="19.2" customHeight="1" x14ac:dyDescent="0.3">
      <c r="U173" s="10" t="str">
        <f>IF(ISBLANK(PARAMETROS!$C$285),"",PARAMETROS!$C$285)</f>
        <v>Omán</v>
      </c>
      <c r="V173" s="11" t="s">
        <v>1140</v>
      </c>
    </row>
    <row r="174" spans="21:22" ht="19.2" customHeight="1" x14ac:dyDescent="0.3">
      <c r="U174" s="10" t="str">
        <f>IF(ISBLANK(PARAMETROS!$C$286),"",PARAMETROS!$C$286)</f>
        <v>Países Bajos</v>
      </c>
      <c r="V174" s="11" t="s">
        <v>1141</v>
      </c>
    </row>
    <row r="175" spans="21:22" ht="19.2" customHeight="1" x14ac:dyDescent="0.3">
      <c r="U175" s="10" t="str">
        <f>IF(ISBLANK(PARAMETROS!$C$287),"",PARAMETROS!$C$287)</f>
        <v>Pakistán</v>
      </c>
      <c r="V175" s="11" t="s">
        <v>1142</v>
      </c>
    </row>
    <row r="176" spans="21:22" ht="19.2" customHeight="1" x14ac:dyDescent="0.3">
      <c r="U176" s="10" t="str">
        <f>IF(ISBLANK(PARAMETROS!$C$288),"",PARAMETROS!$C$288)</f>
        <v>Palaos</v>
      </c>
      <c r="V176" s="11" t="s">
        <v>1143</v>
      </c>
    </row>
    <row r="177" spans="21:22" ht="19.2" customHeight="1" x14ac:dyDescent="0.3">
      <c r="U177" s="10" t="str">
        <f>IF(ISBLANK(PARAMETROS!$C$289),"",PARAMETROS!$C$289)</f>
        <v>Panamá</v>
      </c>
      <c r="V177" s="11" t="s">
        <v>1144</v>
      </c>
    </row>
    <row r="178" spans="21:22" ht="19.2" customHeight="1" x14ac:dyDescent="0.3">
      <c r="U178" s="10" t="str">
        <f>IF(ISBLANK(PARAMETROS!$C$290),"",PARAMETROS!$C$290)</f>
        <v>Papúa Nueva Guinea</v>
      </c>
      <c r="V178" s="11" t="s">
        <v>1145</v>
      </c>
    </row>
    <row r="179" spans="21:22" ht="19.2" customHeight="1" x14ac:dyDescent="0.3">
      <c r="U179" s="10" t="str">
        <f>IF(ISBLANK(PARAMETROS!$C$291),"",PARAMETROS!$C$291)</f>
        <v>Paraguay</v>
      </c>
      <c r="V179" s="11" t="s">
        <v>1146</v>
      </c>
    </row>
    <row r="180" spans="21:22" ht="19.2" customHeight="1" x14ac:dyDescent="0.3">
      <c r="U180" s="10" t="str">
        <f>IF(ISBLANK(PARAMETROS!$C$292),"",PARAMETROS!$C$292)</f>
        <v>Perú</v>
      </c>
      <c r="V180" s="11" t="s">
        <v>1147</v>
      </c>
    </row>
    <row r="181" spans="21:22" ht="19.2" customHeight="1" x14ac:dyDescent="0.3">
      <c r="U181" s="10" t="str">
        <f>IF(ISBLANK(PARAMETROS!$C$293),"",PARAMETROS!$C$293)</f>
        <v>Polinesia Francesa</v>
      </c>
      <c r="V181" s="11" t="s">
        <v>1148</v>
      </c>
    </row>
    <row r="182" spans="21:22" ht="19.2" customHeight="1" x14ac:dyDescent="0.3">
      <c r="U182" s="10" t="str">
        <f>IF(ISBLANK(PARAMETROS!$C$294),"",PARAMETROS!$C$294)</f>
        <v>Polonia</v>
      </c>
      <c r="V182" s="11" t="s">
        <v>1149</v>
      </c>
    </row>
    <row r="183" spans="21:22" ht="19.2" customHeight="1" x14ac:dyDescent="0.3">
      <c r="U183" s="10" t="str">
        <f>IF(ISBLANK(PARAMETROS!$C$295),"",PARAMETROS!$C$295)</f>
        <v>Portugal</v>
      </c>
      <c r="V183" s="11" t="s">
        <v>1150</v>
      </c>
    </row>
    <row r="184" spans="21:22" ht="19.2" customHeight="1" x14ac:dyDescent="0.3">
      <c r="U184" s="10" t="str">
        <f>IF(ISBLANK(PARAMETROS!$C$296),"",PARAMETROS!$C$296)</f>
        <v>Puerto Rico</v>
      </c>
      <c r="V184" s="11" t="s">
        <v>1151</v>
      </c>
    </row>
    <row r="185" spans="21:22" ht="19.2" customHeight="1" x14ac:dyDescent="0.3">
      <c r="U185" s="10" t="str">
        <f>IF(ISBLANK(PARAMETROS!$C$297),"",PARAMETROS!$C$297)</f>
        <v>RAE de Hong Kong (China)</v>
      </c>
      <c r="V185" s="11" t="s">
        <v>1152</v>
      </c>
    </row>
    <row r="186" spans="21:22" ht="19.2" customHeight="1" x14ac:dyDescent="0.3">
      <c r="U186" s="10" t="str">
        <f>IF(ISBLANK(PARAMETROS!$C$298),"",PARAMETROS!$C$298)</f>
        <v>RAE de Macao (China)</v>
      </c>
      <c r="V186" s="11" t="s">
        <v>1153</v>
      </c>
    </row>
    <row r="187" spans="21:22" ht="19.2" customHeight="1" x14ac:dyDescent="0.3">
      <c r="U187" s="10" t="str">
        <f>IF(ISBLANK(PARAMETROS!$C$299),"",PARAMETROS!$C$299)</f>
        <v>Reino Unido</v>
      </c>
      <c r="V187" s="11" t="s">
        <v>1154</v>
      </c>
    </row>
    <row r="188" spans="21:22" ht="19.2" customHeight="1" x14ac:dyDescent="0.3">
      <c r="U188" s="10" t="str">
        <f>IF(ISBLANK(PARAMETROS!$C$300),"",PARAMETROS!$C$300)</f>
        <v>República Centroafricana</v>
      </c>
      <c r="V188" s="11" t="s">
        <v>1155</v>
      </c>
    </row>
    <row r="189" spans="21:22" ht="19.2" customHeight="1" x14ac:dyDescent="0.3">
      <c r="U189" s="10" t="str">
        <f>IF(ISBLANK(PARAMETROS!$C$301),"",PARAMETROS!$C$301)</f>
        <v>República del Congo</v>
      </c>
      <c r="V189" s="11" t="s">
        <v>1156</v>
      </c>
    </row>
    <row r="190" spans="21:22" ht="19.2" customHeight="1" x14ac:dyDescent="0.3">
      <c r="U190" s="10" t="str">
        <f>IF(ISBLANK(PARAMETROS!$C$302),"",PARAMETROS!$C$302)</f>
        <v>República Democrática del Congo</v>
      </c>
      <c r="V190" s="11" t="s">
        <v>1157</v>
      </c>
    </row>
    <row r="191" spans="21:22" ht="19.2" customHeight="1" x14ac:dyDescent="0.3">
      <c r="U191" s="10" t="str">
        <f>IF(ISBLANK(PARAMETROS!$C$303),"",PARAMETROS!$C$303)</f>
        <v>República Dominicana</v>
      </c>
      <c r="V191" s="11" t="s">
        <v>1158</v>
      </c>
    </row>
    <row r="192" spans="21:22" ht="19.2" customHeight="1" x14ac:dyDescent="0.3">
      <c r="U192" s="10" t="str">
        <f>IF(ISBLANK(PARAMETROS!$C$304),"",PARAMETROS!$C$304)</f>
        <v>Reunión</v>
      </c>
      <c r="V192" s="11" t="s">
        <v>1159</v>
      </c>
    </row>
    <row r="193" spans="21:22" ht="19.2" customHeight="1" x14ac:dyDescent="0.3">
      <c r="U193" s="10" t="str">
        <f>IF(ISBLANK(PARAMETROS!$C$305),"",PARAMETROS!$C$305)</f>
        <v>Ruanda</v>
      </c>
      <c r="V193" s="11" t="s">
        <v>1160</v>
      </c>
    </row>
    <row r="194" spans="21:22" ht="19.2" customHeight="1" x14ac:dyDescent="0.3">
      <c r="U194" s="10" t="str">
        <f>IF(ISBLANK(PARAMETROS!$C$306),"",PARAMETROS!$C$306)</f>
        <v>Rumania</v>
      </c>
      <c r="V194" s="11" t="s">
        <v>1161</v>
      </c>
    </row>
    <row r="195" spans="21:22" ht="19.2" customHeight="1" x14ac:dyDescent="0.3">
      <c r="U195" s="10" t="str">
        <f>IF(ISBLANK(PARAMETROS!$C$307),"",PARAMETROS!$C$307)</f>
        <v>Rusia</v>
      </c>
      <c r="V195" s="11" t="s">
        <v>1162</v>
      </c>
    </row>
    <row r="196" spans="21:22" ht="19.2" customHeight="1" x14ac:dyDescent="0.3">
      <c r="U196" s="10" t="str">
        <f>IF(ISBLANK(PARAMETROS!$C$308),"",PARAMETROS!$C$308)</f>
        <v>Sáhara Occidental</v>
      </c>
      <c r="V196" s="11" t="s">
        <v>1163</v>
      </c>
    </row>
    <row r="197" spans="21:22" ht="19.2" customHeight="1" x14ac:dyDescent="0.3">
      <c r="U197" s="10" t="str">
        <f>IF(ISBLANK(PARAMETROS!$C$309),"",PARAMETROS!$C$309)</f>
        <v>Samoa</v>
      </c>
      <c r="V197" s="11" t="s">
        <v>1164</v>
      </c>
    </row>
    <row r="198" spans="21:22" ht="19.2" customHeight="1" x14ac:dyDescent="0.3">
      <c r="U198" s="10" t="str">
        <f>IF(ISBLANK(PARAMETROS!$C$310),"",PARAMETROS!$C$310)</f>
        <v>Samoa Americana</v>
      </c>
      <c r="V198" s="11" t="s">
        <v>1165</v>
      </c>
    </row>
    <row r="199" spans="21:22" ht="19.2" customHeight="1" x14ac:dyDescent="0.3">
      <c r="U199" s="10" t="str">
        <f>IF(ISBLANK(PARAMETROS!$C$311),"",PARAMETROS!$C$311)</f>
        <v>San Bartolomé</v>
      </c>
      <c r="V199" s="11" t="s">
        <v>1166</v>
      </c>
    </row>
    <row r="200" spans="21:22" ht="19.2" customHeight="1" x14ac:dyDescent="0.3">
      <c r="U200" s="10" t="str">
        <f>IF(ISBLANK(PARAMETROS!$C$312),"",PARAMETROS!$C$312)</f>
        <v>San Cristóbal y Nieves</v>
      </c>
      <c r="V200" s="11" t="s">
        <v>1167</v>
      </c>
    </row>
    <row r="201" spans="21:22" ht="19.2" customHeight="1" x14ac:dyDescent="0.3">
      <c r="U201" s="10" t="str">
        <f>IF(ISBLANK(PARAMETROS!$C$313),"",PARAMETROS!$C$313)</f>
        <v>San Marino</v>
      </c>
      <c r="V201" s="11" t="s">
        <v>1168</v>
      </c>
    </row>
    <row r="202" spans="21:22" ht="19.2" customHeight="1" x14ac:dyDescent="0.3">
      <c r="U202" s="10" t="str">
        <f>IF(ISBLANK(PARAMETROS!$C$314),"",PARAMETROS!$C$314)</f>
        <v>San Martín</v>
      </c>
      <c r="V202" s="11" t="s">
        <v>1169</v>
      </c>
    </row>
    <row r="203" spans="21:22" ht="19.2" customHeight="1" x14ac:dyDescent="0.3">
      <c r="U203" s="10" t="str">
        <f>IF(ISBLANK(PARAMETROS!$C$315),"",PARAMETROS!$C$315)</f>
        <v>San Pedro y Miquelón</v>
      </c>
      <c r="V203" s="11" t="s">
        <v>1170</v>
      </c>
    </row>
    <row r="204" spans="21:22" ht="19.2" customHeight="1" x14ac:dyDescent="0.3">
      <c r="U204" s="10" t="str">
        <f>IF(ISBLANK(PARAMETROS!$C$316),"",PARAMETROS!$C$316)</f>
        <v>San Vicente y las Granadinas</v>
      </c>
      <c r="V204" s="11" t="s">
        <v>1171</v>
      </c>
    </row>
    <row r="205" spans="21:22" ht="19.2" customHeight="1" x14ac:dyDescent="0.3">
      <c r="U205" s="10" t="str">
        <f>IF(ISBLANK(PARAMETROS!$C$317),"",PARAMETROS!$C$317)</f>
        <v>Santa Elena</v>
      </c>
      <c r="V205" s="11" t="s">
        <v>1172</v>
      </c>
    </row>
    <row r="206" spans="21:22" ht="19.2" customHeight="1" x14ac:dyDescent="0.3">
      <c r="U206" s="10" t="str">
        <f>IF(ISBLANK(PARAMETROS!$C$318),"",PARAMETROS!$C$318)</f>
        <v>Santa Lucía</v>
      </c>
      <c r="V206" s="11" t="s">
        <v>1173</v>
      </c>
    </row>
    <row r="207" spans="21:22" ht="19.2" customHeight="1" x14ac:dyDescent="0.3">
      <c r="U207" s="10" t="str">
        <f>IF(ISBLANK(PARAMETROS!$C$319),"",PARAMETROS!$C$319)</f>
        <v>Santo Tomé y Príncipe</v>
      </c>
      <c r="V207" s="11" t="s">
        <v>1174</v>
      </c>
    </row>
    <row r="208" spans="21:22" ht="19.2" customHeight="1" x14ac:dyDescent="0.3">
      <c r="U208" s="10" t="str">
        <f>IF(ISBLANK(PARAMETROS!$C$320),"",PARAMETROS!$C$320)</f>
        <v>Senegal</v>
      </c>
      <c r="V208" s="11" t="s">
        <v>1175</v>
      </c>
    </row>
    <row r="209" spans="21:22" ht="19.2" customHeight="1" x14ac:dyDescent="0.3">
      <c r="U209" s="10" t="str">
        <f>IF(ISBLANK(PARAMETROS!$C$321),"",PARAMETROS!$C$321)</f>
        <v>Serbia</v>
      </c>
      <c r="V209" s="11" t="s">
        <v>1176</v>
      </c>
    </row>
    <row r="210" spans="21:22" ht="19.2" customHeight="1" x14ac:dyDescent="0.3">
      <c r="U210" s="10" t="str">
        <f>IF(ISBLANK(PARAMETROS!$C$322),"",PARAMETROS!$C$322)</f>
        <v>Seychelles</v>
      </c>
      <c r="V210" s="11" t="s">
        <v>1177</v>
      </c>
    </row>
    <row r="211" spans="21:22" ht="19.2" customHeight="1" x14ac:dyDescent="0.3">
      <c r="U211" s="10" t="str">
        <f>IF(ISBLANK(PARAMETROS!$C$323),"",PARAMETROS!$C$323)</f>
        <v>Sierra Leona</v>
      </c>
      <c r="V211" s="11" t="s">
        <v>1178</v>
      </c>
    </row>
    <row r="212" spans="21:22" ht="19.2" customHeight="1" x14ac:dyDescent="0.3">
      <c r="U212" s="10" t="str">
        <f>IF(ISBLANK(PARAMETROS!$C$324),"",PARAMETROS!$C$324)</f>
        <v>Singapur</v>
      </c>
      <c r="V212" s="11" t="s">
        <v>1179</v>
      </c>
    </row>
    <row r="213" spans="21:22" ht="19.2" customHeight="1" x14ac:dyDescent="0.3">
      <c r="U213" s="10" t="str">
        <f>IF(ISBLANK(PARAMETROS!$C$325),"",PARAMETROS!$C$325)</f>
        <v>Sint Maarten</v>
      </c>
      <c r="V213" s="11" t="s">
        <v>1180</v>
      </c>
    </row>
    <row r="214" spans="21:22" ht="19.2" customHeight="1" x14ac:dyDescent="0.3">
      <c r="U214" s="10" t="str">
        <f>IF(ISBLANK(PARAMETROS!$C$326),"",PARAMETROS!$C$326)</f>
        <v>Siria</v>
      </c>
      <c r="V214" s="11" t="s">
        <v>1181</v>
      </c>
    </row>
    <row r="215" spans="21:22" ht="19.2" customHeight="1" x14ac:dyDescent="0.3">
      <c r="U215" s="10" t="str">
        <f>IF(ISBLANK(PARAMETROS!$C$327),"",PARAMETROS!$C$327)</f>
        <v>Somalia</v>
      </c>
      <c r="V215" s="11" t="s">
        <v>1182</v>
      </c>
    </row>
    <row r="216" spans="21:22" ht="19.2" customHeight="1" x14ac:dyDescent="0.3">
      <c r="U216" s="10" t="str">
        <f>IF(ISBLANK(PARAMETROS!$C$328),"",PARAMETROS!$C$328)</f>
        <v>Sri Lanka</v>
      </c>
      <c r="V216" s="11" t="s">
        <v>1183</v>
      </c>
    </row>
    <row r="217" spans="21:22" ht="19.2" customHeight="1" x14ac:dyDescent="0.3">
      <c r="U217" s="10" t="str">
        <f>IF(ISBLANK(PARAMETROS!$C$329),"",PARAMETROS!$C$329)</f>
        <v>Sudáfrica</v>
      </c>
      <c r="V217" s="11" t="s">
        <v>1184</v>
      </c>
    </row>
    <row r="218" spans="21:22" ht="19.2" customHeight="1" x14ac:dyDescent="0.3">
      <c r="U218" s="10" t="str">
        <f>IF(ISBLANK(PARAMETROS!$C$330),"",PARAMETROS!$C$330)</f>
        <v>Sudán</v>
      </c>
      <c r="V218" s="11" t="s">
        <v>1185</v>
      </c>
    </row>
    <row r="219" spans="21:22" ht="19.2" customHeight="1" x14ac:dyDescent="0.3">
      <c r="U219" s="10" t="str">
        <f>IF(ISBLANK(PARAMETROS!$C$331),"",PARAMETROS!$C$331)</f>
        <v>Sudán del Sur</v>
      </c>
      <c r="V219" s="11" t="s">
        <v>1186</v>
      </c>
    </row>
    <row r="220" spans="21:22" ht="19.2" customHeight="1" x14ac:dyDescent="0.3">
      <c r="U220" s="10" t="str">
        <f>IF(ISBLANK(PARAMETROS!$C$332),"",PARAMETROS!$C$332)</f>
        <v>Suecia</v>
      </c>
      <c r="V220" s="11" t="s">
        <v>1187</v>
      </c>
    </row>
    <row r="221" spans="21:22" ht="19.2" customHeight="1" x14ac:dyDescent="0.3">
      <c r="U221" s="10" t="str">
        <f>IF(ISBLANK(PARAMETROS!$C$333),"",PARAMETROS!$C$333)</f>
        <v>Suiza</v>
      </c>
      <c r="V221" s="11" t="s">
        <v>1188</v>
      </c>
    </row>
    <row r="222" spans="21:22" ht="19.2" customHeight="1" x14ac:dyDescent="0.3">
      <c r="U222" s="10" t="str">
        <f>IF(ISBLANK(PARAMETROS!$C$334),"",PARAMETROS!$C$334)</f>
        <v>Surinam</v>
      </c>
      <c r="V222" s="11" t="s">
        <v>1189</v>
      </c>
    </row>
    <row r="223" spans="21:22" ht="19.2" customHeight="1" x14ac:dyDescent="0.3">
      <c r="U223" s="10" t="str">
        <f>IF(ISBLANK(PARAMETROS!$C$335),"",PARAMETROS!$C$335)</f>
        <v>Svalbard y Jan Mayen</v>
      </c>
      <c r="V223" s="11" t="s">
        <v>1190</v>
      </c>
    </row>
    <row r="224" spans="21:22" ht="19.2" customHeight="1" x14ac:dyDescent="0.3">
      <c r="U224" s="10" t="str">
        <f>IF(ISBLANK(PARAMETROS!$C$336),"",PARAMETROS!$C$336)</f>
        <v>Tailandia</v>
      </c>
      <c r="V224" s="11" t="s">
        <v>1191</v>
      </c>
    </row>
    <row r="225" spans="21:22" ht="19.2" customHeight="1" x14ac:dyDescent="0.3">
      <c r="U225" s="10" t="str">
        <f>IF(ISBLANK(PARAMETROS!$C$337),"",PARAMETROS!$C$337)</f>
        <v>Taiwán</v>
      </c>
      <c r="V225" s="11" t="s">
        <v>1192</v>
      </c>
    </row>
    <row r="226" spans="21:22" ht="19.2" customHeight="1" x14ac:dyDescent="0.3">
      <c r="U226" s="10" t="str">
        <f>IF(ISBLANK(PARAMETROS!$C$338),"",PARAMETROS!$C$338)</f>
        <v>Tanzania</v>
      </c>
      <c r="V226" s="11" t="s">
        <v>1193</v>
      </c>
    </row>
    <row r="227" spans="21:22" ht="19.2" customHeight="1" x14ac:dyDescent="0.3">
      <c r="U227" s="10" t="str">
        <f>IF(ISBLANK(PARAMETROS!$C$339),"",PARAMETROS!$C$339)</f>
        <v>Tayikistán</v>
      </c>
      <c r="V227" s="11" t="s">
        <v>1194</v>
      </c>
    </row>
    <row r="228" spans="21:22" ht="19.2" customHeight="1" x14ac:dyDescent="0.3">
      <c r="U228" s="10" t="str">
        <f>IF(ISBLANK(PARAMETROS!$C$340),"",PARAMETROS!$C$340)</f>
        <v>Territorio Británico del Océano Índico</v>
      </c>
      <c r="V228" s="11" t="s">
        <v>1195</v>
      </c>
    </row>
    <row r="229" spans="21:22" ht="19.2" customHeight="1" x14ac:dyDescent="0.3">
      <c r="U229" s="10" t="str">
        <f>IF(ISBLANK(PARAMETROS!$C$341),"",PARAMETROS!$C$341)</f>
        <v>Territorios Australes Franceses</v>
      </c>
      <c r="V229" s="11" t="s">
        <v>1196</v>
      </c>
    </row>
    <row r="230" spans="21:22" ht="19.2" customHeight="1" x14ac:dyDescent="0.3">
      <c r="U230" s="10" t="str">
        <f>IF(ISBLANK(PARAMETROS!$C$342),"",PARAMETROS!$C$342)</f>
        <v>Territorios Palestinos</v>
      </c>
      <c r="V230" s="11" t="s">
        <v>1197</v>
      </c>
    </row>
    <row r="231" spans="21:22" ht="19.2" customHeight="1" x14ac:dyDescent="0.3">
      <c r="U231" s="10" t="str">
        <f>IF(ISBLANK(PARAMETROS!$C$343),"",PARAMETROS!$C$343)</f>
        <v>Timor Oriental</v>
      </c>
      <c r="V231" s="11" t="s">
        <v>1198</v>
      </c>
    </row>
    <row r="232" spans="21:22" ht="19.2" customHeight="1" x14ac:dyDescent="0.3">
      <c r="U232" s="10" t="str">
        <f>IF(ISBLANK(PARAMETROS!$C$344),"",PARAMETROS!$C$344)</f>
        <v>Togo</v>
      </c>
      <c r="V232" s="11" t="s">
        <v>1199</v>
      </c>
    </row>
    <row r="233" spans="21:22" ht="19.2" customHeight="1" x14ac:dyDescent="0.3">
      <c r="U233" s="10" t="str">
        <f>IF(ISBLANK(PARAMETROS!$C$345),"",PARAMETROS!$C$345)</f>
        <v>Tokelau</v>
      </c>
      <c r="V233" s="11" t="s">
        <v>1200</v>
      </c>
    </row>
    <row r="234" spans="21:22" ht="19.2" customHeight="1" x14ac:dyDescent="0.3">
      <c r="U234" s="10" t="str">
        <f>IF(ISBLANK(PARAMETROS!$C$346),"",PARAMETROS!$C$346)</f>
        <v>Tonga</v>
      </c>
      <c r="V234" s="11" t="s">
        <v>1201</v>
      </c>
    </row>
    <row r="235" spans="21:22" ht="19.2" customHeight="1" x14ac:dyDescent="0.3">
      <c r="U235" s="10" t="str">
        <f>IF(ISBLANK(PARAMETROS!$C$347),"",PARAMETROS!$C$347)</f>
        <v>Trinidad y Tobago</v>
      </c>
      <c r="V235" s="11" t="s">
        <v>1202</v>
      </c>
    </row>
    <row r="236" spans="21:22" ht="19.2" customHeight="1" x14ac:dyDescent="0.3">
      <c r="U236" s="10" t="str">
        <f>IF(ISBLANK(PARAMETROS!$C$348),"",PARAMETROS!$C$348)</f>
        <v>Túnez</v>
      </c>
      <c r="V236" s="11" t="s">
        <v>1203</v>
      </c>
    </row>
    <row r="237" spans="21:22" ht="19.2" customHeight="1" x14ac:dyDescent="0.3">
      <c r="U237" s="10" t="str">
        <f>IF(ISBLANK(PARAMETROS!$C$349),"",PARAMETROS!$C$349)</f>
        <v>Turkmenistán</v>
      </c>
      <c r="V237" s="11" t="s">
        <v>1204</v>
      </c>
    </row>
    <row r="238" spans="21:22" ht="19.2" customHeight="1" x14ac:dyDescent="0.3">
      <c r="U238" s="10" t="str">
        <f>IF(ISBLANK(PARAMETROS!$C$350),"",PARAMETROS!$C$350)</f>
        <v>Turquía</v>
      </c>
      <c r="V238" s="11" t="s">
        <v>1205</v>
      </c>
    </row>
    <row r="239" spans="21:22" ht="19.2" customHeight="1" x14ac:dyDescent="0.3">
      <c r="U239" s="10" t="str">
        <f>IF(ISBLANK(PARAMETROS!$C$351),"",PARAMETROS!$C$351)</f>
        <v>Tuvalu</v>
      </c>
      <c r="V239" s="11" t="s">
        <v>1206</v>
      </c>
    </row>
    <row r="240" spans="21:22" ht="19.2" customHeight="1" x14ac:dyDescent="0.3">
      <c r="U240" s="10" t="str">
        <f>IF(ISBLANK(PARAMETROS!$C$352),"",PARAMETROS!$C$352)</f>
        <v>Ucrania</v>
      </c>
      <c r="V240" s="11" t="s">
        <v>1207</v>
      </c>
    </row>
    <row r="241" spans="21:22" ht="19.2" customHeight="1" x14ac:dyDescent="0.3">
      <c r="U241" s="10" t="str">
        <f>IF(ISBLANK(PARAMETROS!$C$353),"",PARAMETROS!$C$353)</f>
        <v>Uganda</v>
      </c>
      <c r="V241" s="11" t="s">
        <v>1208</v>
      </c>
    </row>
    <row r="242" spans="21:22" ht="19.2" customHeight="1" x14ac:dyDescent="0.3">
      <c r="U242" s="10" t="str">
        <f>IF(ISBLANK(PARAMETROS!$C$354),"",PARAMETROS!$C$354)</f>
        <v>Uruguay</v>
      </c>
      <c r="V242" s="11" t="s">
        <v>1209</v>
      </c>
    </row>
    <row r="243" spans="21:22" ht="19.2" customHeight="1" x14ac:dyDescent="0.3">
      <c r="U243" s="10" t="str">
        <f>IF(ISBLANK(PARAMETROS!$C$355),"",PARAMETROS!$C$355)</f>
        <v>Uzbekistán</v>
      </c>
      <c r="V243" s="11" t="s">
        <v>1210</v>
      </c>
    </row>
    <row r="244" spans="21:22" ht="19.2" customHeight="1" x14ac:dyDescent="0.3">
      <c r="U244" s="10" t="str">
        <f>IF(ISBLANK(PARAMETROS!$C$356),"",PARAMETROS!$C$356)</f>
        <v>Vanuatu</v>
      </c>
      <c r="V244" s="11" t="s">
        <v>1211</v>
      </c>
    </row>
    <row r="245" spans="21:22" ht="19.2" customHeight="1" x14ac:dyDescent="0.3">
      <c r="U245" s="10" t="str">
        <f>IF(ISBLANK(PARAMETROS!$C$357),"",PARAMETROS!$C$357)</f>
        <v>Venezuela</v>
      </c>
      <c r="V245" s="11" t="s">
        <v>1212</v>
      </c>
    </row>
    <row r="246" spans="21:22" ht="19.2" customHeight="1" x14ac:dyDescent="0.3">
      <c r="U246" s="10" t="str">
        <f>IF(ISBLANK(PARAMETROS!$C$358),"",PARAMETROS!$C$358)</f>
        <v>Vietnam</v>
      </c>
      <c r="V246" s="11" t="s">
        <v>1213</v>
      </c>
    </row>
    <row r="247" spans="21:22" ht="19.2" customHeight="1" x14ac:dyDescent="0.3">
      <c r="U247" s="10" t="str">
        <f>IF(ISBLANK(PARAMETROS!$C$359),"",PARAMETROS!$C$359)</f>
        <v>Wallis y Futuna</v>
      </c>
      <c r="V247" s="11" t="s">
        <v>1214</v>
      </c>
    </row>
    <row r="248" spans="21:22" ht="19.2" customHeight="1" x14ac:dyDescent="0.3">
      <c r="U248" s="10" t="str">
        <f>IF(ISBLANK(PARAMETROS!$C$360),"",PARAMETROS!$C$360)</f>
        <v>Yemen</v>
      </c>
      <c r="V248" s="11" t="s">
        <v>1215</v>
      </c>
    </row>
    <row r="249" spans="21:22" ht="19.2" customHeight="1" x14ac:dyDescent="0.3">
      <c r="U249" s="10" t="str">
        <f>IF(ISBLANK(PARAMETROS!$C$361),"",PARAMETROS!$C$361)</f>
        <v>Yibuti</v>
      </c>
      <c r="V249" s="11" t="s">
        <v>1216</v>
      </c>
    </row>
    <row r="250" spans="21:22" ht="19.2" customHeight="1" x14ac:dyDescent="0.3">
      <c r="U250" s="10" t="str">
        <f>IF(ISBLANK(PARAMETROS!$C$362),"",PARAMETROS!$C$362)</f>
        <v>Zambia</v>
      </c>
      <c r="V250" s="11" t="s">
        <v>1217</v>
      </c>
    </row>
    <row r="251" spans="21:22" ht="19.2" customHeight="1" thickBot="1" x14ac:dyDescent="0.35">
      <c r="U251" s="12" t="str">
        <f>IF(ISBLANK(PARAMETROS!$C$363),"",PARAMETROS!$C$363)</f>
        <v>Zimbabue</v>
      </c>
      <c r="V251" s="13" t="s">
        <v>1218</v>
      </c>
    </row>
    <row r="252" spans="21:22" ht="19.2" customHeight="1" x14ac:dyDescent="0.3"/>
  </sheetData>
  <sheetProtection algorithmName="SHA-512" hashValue="JHQAV7FZ5L6ram7e3XFbY3NIbp+gqME4/xndRFUJVLtaL34U7yKKE6lNZmJEyzuCaoeRYPdqAacjBP9tMKQh4A==" saltValue="ytIUB4Mdv6YWU4m0I8Cvkg==" spinCount="100000" sheet="1" objects="1" scenarios="1" selectLockedCells="1"/>
  <mergeCells count="2">
    <mergeCell ref="U1:V1"/>
    <mergeCell ref="A37:B3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3B715-BA62-4F43-BC3A-44E8F6353DE0}">
  <sheetPr codeName="Hoja3"/>
  <dimension ref="A1:AC199"/>
  <sheetViews>
    <sheetView zoomScaleNormal="100" workbookViewId="0">
      <pane ySplit="2" topLeftCell="A3" activePane="bottomLeft" state="frozen"/>
      <selection pane="bottomLeft" sqref="A1:I1"/>
    </sheetView>
  </sheetViews>
  <sheetFormatPr baseColWidth="10" defaultColWidth="0" defaultRowHeight="14.4" x14ac:dyDescent="0.3"/>
  <cols>
    <col min="1" max="1" width="66.21875" style="15" bestFit="1" customWidth="1"/>
    <col min="2" max="3" width="16.88671875" style="15" bestFit="1" customWidth="1"/>
    <col min="4" max="4" width="96.77734375" style="15" bestFit="1" customWidth="1"/>
    <col min="5" max="5" width="15.5546875" style="15" bestFit="1" customWidth="1"/>
    <col min="6" max="6" width="17.88671875" style="15" customWidth="1"/>
    <col min="7" max="7" width="14.21875" style="15" bestFit="1" customWidth="1"/>
    <col min="8" max="8" width="15.77734375" style="15" bestFit="1" customWidth="1"/>
    <col min="9" max="9" width="61.88671875" style="15" bestFit="1" customWidth="1"/>
    <col min="10" max="18" width="11.5546875" style="15" customWidth="1"/>
    <col min="19" max="19" width="16.88671875" style="15" bestFit="1" customWidth="1"/>
    <col min="20" max="20" width="25.5546875" style="15" bestFit="1" customWidth="1"/>
    <col min="21" max="21" width="11.5546875" style="15" customWidth="1"/>
    <col min="22" max="26" width="15" style="15" customWidth="1"/>
    <col min="27" max="27" width="11.5546875" style="15" customWidth="1"/>
    <col min="28" max="29" width="0" style="15" hidden="1" customWidth="1"/>
    <col min="30" max="16384" width="11.5546875" style="15" hidden="1"/>
  </cols>
  <sheetData>
    <row r="1" spans="1:26" ht="15" thickBot="1" x14ac:dyDescent="0.35">
      <c r="A1" s="180" t="s">
        <v>711</v>
      </c>
      <c r="B1" s="181"/>
      <c r="C1" s="181"/>
      <c r="D1" s="181"/>
      <c r="E1" s="181"/>
      <c r="F1" s="181"/>
      <c r="G1" s="181"/>
      <c r="H1" s="181"/>
      <c r="I1" s="182"/>
      <c r="L1" s="180" t="s">
        <v>226</v>
      </c>
      <c r="M1" s="181"/>
      <c r="N1" s="181"/>
      <c r="O1" s="181"/>
      <c r="P1" s="182"/>
      <c r="S1" s="180" t="s">
        <v>1568</v>
      </c>
      <c r="T1" s="181"/>
      <c r="U1" s="181"/>
      <c r="V1" s="181"/>
      <c r="W1" s="181"/>
      <c r="X1" s="181"/>
      <c r="Y1" s="181"/>
      <c r="Z1" s="182"/>
    </row>
    <row r="2" spans="1:26" ht="15" thickBot="1" x14ac:dyDescent="0.35">
      <c r="A2" s="28" t="s">
        <v>544</v>
      </c>
      <c r="B2" s="29" t="s">
        <v>712</v>
      </c>
      <c r="C2" s="29" t="s">
        <v>1581</v>
      </c>
      <c r="D2" s="29" t="s">
        <v>541</v>
      </c>
      <c r="E2" s="29" t="s">
        <v>542</v>
      </c>
      <c r="F2" s="29" t="s">
        <v>543</v>
      </c>
      <c r="G2" s="29" t="s">
        <v>545</v>
      </c>
      <c r="H2" s="29" t="s">
        <v>546</v>
      </c>
      <c r="I2" s="30" t="s">
        <v>1579</v>
      </c>
      <c r="L2" s="28" t="s">
        <v>227</v>
      </c>
      <c r="M2" s="183" t="s">
        <v>228</v>
      </c>
      <c r="N2" s="183"/>
      <c r="O2" s="183"/>
      <c r="P2" s="184"/>
      <c r="S2" s="69" t="s">
        <v>1569</v>
      </c>
      <c r="T2" s="70" t="s">
        <v>1570</v>
      </c>
      <c r="U2" s="70" t="s">
        <v>1571</v>
      </c>
      <c r="V2" s="191" t="s">
        <v>1572</v>
      </c>
      <c r="W2" s="191"/>
      <c r="X2" s="191"/>
      <c r="Y2" s="191"/>
      <c r="Z2" s="192"/>
    </row>
    <row r="3" spans="1:26" x14ac:dyDescent="0.3">
      <c r="A3" s="15" t="s">
        <v>353</v>
      </c>
      <c r="B3" s="15" t="s">
        <v>1607</v>
      </c>
      <c r="C3" s="15" t="s">
        <v>1578</v>
      </c>
      <c r="D3" s="15" t="s">
        <v>2116</v>
      </c>
      <c r="E3" s="15" t="s">
        <v>547</v>
      </c>
      <c r="F3" s="15" t="s">
        <v>548</v>
      </c>
      <c r="G3" s="15" t="s">
        <v>1610</v>
      </c>
      <c r="H3" s="15" t="s">
        <v>1566</v>
      </c>
      <c r="I3" s="15" t="s">
        <v>2116</v>
      </c>
      <c r="L3" s="18" t="s">
        <v>223</v>
      </c>
      <c r="M3" s="185" t="s">
        <v>229</v>
      </c>
      <c r="N3" s="185"/>
      <c r="O3" s="185"/>
      <c r="P3" s="186"/>
      <c r="S3" s="34" t="s">
        <v>363</v>
      </c>
      <c r="T3" s="33" t="s">
        <v>1573</v>
      </c>
      <c r="U3" s="35" t="s">
        <v>2124</v>
      </c>
      <c r="V3" s="178" t="s">
        <v>1805</v>
      </c>
      <c r="W3" s="178"/>
      <c r="X3" s="178"/>
      <c r="Y3" s="178"/>
      <c r="Z3" s="179"/>
    </row>
    <row r="4" spans="1:26" x14ac:dyDescent="0.3">
      <c r="A4" s="15" t="s">
        <v>317</v>
      </c>
      <c r="B4" s="15" t="s">
        <v>1607</v>
      </c>
      <c r="C4" s="15" t="s">
        <v>1220</v>
      </c>
      <c r="D4" s="23" t="s">
        <v>1580</v>
      </c>
      <c r="E4" s="15" t="s">
        <v>547</v>
      </c>
      <c r="F4" s="15" t="s">
        <v>549</v>
      </c>
      <c r="G4" s="15" t="s">
        <v>587</v>
      </c>
      <c r="H4" s="15" t="s">
        <v>1566</v>
      </c>
      <c r="I4" s="15" t="s">
        <v>2117</v>
      </c>
      <c r="L4" s="16" t="s">
        <v>4</v>
      </c>
      <c r="M4" s="174" t="s">
        <v>230</v>
      </c>
      <c r="N4" s="174"/>
      <c r="O4" s="174"/>
      <c r="P4" s="175"/>
      <c r="S4" s="36" t="s">
        <v>363</v>
      </c>
      <c r="T4" s="32" t="s">
        <v>1574</v>
      </c>
      <c r="U4" s="37" t="s">
        <v>2128</v>
      </c>
      <c r="V4" s="172" t="s">
        <v>1806</v>
      </c>
      <c r="W4" s="172"/>
      <c r="X4" s="172"/>
      <c r="Y4" s="172"/>
      <c r="Z4" s="173"/>
    </row>
    <row r="5" spans="1:26" x14ac:dyDescent="0.3">
      <c r="A5" s="15" t="s">
        <v>318</v>
      </c>
      <c r="B5" s="15" t="s">
        <v>1603</v>
      </c>
      <c r="C5" s="15" t="s">
        <v>363</v>
      </c>
      <c r="D5" s="23" t="s">
        <v>351</v>
      </c>
      <c r="E5" s="15" t="s">
        <v>547</v>
      </c>
      <c r="F5" s="15" t="s">
        <v>550</v>
      </c>
      <c r="G5" s="15" t="s">
        <v>587</v>
      </c>
      <c r="H5" s="15" t="s">
        <v>1566</v>
      </c>
      <c r="L5" s="16" t="s">
        <v>5</v>
      </c>
      <c r="M5" s="174" t="s">
        <v>231</v>
      </c>
      <c r="N5" s="174"/>
      <c r="O5" s="174"/>
      <c r="P5" s="175"/>
      <c r="S5" s="36" t="s">
        <v>363</v>
      </c>
      <c r="T5" s="32" t="s">
        <v>1575</v>
      </c>
      <c r="U5" s="37" t="s">
        <v>2129</v>
      </c>
      <c r="V5" s="172" t="s">
        <v>1807</v>
      </c>
      <c r="W5" s="172"/>
      <c r="X5" s="172"/>
      <c r="Y5" s="172"/>
      <c r="Z5" s="173"/>
    </row>
    <row r="6" spans="1:26" x14ac:dyDescent="0.3">
      <c r="A6" s="15" t="s">
        <v>319</v>
      </c>
      <c r="B6" s="15" t="s">
        <v>1603</v>
      </c>
      <c r="C6" s="15" t="s">
        <v>363</v>
      </c>
      <c r="D6" s="15" t="s">
        <v>352</v>
      </c>
      <c r="E6" s="15" t="s">
        <v>547</v>
      </c>
      <c r="F6" s="15" t="s">
        <v>551</v>
      </c>
      <c r="G6" s="15" t="s">
        <v>1610</v>
      </c>
      <c r="H6" s="15" t="s">
        <v>1567</v>
      </c>
      <c r="L6" s="16" t="s">
        <v>22</v>
      </c>
      <c r="M6" s="174" t="s">
        <v>232</v>
      </c>
      <c r="N6" s="174"/>
      <c r="O6" s="174"/>
      <c r="P6" s="175"/>
      <c r="S6" s="36" t="s">
        <v>363</v>
      </c>
      <c r="T6" s="32" t="s">
        <v>1808</v>
      </c>
      <c r="U6" s="37" t="s">
        <v>2130</v>
      </c>
      <c r="V6" s="172" t="s">
        <v>1809</v>
      </c>
      <c r="W6" s="172"/>
      <c r="X6" s="172"/>
      <c r="Y6" s="172"/>
      <c r="Z6" s="173"/>
    </row>
    <row r="7" spans="1:26" x14ac:dyDescent="0.3">
      <c r="A7" s="15" t="s">
        <v>365</v>
      </c>
      <c r="B7" s="15" t="s">
        <v>1603</v>
      </c>
      <c r="C7" s="15" t="s">
        <v>363</v>
      </c>
      <c r="D7" s="15" t="s">
        <v>1612</v>
      </c>
      <c r="E7" s="15" t="s">
        <v>547</v>
      </c>
      <c r="F7" s="15" t="s">
        <v>552</v>
      </c>
      <c r="G7" s="15" t="s">
        <v>1610</v>
      </c>
      <c r="H7" s="15" t="s">
        <v>1566</v>
      </c>
      <c r="L7" s="16" t="s">
        <v>29</v>
      </c>
      <c r="M7" s="174" t="s">
        <v>517</v>
      </c>
      <c r="N7" s="174"/>
      <c r="O7" s="174"/>
      <c r="P7" s="175"/>
      <c r="S7" s="36" t="s">
        <v>363</v>
      </c>
      <c r="T7" s="32" t="s">
        <v>2126</v>
      </c>
      <c r="U7" s="37" t="s">
        <v>2131</v>
      </c>
      <c r="V7" s="172" t="s">
        <v>2127</v>
      </c>
      <c r="W7" s="172"/>
      <c r="X7" s="172"/>
      <c r="Y7" s="172"/>
      <c r="Z7" s="173"/>
    </row>
    <row r="8" spans="1:26" x14ac:dyDescent="0.3">
      <c r="A8" s="15" t="s">
        <v>366</v>
      </c>
      <c r="B8" s="15" t="s">
        <v>1603</v>
      </c>
      <c r="C8" s="15" t="s">
        <v>363</v>
      </c>
      <c r="D8" s="23" t="s">
        <v>1613</v>
      </c>
      <c r="E8" s="15" t="s">
        <v>547</v>
      </c>
      <c r="F8" s="15" t="s">
        <v>553</v>
      </c>
      <c r="G8" s="15" t="s">
        <v>587</v>
      </c>
      <c r="H8" s="15" t="s">
        <v>1566</v>
      </c>
      <c r="L8" s="16" t="s">
        <v>33</v>
      </c>
      <c r="M8" s="174" t="s">
        <v>518</v>
      </c>
      <c r="N8" s="174"/>
      <c r="O8" s="174"/>
      <c r="P8" s="175"/>
      <c r="S8" s="36" t="s">
        <v>363</v>
      </c>
      <c r="T8" s="32" t="s">
        <v>1810</v>
      </c>
      <c r="U8" s="37" t="s">
        <v>2132</v>
      </c>
      <c r="V8" s="172" t="s">
        <v>1811</v>
      </c>
      <c r="W8" s="172"/>
      <c r="X8" s="172"/>
      <c r="Y8" s="172"/>
      <c r="Z8" s="173"/>
    </row>
    <row r="9" spans="1:26" x14ac:dyDescent="0.3">
      <c r="A9" s="15" t="s">
        <v>367</v>
      </c>
      <c r="B9" s="15" t="s">
        <v>1603</v>
      </c>
      <c r="C9" s="15" t="s">
        <v>363</v>
      </c>
      <c r="D9" s="15" t="s">
        <v>1614</v>
      </c>
      <c r="E9" s="15" t="s">
        <v>547</v>
      </c>
      <c r="F9" s="15" t="s">
        <v>554</v>
      </c>
      <c r="G9" s="15" t="s">
        <v>1609</v>
      </c>
      <c r="H9" s="15" t="s">
        <v>1567</v>
      </c>
      <c r="L9" s="16" t="s">
        <v>38</v>
      </c>
      <c r="M9" s="174" t="s">
        <v>519</v>
      </c>
      <c r="N9" s="174"/>
      <c r="O9" s="174"/>
      <c r="P9" s="175"/>
      <c r="S9" s="36" t="s">
        <v>1608</v>
      </c>
      <c r="T9" s="32" t="s">
        <v>1573</v>
      </c>
      <c r="U9" s="37" t="s">
        <v>2133</v>
      </c>
      <c r="V9" s="172" t="s">
        <v>1805</v>
      </c>
      <c r="W9" s="172"/>
      <c r="X9" s="172"/>
      <c r="Y9" s="172"/>
      <c r="Z9" s="173"/>
    </row>
    <row r="10" spans="1:26" x14ac:dyDescent="0.3">
      <c r="A10" s="15" t="s">
        <v>589</v>
      </c>
      <c r="B10" s="15" t="s">
        <v>1603</v>
      </c>
      <c r="C10" s="15" t="s">
        <v>363</v>
      </c>
      <c r="D10" s="15" t="s">
        <v>1615</v>
      </c>
      <c r="E10" s="15" t="s">
        <v>547</v>
      </c>
      <c r="F10" s="15" t="s">
        <v>555</v>
      </c>
      <c r="G10" s="15" t="s">
        <v>1609</v>
      </c>
      <c r="H10" s="15" t="s">
        <v>1566</v>
      </c>
      <c r="L10" s="16" t="s">
        <v>48</v>
      </c>
      <c r="M10" s="174" t="s">
        <v>520</v>
      </c>
      <c r="N10" s="174"/>
      <c r="O10" s="174"/>
      <c r="P10" s="175"/>
      <c r="S10" s="36" t="s">
        <v>1608</v>
      </c>
      <c r="T10" s="32" t="s">
        <v>1574</v>
      </c>
      <c r="U10" s="37" t="s">
        <v>2134</v>
      </c>
      <c r="V10" s="172" t="s">
        <v>1806</v>
      </c>
      <c r="W10" s="172"/>
      <c r="X10" s="172"/>
      <c r="Y10" s="172"/>
      <c r="Z10" s="173"/>
    </row>
    <row r="11" spans="1:26" x14ac:dyDescent="0.3">
      <c r="A11" s="15" t="s">
        <v>320</v>
      </c>
      <c r="B11" s="15" t="s">
        <v>1603</v>
      </c>
      <c r="C11" s="15" t="s">
        <v>363</v>
      </c>
      <c r="D11" s="15" t="s">
        <v>1616</v>
      </c>
      <c r="E11" s="15" t="s">
        <v>547</v>
      </c>
      <c r="F11" s="15" t="s">
        <v>556</v>
      </c>
      <c r="G11" s="15" t="s">
        <v>1610</v>
      </c>
      <c r="H11" s="15" t="s">
        <v>1566</v>
      </c>
      <c r="L11" s="16" t="s">
        <v>58</v>
      </c>
      <c r="M11" s="174" t="s">
        <v>521</v>
      </c>
      <c r="N11" s="174"/>
      <c r="O11" s="174"/>
      <c r="P11" s="175"/>
      <c r="S11" s="36" t="s">
        <v>1608</v>
      </c>
      <c r="T11" s="32" t="s">
        <v>1575</v>
      </c>
      <c r="U11" s="37" t="s">
        <v>2135</v>
      </c>
      <c r="V11" s="172" t="s">
        <v>1807</v>
      </c>
      <c r="W11" s="172"/>
      <c r="X11" s="172"/>
      <c r="Y11" s="172"/>
      <c r="Z11" s="173"/>
    </row>
    <row r="12" spans="1:26" x14ac:dyDescent="0.3">
      <c r="A12" s="15" t="s">
        <v>322</v>
      </c>
      <c r="B12" s="15" t="s">
        <v>1603</v>
      </c>
      <c r="C12" s="15" t="s">
        <v>363</v>
      </c>
      <c r="D12" s="23" t="s">
        <v>1617</v>
      </c>
      <c r="E12" s="15" t="s">
        <v>547</v>
      </c>
      <c r="F12" s="15" t="s">
        <v>557</v>
      </c>
      <c r="G12" s="15" t="s">
        <v>587</v>
      </c>
      <c r="H12" s="15" t="s">
        <v>1566</v>
      </c>
      <c r="L12" s="16" t="s">
        <v>224</v>
      </c>
      <c r="M12" s="174" t="s">
        <v>522</v>
      </c>
      <c r="N12" s="174"/>
      <c r="O12" s="174"/>
      <c r="P12" s="175"/>
      <c r="S12" s="36" t="s">
        <v>1608</v>
      </c>
      <c r="T12" s="32" t="s">
        <v>1812</v>
      </c>
      <c r="U12" s="37" t="s">
        <v>2136</v>
      </c>
      <c r="V12" s="172" t="s">
        <v>1813</v>
      </c>
      <c r="W12" s="172"/>
      <c r="X12" s="172"/>
      <c r="Y12" s="172"/>
      <c r="Z12" s="173"/>
    </row>
    <row r="13" spans="1:26" x14ac:dyDescent="0.3">
      <c r="A13" s="15" t="s">
        <v>323</v>
      </c>
      <c r="B13" s="15" t="s">
        <v>1603</v>
      </c>
      <c r="C13" s="15" t="s">
        <v>363</v>
      </c>
      <c r="D13" s="15" t="s">
        <v>1618</v>
      </c>
      <c r="E13" s="15" t="s">
        <v>547</v>
      </c>
      <c r="F13" s="15" t="s">
        <v>558</v>
      </c>
      <c r="G13" s="15" t="s">
        <v>1609</v>
      </c>
      <c r="H13" s="15" t="s">
        <v>1567</v>
      </c>
      <c r="L13" s="16" t="s">
        <v>65</v>
      </c>
      <c r="M13" s="174" t="s">
        <v>523</v>
      </c>
      <c r="N13" s="174"/>
      <c r="O13" s="174"/>
      <c r="P13" s="175"/>
      <c r="S13" s="36" t="s">
        <v>1608</v>
      </c>
      <c r="T13" s="32" t="s">
        <v>2120</v>
      </c>
      <c r="U13" s="37" t="s">
        <v>2137</v>
      </c>
      <c r="V13" s="172" t="s">
        <v>2122</v>
      </c>
      <c r="W13" s="172"/>
      <c r="X13" s="172"/>
      <c r="Y13" s="172"/>
      <c r="Z13" s="173"/>
    </row>
    <row r="14" spans="1:26" x14ac:dyDescent="0.3">
      <c r="A14" s="15" t="s">
        <v>321</v>
      </c>
      <c r="B14" s="15" t="s">
        <v>1603</v>
      </c>
      <c r="C14" s="15" t="s">
        <v>363</v>
      </c>
      <c r="D14" s="15" t="s">
        <v>1619</v>
      </c>
      <c r="E14" s="15" t="s">
        <v>547</v>
      </c>
      <c r="F14" s="15" t="s">
        <v>559</v>
      </c>
      <c r="G14" s="15" t="s">
        <v>1609</v>
      </c>
      <c r="H14" s="15" t="s">
        <v>1567</v>
      </c>
      <c r="L14" s="16" t="s">
        <v>72</v>
      </c>
      <c r="M14" s="174" t="s">
        <v>524</v>
      </c>
      <c r="N14" s="174"/>
      <c r="O14" s="174"/>
      <c r="P14" s="175"/>
      <c r="S14" s="36" t="s">
        <v>1608</v>
      </c>
      <c r="T14" s="32" t="s">
        <v>1814</v>
      </c>
      <c r="U14" s="37" t="s">
        <v>2138</v>
      </c>
      <c r="V14" s="172" t="s">
        <v>1815</v>
      </c>
      <c r="W14" s="172"/>
      <c r="X14" s="172"/>
      <c r="Y14" s="172"/>
      <c r="Z14" s="173"/>
    </row>
    <row r="15" spans="1:26" x14ac:dyDescent="0.3">
      <c r="A15" s="15" t="s">
        <v>324</v>
      </c>
      <c r="B15" s="15" t="s">
        <v>1603</v>
      </c>
      <c r="C15" s="15" t="s">
        <v>363</v>
      </c>
      <c r="D15" s="24" t="s">
        <v>1620</v>
      </c>
      <c r="E15" s="15" t="s">
        <v>547</v>
      </c>
      <c r="F15" s="15" t="s">
        <v>560</v>
      </c>
      <c r="G15" s="15" t="s">
        <v>1611</v>
      </c>
      <c r="H15" s="15" t="s">
        <v>1567</v>
      </c>
      <c r="L15" s="16" t="s">
        <v>76</v>
      </c>
      <c r="M15" s="174" t="s">
        <v>525</v>
      </c>
      <c r="N15" s="174"/>
      <c r="O15" s="174"/>
      <c r="P15" s="175"/>
      <c r="S15" s="36" t="s">
        <v>1608</v>
      </c>
      <c r="T15" s="32" t="s">
        <v>1816</v>
      </c>
      <c r="U15" s="37" t="s">
        <v>2139</v>
      </c>
      <c r="V15" s="172" t="s">
        <v>1817</v>
      </c>
      <c r="W15" s="172"/>
      <c r="X15" s="172"/>
      <c r="Y15" s="172"/>
      <c r="Z15" s="173"/>
    </row>
    <row r="16" spans="1:26" x14ac:dyDescent="0.3">
      <c r="A16" s="15" t="s">
        <v>325</v>
      </c>
      <c r="B16" s="15" t="s">
        <v>1603</v>
      </c>
      <c r="C16" s="15" t="s">
        <v>363</v>
      </c>
      <c r="D16" s="25" t="s">
        <v>1621</v>
      </c>
      <c r="E16" s="15" t="s">
        <v>547</v>
      </c>
      <c r="F16" s="15" t="s">
        <v>561</v>
      </c>
      <c r="G16" s="15" t="s">
        <v>588</v>
      </c>
      <c r="H16" s="15" t="s">
        <v>1566</v>
      </c>
      <c r="L16" s="16" t="s">
        <v>81</v>
      </c>
      <c r="M16" s="174" t="s">
        <v>526</v>
      </c>
      <c r="N16" s="174"/>
      <c r="O16" s="174"/>
      <c r="P16" s="175"/>
      <c r="S16" s="36" t="s">
        <v>1608</v>
      </c>
      <c r="T16" s="32" t="s">
        <v>1818</v>
      </c>
      <c r="U16" s="37" t="s">
        <v>2650</v>
      </c>
      <c r="V16" s="172" t="s">
        <v>1819</v>
      </c>
      <c r="W16" s="172"/>
      <c r="X16" s="172"/>
      <c r="Y16" s="172"/>
      <c r="Z16" s="173"/>
    </row>
    <row r="17" spans="1:26" x14ac:dyDescent="0.3">
      <c r="A17" s="15" t="s">
        <v>327</v>
      </c>
      <c r="B17" s="15" t="s">
        <v>1603</v>
      </c>
      <c r="C17" s="15" t="s">
        <v>363</v>
      </c>
      <c r="D17" s="15" t="s">
        <v>1622</v>
      </c>
      <c r="E17" s="15" t="s">
        <v>547</v>
      </c>
      <c r="F17" s="15" t="s">
        <v>562</v>
      </c>
      <c r="G17" s="15" t="s">
        <v>1609</v>
      </c>
      <c r="H17" s="15" t="s">
        <v>1566</v>
      </c>
      <c r="L17" s="16" t="s">
        <v>95</v>
      </c>
      <c r="M17" s="174" t="s">
        <v>535</v>
      </c>
      <c r="N17" s="174"/>
      <c r="O17" s="174"/>
      <c r="P17" s="175"/>
      <c r="S17" s="36" t="s">
        <v>1608</v>
      </c>
      <c r="T17" s="32" t="s">
        <v>1820</v>
      </c>
      <c r="U17" s="37" t="s">
        <v>2140</v>
      </c>
      <c r="V17" s="172" t="s">
        <v>1821</v>
      </c>
      <c r="W17" s="172"/>
      <c r="X17" s="172"/>
      <c r="Y17" s="172"/>
      <c r="Z17" s="173"/>
    </row>
    <row r="18" spans="1:26" x14ac:dyDescent="0.3">
      <c r="A18" s="15" t="s">
        <v>326</v>
      </c>
      <c r="B18" s="15" t="s">
        <v>1603</v>
      </c>
      <c r="C18" s="15" t="s">
        <v>363</v>
      </c>
      <c r="D18" s="24" t="s">
        <v>1623</v>
      </c>
      <c r="E18" s="15" t="s">
        <v>547</v>
      </c>
      <c r="F18" s="15" t="s">
        <v>563</v>
      </c>
      <c r="G18" s="15" t="s">
        <v>1611</v>
      </c>
      <c r="H18" s="15" t="s">
        <v>1566</v>
      </c>
      <c r="L18" s="16" t="s">
        <v>100</v>
      </c>
      <c r="M18" s="174" t="s">
        <v>531</v>
      </c>
      <c r="N18" s="174"/>
      <c r="O18" s="174"/>
      <c r="P18" s="175"/>
      <c r="S18" s="36" t="s">
        <v>1608</v>
      </c>
      <c r="T18" s="32" t="s">
        <v>1822</v>
      </c>
      <c r="U18" s="37" t="s">
        <v>2141</v>
      </c>
      <c r="V18" s="172" t="s">
        <v>1823</v>
      </c>
      <c r="W18" s="172"/>
      <c r="X18" s="172"/>
      <c r="Y18" s="172"/>
      <c r="Z18" s="173"/>
    </row>
    <row r="19" spans="1:26" x14ac:dyDescent="0.3">
      <c r="A19" s="15" t="s">
        <v>328</v>
      </c>
      <c r="B19" s="15" t="s">
        <v>1603</v>
      </c>
      <c r="C19" s="15" t="s">
        <v>363</v>
      </c>
      <c r="D19" s="24" t="s">
        <v>404</v>
      </c>
      <c r="E19" s="15" t="s">
        <v>547</v>
      </c>
      <c r="F19" s="15" t="s">
        <v>564</v>
      </c>
      <c r="G19" s="15" t="s">
        <v>1611</v>
      </c>
      <c r="H19" s="15" t="s">
        <v>1566</v>
      </c>
      <c r="L19" s="16" t="s">
        <v>108</v>
      </c>
      <c r="M19" s="174" t="s">
        <v>527</v>
      </c>
      <c r="N19" s="174"/>
      <c r="O19" s="174"/>
      <c r="P19" s="175"/>
      <c r="S19" s="36" t="s">
        <v>1608</v>
      </c>
      <c r="T19" s="32" t="s">
        <v>1824</v>
      </c>
      <c r="U19" s="37" t="s">
        <v>2142</v>
      </c>
      <c r="V19" s="172" t="s">
        <v>1825</v>
      </c>
      <c r="W19" s="172"/>
      <c r="X19" s="172"/>
      <c r="Y19" s="172"/>
      <c r="Z19" s="173"/>
    </row>
    <row r="20" spans="1:26" x14ac:dyDescent="0.3">
      <c r="A20" s="15" t="s">
        <v>329</v>
      </c>
      <c r="B20" s="15" t="s">
        <v>1603</v>
      </c>
      <c r="C20" s="15" t="s">
        <v>363</v>
      </c>
      <c r="D20" s="24" t="s">
        <v>1624</v>
      </c>
      <c r="E20" s="15" t="s">
        <v>547</v>
      </c>
      <c r="F20" s="15" t="s">
        <v>565</v>
      </c>
      <c r="G20" s="15" t="s">
        <v>1611</v>
      </c>
      <c r="H20" s="15" t="s">
        <v>1567</v>
      </c>
      <c r="L20" s="16" t="s">
        <v>115</v>
      </c>
      <c r="M20" s="174" t="s">
        <v>529</v>
      </c>
      <c r="N20" s="174"/>
      <c r="O20" s="174"/>
      <c r="P20" s="175"/>
      <c r="S20" s="36" t="s">
        <v>1608</v>
      </c>
      <c r="T20" s="32" t="s">
        <v>1826</v>
      </c>
      <c r="U20" s="37" t="s">
        <v>2143</v>
      </c>
      <c r="V20" s="172" t="s">
        <v>1827</v>
      </c>
      <c r="W20" s="172"/>
      <c r="X20" s="172"/>
      <c r="Y20" s="172"/>
      <c r="Z20" s="173"/>
    </row>
    <row r="21" spans="1:26" x14ac:dyDescent="0.3">
      <c r="A21" s="15" t="s">
        <v>330</v>
      </c>
      <c r="B21" s="15" t="s">
        <v>1603</v>
      </c>
      <c r="C21" s="15" t="s">
        <v>363</v>
      </c>
      <c r="D21" s="24" t="s">
        <v>1625</v>
      </c>
      <c r="E21" s="15" t="s">
        <v>547</v>
      </c>
      <c r="F21" s="15" t="s">
        <v>566</v>
      </c>
      <c r="G21" s="15" t="s">
        <v>1611</v>
      </c>
      <c r="H21" s="15" t="s">
        <v>1567</v>
      </c>
      <c r="L21" s="16" t="s">
        <v>119</v>
      </c>
      <c r="M21" s="174" t="s">
        <v>530</v>
      </c>
      <c r="N21" s="174"/>
      <c r="O21" s="174"/>
      <c r="P21" s="175"/>
      <c r="S21" s="36" t="s">
        <v>1608</v>
      </c>
      <c r="T21" s="32" t="s">
        <v>1828</v>
      </c>
      <c r="U21" s="37" t="s">
        <v>2144</v>
      </c>
      <c r="V21" s="172" t="s">
        <v>1829</v>
      </c>
      <c r="W21" s="172"/>
      <c r="X21" s="172"/>
      <c r="Y21" s="172"/>
      <c r="Z21" s="173"/>
    </row>
    <row r="22" spans="1:26" x14ac:dyDescent="0.3">
      <c r="A22" s="15" t="s">
        <v>331</v>
      </c>
      <c r="B22" s="15" t="s">
        <v>1603</v>
      </c>
      <c r="C22" s="15" t="s">
        <v>363</v>
      </c>
      <c r="D22" s="15" t="s">
        <v>1626</v>
      </c>
      <c r="E22" s="15" t="s">
        <v>547</v>
      </c>
      <c r="F22" s="15" t="s">
        <v>567</v>
      </c>
      <c r="G22" s="15" t="s">
        <v>1609</v>
      </c>
      <c r="H22" s="15" t="s">
        <v>1566</v>
      </c>
      <c r="L22" s="16" t="s">
        <v>141</v>
      </c>
      <c r="M22" s="174" t="s">
        <v>532</v>
      </c>
      <c r="N22" s="174"/>
      <c r="O22" s="174"/>
      <c r="P22" s="175"/>
      <c r="S22" s="36" t="s">
        <v>1608</v>
      </c>
      <c r="T22" s="32" t="s">
        <v>1830</v>
      </c>
      <c r="U22" s="37" t="s">
        <v>2145</v>
      </c>
      <c r="V22" s="172" t="s">
        <v>1831</v>
      </c>
      <c r="W22" s="172"/>
      <c r="X22" s="172"/>
      <c r="Y22" s="172"/>
      <c r="Z22" s="173"/>
    </row>
    <row r="23" spans="1:26" x14ac:dyDescent="0.3">
      <c r="A23" s="15" t="s">
        <v>332</v>
      </c>
      <c r="B23" s="15" t="s">
        <v>1603</v>
      </c>
      <c r="C23" s="15" t="s">
        <v>363</v>
      </c>
      <c r="D23" s="23" t="s">
        <v>1627</v>
      </c>
      <c r="E23" s="15" t="s">
        <v>547</v>
      </c>
      <c r="F23" s="15" t="s">
        <v>568</v>
      </c>
      <c r="G23" s="15" t="s">
        <v>587</v>
      </c>
      <c r="H23" s="15" t="s">
        <v>1566</v>
      </c>
      <c r="L23" s="16" t="s">
        <v>148</v>
      </c>
      <c r="M23" s="174" t="s">
        <v>533</v>
      </c>
      <c r="N23" s="174"/>
      <c r="O23" s="174"/>
      <c r="P23" s="175"/>
      <c r="S23" s="36" t="s">
        <v>1608</v>
      </c>
      <c r="T23" s="71" t="s">
        <v>2119</v>
      </c>
      <c r="U23" s="72" t="s">
        <v>2646</v>
      </c>
      <c r="V23" s="172" t="s">
        <v>2647</v>
      </c>
      <c r="W23" s="172"/>
      <c r="X23" s="172"/>
      <c r="Y23" s="172"/>
      <c r="Z23" s="173"/>
    </row>
    <row r="24" spans="1:26" x14ac:dyDescent="0.3">
      <c r="A24" s="15" t="s">
        <v>333</v>
      </c>
      <c r="B24" s="15" t="s">
        <v>1603</v>
      </c>
      <c r="C24" s="15" t="s">
        <v>363</v>
      </c>
      <c r="D24" s="23" t="s">
        <v>1628</v>
      </c>
      <c r="E24" s="15" t="s">
        <v>547</v>
      </c>
      <c r="F24" s="15" t="s">
        <v>569</v>
      </c>
      <c r="G24" s="15" t="s">
        <v>587</v>
      </c>
      <c r="H24" s="15" t="s">
        <v>1566</v>
      </c>
      <c r="L24" s="16" t="s">
        <v>150</v>
      </c>
      <c r="M24" s="174" t="s">
        <v>534</v>
      </c>
      <c r="N24" s="174"/>
      <c r="O24" s="174"/>
      <c r="P24" s="175"/>
      <c r="S24" s="36" t="s">
        <v>1608</v>
      </c>
      <c r="T24" s="32" t="s">
        <v>1604</v>
      </c>
      <c r="U24" s="37" t="s">
        <v>2146</v>
      </c>
      <c r="V24" s="172" t="s">
        <v>1832</v>
      </c>
      <c r="W24" s="172"/>
      <c r="X24" s="172"/>
      <c r="Y24" s="172"/>
      <c r="Z24" s="173"/>
    </row>
    <row r="25" spans="1:26" x14ac:dyDescent="0.3">
      <c r="A25" s="15" t="s">
        <v>334</v>
      </c>
      <c r="B25" s="15" t="s">
        <v>1603</v>
      </c>
      <c r="C25" s="15" t="s">
        <v>363</v>
      </c>
      <c r="D25" s="15" t="s">
        <v>1629</v>
      </c>
      <c r="E25" s="15" t="s">
        <v>547</v>
      </c>
      <c r="F25" s="15" t="s">
        <v>570</v>
      </c>
      <c r="G25" s="15" t="s">
        <v>1609</v>
      </c>
      <c r="H25" s="15" t="s">
        <v>1566</v>
      </c>
      <c r="L25" s="16" t="s">
        <v>156</v>
      </c>
      <c r="M25" s="174" t="s">
        <v>536</v>
      </c>
      <c r="N25" s="174"/>
      <c r="O25" s="174"/>
      <c r="P25" s="175"/>
      <c r="S25" s="36" t="s">
        <v>1608</v>
      </c>
      <c r="T25" s="32" t="s">
        <v>1605</v>
      </c>
      <c r="U25" s="37" t="s">
        <v>2147</v>
      </c>
      <c r="V25" s="172" t="s">
        <v>1833</v>
      </c>
      <c r="W25" s="172"/>
      <c r="X25" s="172"/>
      <c r="Y25" s="172"/>
      <c r="Z25" s="173"/>
    </row>
    <row r="26" spans="1:26" x14ac:dyDescent="0.3">
      <c r="A26" s="15" t="s">
        <v>335</v>
      </c>
      <c r="B26" s="15" t="s">
        <v>1603</v>
      </c>
      <c r="C26" s="15" t="s">
        <v>363</v>
      </c>
      <c r="D26" s="15" t="s">
        <v>1630</v>
      </c>
      <c r="E26" s="15" t="s">
        <v>547</v>
      </c>
      <c r="F26" s="15" t="s">
        <v>571</v>
      </c>
      <c r="G26" s="15" t="s">
        <v>1609</v>
      </c>
      <c r="H26" s="15" t="s">
        <v>1566</v>
      </c>
      <c r="L26" s="16" t="s">
        <v>167</v>
      </c>
      <c r="M26" s="174" t="s">
        <v>537</v>
      </c>
      <c r="N26" s="174"/>
      <c r="O26" s="174"/>
      <c r="P26" s="175"/>
      <c r="S26" s="36" t="s">
        <v>1608</v>
      </c>
      <c r="T26" s="32" t="s">
        <v>1606</v>
      </c>
      <c r="U26" s="37" t="s">
        <v>2148</v>
      </c>
      <c r="V26" s="172" t="s">
        <v>1834</v>
      </c>
      <c r="W26" s="172"/>
      <c r="X26" s="172"/>
      <c r="Y26" s="172"/>
      <c r="Z26" s="173"/>
    </row>
    <row r="27" spans="1:26" x14ac:dyDescent="0.3">
      <c r="A27" s="15" t="s">
        <v>336</v>
      </c>
      <c r="B27" s="15" t="s">
        <v>1603</v>
      </c>
      <c r="C27" s="15" t="s">
        <v>363</v>
      </c>
      <c r="D27" s="15" t="s">
        <v>1631</v>
      </c>
      <c r="E27" s="15" t="s">
        <v>547</v>
      </c>
      <c r="F27" s="15" t="s">
        <v>572</v>
      </c>
      <c r="G27" s="15" t="s">
        <v>1609</v>
      </c>
      <c r="H27" s="15" t="s">
        <v>1566</v>
      </c>
      <c r="L27" s="16" t="s">
        <v>170</v>
      </c>
      <c r="M27" s="174" t="s">
        <v>538</v>
      </c>
      <c r="N27" s="174"/>
      <c r="O27" s="174"/>
      <c r="P27" s="175"/>
      <c r="S27" s="36" t="s">
        <v>1608</v>
      </c>
      <c r="T27" s="32" t="s">
        <v>2118</v>
      </c>
      <c r="U27" s="37" t="s">
        <v>2149</v>
      </c>
      <c r="V27" s="172" t="s">
        <v>1835</v>
      </c>
      <c r="W27" s="172"/>
      <c r="X27" s="172"/>
      <c r="Y27" s="172"/>
      <c r="Z27" s="173"/>
    </row>
    <row r="28" spans="1:26" x14ac:dyDescent="0.3">
      <c r="A28" s="15" t="s">
        <v>337</v>
      </c>
      <c r="B28" s="15" t="s">
        <v>1603</v>
      </c>
      <c r="C28" s="15" t="s">
        <v>363</v>
      </c>
      <c r="D28" s="15" t="s">
        <v>1632</v>
      </c>
      <c r="E28" s="15" t="s">
        <v>547</v>
      </c>
      <c r="F28" s="15" t="s">
        <v>573</v>
      </c>
      <c r="G28" s="15" t="s">
        <v>1609</v>
      </c>
      <c r="H28" s="15" t="s">
        <v>1566</v>
      </c>
      <c r="L28" s="16" t="s">
        <v>191</v>
      </c>
      <c r="M28" s="174" t="s">
        <v>528</v>
      </c>
      <c r="N28" s="174"/>
      <c r="O28" s="174"/>
      <c r="P28" s="175"/>
      <c r="S28" s="36" t="s">
        <v>1608</v>
      </c>
      <c r="T28" s="32" t="s">
        <v>1836</v>
      </c>
      <c r="U28" s="37" t="s">
        <v>2150</v>
      </c>
      <c r="V28" s="172" t="s">
        <v>1837</v>
      </c>
      <c r="W28" s="172"/>
      <c r="X28" s="172"/>
      <c r="Y28" s="172"/>
      <c r="Z28" s="173"/>
    </row>
    <row r="29" spans="1:26" x14ac:dyDescent="0.3">
      <c r="A29" s="15" t="s">
        <v>338</v>
      </c>
      <c r="B29" s="15" t="s">
        <v>1603</v>
      </c>
      <c r="C29" s="15" t="s">
        <v>363</v>
      </c>
      <c r="D29" s="15" t="s">
        <v>1633</v>
      </c>
      <c r="E29" s="15" t="s">
        <v>547</v>
      </c>
      <c r="F29" s="15" t="s">
        <v>574</v>
      </c>
      <c r="G29" s="15" t="s">
        <v>1609</v>
      </c>
      <c r="H29" s="15" t="s">
        <v>1566</v>
      </c>
      <c r="L29" s="16" t="s">
        <v>218</v>
      </c>
      <c r="M29" s="174" t="s">
        <v>539</v>
      </c>
      <c r="N29" s="174"/>
      <c r="O29" s="174"/>
      <c r="P29" s="175"/>
      <c r="S29" s="36" t="s">
        <v>1608</v>
      </c>
      <c r="T29" s="32" t="s">
        <v>1838</v>
      </c>
      <c r="U29" s="37" t="s">
        <v>2151</v>
      </c>
      <c r="V29" s="172" t="s">
        <v>1839</v>
      </c>
      <c r="W29" s="172"/>
      <c r="X29" s="172"/>
      <c r="Y29" s="172"/>
      <c r="Z29" s="173"/>
    </row>
    <row r="30" spans="1:26" x14ac:dyDescent="0.3">
      <c r="A30" s="15" t="s">
        <v>339</v>
      </c>
      <c r="B30" s="15" t="s">
        <v>1603</v>
      </c>
      <c r="C30" s="15" t="s">
        <v>363</v>
      </c>
      <c r="D30" s="15" t="s">
        <v>1634</v>
      </c>
      <c r="E30" s="15" t="s">
        <v>547</v>
      </c>
      <c r="F30" s="15" t="s">
        <v>575</v>
      </c>
      <c r="G30" s="15" t="s">
        <v>1609</v>
      </c>
      <c r="H30" s="15" t="s">
        <v>1566</v>
      </c>
      <c r="L30" s="16" t="s">
        <v>967</v>
      </c>
      <c r="M30" s="174" t="s">
        <v>1898</v>
      </c>
      <c r="N30" s="174"/>
      <c r="O30" s="174"/>
      <c r="P30" s="175"/>
      <c r="S30" s="36" t="s">
        <v>1608</v>
      </c>
      <c r="T30" s="32" t="s">
        <v>1840</v>
      </c>
      <c r="U30" s="37" t="s">
        <v>2152</v>
      </c>
      <c r="V30" s="172" t="s">
        <v>1841</v>
      </c>
      <c r="W30" s="172"/>
      <c r="X30" s="172"/>
      <c r="Y30" s="172"/>
      <c r="Z30" s="173"/>
    </row>
    <row r="31" spans="1:26" x14ac:dyDescent="0.3">
      <c r="A31" s="15" t="s">
        <v>340</v>
      </c>
      <c r="B31" s="15" t="s">
        <v>1603</v>
      </c>
      <c r="C31" s="15" t="s">
        <v>363</v>
      </c>
      <c r="D31" s="15" t="s">
        <v>1635</v>
      </c>
      <c r="E31" s="15" t="s">
        <v>547</v>
      </c>
      <c r="F31" s="15" t="s">
        <v>576</v>
      </c>
      <c r="G31" s="15" t="s">
        <v>1609</v>
      </c>
      <c r="H31" s="15" t="s">
        <v>1567</v>
      </c>
      <c r="L31" s="16" t="s">
        <v>1894</v>
      </c>
      <c r="M31" s="174" t="s">
        <v>1896</v>
      </c>
      <c r="N31" s="174"/>
      <c r="O31" s="174"/>
      <c r="P31" s="175"/>
      <c r="S31" s="36" t="s">
        <v>1608</v>
      </c>
      <c r="T31" s="32" t="s">
        <v>1842</v>
      </c>
      <c r="U31" s="37" t="s">
        <v>2153</v>
      </c>
      <c r="V31" s="172" t="s">
        <v>1843</v>
      </c>
      <c r="W31" s="172"/>
      <c r="X31" s="172"/>
      <c r="Y31" s="172"/>
      <c r="Z31" s="173"/>
    </row>
    <row r="32" spans="1:26" ht="15" thickBot="1" x14ac:dyDescent="0.35">
      <c r="A32" s="15" t="s">
        <v>341</v>
      </c>
      <c r="B32" s="15" t="s">
        <v>1603</v>
      </c>
      <c r="C32" s="15" t="s">
        <v>363</v>
      </c>
      <c r="D32" s="15" t="s">
        <v>1636</v>
      </c>
      <c r="E32" s="15" t="s">
        <v>547</v>
      </c>
      <c r="F32" s="15" t="s">
        <v>577</v>
      </c>
      <c r="G32" s="15" t="s">
        <v>1610</v>
      </c>
      <c r="H32" s="15" t="s">
        <v>1567</v>
      </c>
      <c r="I32" s="15" t="s">
        <v>1582</v>
      </c>
      <c r="L32" s="17" t="s">
        <v>1895</v>
      </c>
      <c r="M32" s="176" t="s">
        <v>1897</v>
      </c>
      <c r="N32" s="176"/>
      <c r="O32" s="176"/>
      <c r="P32" s="177"/>
      <c r="S32" s="36" t="s">
        <v>1608</v>
      </c>
      <c r="T32" s="32" t="s">
        <v>1844</v>
      </c>
      <c r="U32" s="37" t="s">
        <v>2154</v>
      </c>
      <c r="V32" s="172" t="s">
        <v>1845</v>
      </c>
      <c r="W32" s="172"/>
      <c r="X32" s="172"/>
      <c r="Y32" s="172"/>
      <c r="Z32" s="173"/>
    </row>
    <row r="33" spans="1:26" x14ac:dyDescent="0.3">
      <c r="A33" s="15" t="s">
        <v>342</v>
      </c>
      <c r="B33" s="15" t="s">
        <v>1603</v>
      </c>
      <c r="C33" s="15" t="s">
        <v>363</v>
      </c>
      <c r="D33" s="23" t="s">
        <v>1637</v>
      </c>
      <c r="E33" s="15" t="s">
        <v>547</v>
      </c>
      <c r="F33" s="15" t="s">
        <v>578</v>
      </c>
      <c r="G33" s="15" t="s">
        <v>587</v>
      </c>
      <c r="H33" s="15" t="s">
        <v>1567</v>
      </c>
      <c r="I33" s="15" t="s">
        <v>1582</v>
      </c>
      <c r="S33" s="36" t="s">
        <v>1608</v>
      </c>
      <c r="T33" s="32" t="s">
        <v>2121</v>
      </c>
      <c r="U33" s="37" t="s">
        <v>2155</v>
      </c>
      <c r="V33" s="172" t="s">
        <v>2123</v>
      </c>
      <c r="W33" s="172"/>
      <c r="X33" s="172"/>
      <c r="Y33" s="172"/>
      <c r="Z33" s="173"/>
    </row>
    <row r="34" spans="1:26" x14ac:dyDescent="0.3">
      <c r="A34" s="15" t="s">
        <v>343</v>
      </c>
      <c r="B34" s="15" t="s">
        <v>1603</v>
      </c>
      <c r="C34" s="15" t="s">
        <v>363</v>
      </c>
      <c r="D34" s="15" t="s">
        <v>1638</v>
      </c>
      <c r="E34" s="15" t="s">
        <v>547</v>
      </c>
      <c r="F34" s="15" t="s">
        <v>579</v>
      </c>
      <c r="G34" s="15" t="s">
        <v>1609</v>
      </c>
      <c r="H34" s="15" t="s">
        <v>1566</v>
      </c>
      <c r="S34" s="36" t="s">
        <v>1608</v>
      </c>
      <c r="T34" s="32" t="s">
        <v>1846</v>
      </c>
      <c r="U34" s="37" t="s">
        <v>2156</v>
      </c>
      <c r="V34" s="172" t="s">
        <v>1847</v>
      </c>
      <c r="W34" s="172"/>
      <c r="X34" s="172"/>
      <c r="Y34" s="172"/>
      <c r="Z34" s="173"/>
    </row>
    <row r="35" spans="1:26" x14ac:dyDescent="0.3">
      <c r="A35" s="15" t="s">
        <v>344</v>
      </c>
      <c r="B35" s="15" t="s">
        <v>1603</v>
      </c>
      <c r="C35" s="15" t="s">
        <v>363</v>
      </c>
      <c r="D35" s="26" t="s">
        <v>1639</v>
      </c>
      <c r="E35" s="15" t="s">
        <v>547</v>
      </c>
      <c r="F35" s="15" t="s">
        <v>580</v>
      </c>
      <c r="G35" s="15" t="s">
        <v>588</v>
      </c>
      <c r="H35" s="15" t="s">
        <v>1566</v>
      </c>
      <c r="I35" s="15" t="s">
        <v>1583</v>
      </c>
      <c r="S35" s="36" t="s">
        <v>1608</v>
      </c>
      <c r="T35" s="32" t="s">
        <v>1848</v>
      </c>
      <c r="U35" s="37" t="s">
        <v>2157</v>
      </c>
      <c r="V35" s="172" t="s">
        <v>1849</v>
      </c>
      <c r="W35" s="172"/>
      <c r="X35" s="172"/>
      <c r="Y35" s="172"/>
      <c r="Z35" s="173"/>
    </row>
    <row r="36" spans="1:26" x14ac:dyDescent="0.3">
      <c r="A36" s="15" t="s">
        <v>345</v>
      </c>
      <c r="B36" s="15" t="s">
        <v>1603</v>
      </c>
      <c r="C36" s="15" t="s">
        <v>363</v>
      </c>
      <c r="D36" s="15" t="s">
        <v>1640</v>
      </c>
      <c r="E36" s="15" t="s">
        <v>547</v>
      </c>
      <c r="F36" s="15" t="s">
        <v>581</v>
      </c>
      <c r="G36" s="15" t="s">
        <v>1609</v>
      </c>
      <c r="H36" s="15" t="s">
        <v>1566</v>
      </c>
      <c r="I36" s="15" t="s">
        <v>1583</v>
      </c>
      <c r="S36" s="36" t="s">
        <v>1608</v>
      </c>
      <c r="T36" s="32" t="s">
        <v>1850</v>
      </c>
      <c r="U36" s="37" t="s">
        <v>2651</v>
      </c>
      <c r="V36" s="172" t="s">
        <v>1851</v>
      </c>
      <c r="W36" s="172"/>
      <c r="X36" s="172"/>
      <c r="Y36" s="172"/>
      <c r="Z36" s="173"/>
    </row>
    <row r="37" spans="1:26" x14ac:dyDescent="0.3">
      <c r="A37" s="15" t="s">
        <v>346</v>
      </c>
      <c r="B37" s="15" t="s">
        <v>1603</v>
      </c>
      <c r="C37" s="15" t="s">
        <v>363</v>
      </c>
      <c r="D37" s="15" t="s">
        <v>1641</v>
      </c>
      <c r="E37" s="15" t="s">
        <v>547</v>
      </c>
      <c r="F37" s="15" t="s">
        <v>582</v>
      </c>
      <c r="G37" s="15" t="s">
        <v>1609</v>
      </c>
      <c r="H37" s="15" t="s">
        <v>1566</v>
      </c>
      <c r="S37" s="36" t="s">
        <v>1608</v>
      </c>
      <c r="T37" s="32" t="s">
        <v>1852</v>
      </c>
      <c r="U37" s="37" t="s">
        <v>2158</v>
      </c>
      <c r="V37" s="172" t="s">
        <v>1853</v>
      </c>
      <c r="W37" s="172"/>
      <c r="X37" s="172"/>
      <c r="Y37" s="172"/>
      <c r="Z37" s="173"/>
    </row>
    <row r="38" spans="1:26" x14ac:dyDescent="0.3">
      <c r="A38" s="15" t="s">
        <v>347</v>
      </c>
      <c r="B38" s="15" t="s">
        <v>1607</v>
      </c>
      <c r="C38" s="15" t="s">
        <v>1578</v>
      </c>
      <c r="D38" s="23" t="s">
        <v>1221</v>
      </c>
      <c r="E38" s="15" t="s">
        <v>547</v>
      </c>
      <c r="F38" s="15" t="s">
        <v>583</v>
      </c>
      <c r="G38" s="15" t="s">
        <v>587</v>
      </c>
      <c r="H38" s="15" t="s">
        <v>1566</v>
      </c>
      <c r="I38" s="15" t="s">
        <v>1584</v>
      </c>
      <c r="S38" s="36" t="s">
        <v>1608</v>
      </c>
      <c r="T38" s="32" t="s">
        <v>1854</v>
      </c>
      <c r="U38" s="37" t="s">
        <v>2159</v>
      </c>
      <c r="V38" s="172" t="s">
        <v>1855</v>
      </c>
      <c r="W38" s="172"/>
      <c r="X38" s="172"/>
      <c r="Y38" s="172"/>
      <c r="Z38" s="173"/>
    </row>
    <row r="39" spans="1:26" x14ac:dyDescent="0.3">
      <c r="A39" s="15" t="s">
        <v>350</v>
      </c>
      <c r="B39" s="15" t="s">
        <v>1607</v>
      </c>
      <c r="C39" s="15" t="s">
        <v>1578</v>
      </c>
      <c r="D39" s="24" t="s">
        <v>1222</v>
      </c>
      <c r="E39" s="15" t="s">
        <v>547</v>
      </c>
      <c r="F39" s="15" t="s">
        <v>584</v>
      </c>
      <c r="G39" s="15" t="s">
        <v>1611</v>
      </c>
      <c r="H39" s="15" t="s">
        <v>1566</v>
      </c>
      <c r="I39" s="15" t="s">
        <v>1585</v>
      </c>
      <c r="S39" s="36" t="s">
        <v>1608</v>
      </c>
      <c r="T39" s="32" t="s">
        <v>1856</v>
      </c>
      <c r="U39" s="37" t="s">
        <v>2160</v>
      </c>
      <c r="V39" s="172" t="s">
        <v>1857</v>
      </c>
      <c r="W39" s="172"/>
      <c r="X39" s="172"/>
      <c r="Y39" s="172"/>
      <c r="Z39" s="173"/>
    </row>
    <row r="40" spans="1:26" x14ac:dyDescent="0.3">
      <c r="A40" s="15" t="s">
        <v>348</v>
      </c>
      <c r="B40" s="15" t="s">
        <v>1607</v>
      </c>
      <c r="C40" s="15" t="s">
        <v>1578</v>
      </c>
      <c r="D40" s="23" t="s">
        <v>1223</v>
      </c>
      <c r="E40" s="15" t="s">
        <v>547</v>
      </c>
      <c r="F40" s="15" t="s">
        <v>585</v>
      </c>
      <c r="G40" s="15" t="s">
        <v>587</v>
      </c>
      <c r="H40" s="15" t="s">
        <v>1566</v>
      </c>
      <c r="I40" s="15" t="s">
        <v>1586</v>
      </c>
      <c r="S40" s="36" t="s">
        <v>1608</v>
      </c>
      <c r="T40" s="32" t="s">
        <v>1858</v>
      </c>
      <c r="U40" s="37" t="s">
        <v>2161</v>
      </c>
      <c r="V40" s="172" t="s">
        <v>1859</v>
      </c>
      <c r="W40" s="172"/>
      <c r="X40" s="172"/>
      <c r="Y40" s="172"/>
      <c r="Z40" s="173"/>
    </row>
    <row r="41" spans="1:26" x14ac:dyDescent="0.3">
      <c r="A41" s="15" t="s">
        <v>709</v>
      </c>
      <c r="B41" s="15" t="s">
        <v>1607</v>
      </c>
      <c r="C41" s="15" t="s">
        <v>1578</v>
      </c>
      <c r="D41" s="23" t="s">
        <v>1224</v>
      </c>
      <c r="E41" s="15" t="s">
        <v>547</v>
      </c>
      <c r="F41" s="15" t="s">
        <v>586</v>
      </c>
      <c r="G41" s="15" t="s">
        <v>587</v>
      </c>
      <c r="H41" s="15" t="s">
        <v>1566</v>
      </c>
      <c r="I41" s="15" t="s">
        <v>1587</v>
      </c>
      <c r="S41" s="36" t="s">
        <v>1608</v>
      </c>
      <c r="T41" s="32" t="s">
        <v>1860</v>
      </c>
      <c r="U41" s="37" t="s">
        <v>2162</v>
      </c>
      <c r="V41" s="172" t="s">
        <v>1861</v>
      </c>
      <c r="W41" s="172"/>
      <c r="X41" s="172"/>
      <c r="Y41" s="172"/>
      <c r="Z41" s="173"/>
    </row>
    <row r="42" spans="1:26" ht="15" thickBot="1" x14ac:dyDescent="0.35">
      <c r="A42" s="15" t="s">
        <v>353</v>
      </c>
      <c r="B42" s="15" t="s">
        <v>1607</v>
      </c>
      <c r="C42" s="15" t="s">
        <v>1578</v>
      </c>
      <c r="D42" s="15" t="s">
        <v>2116</v>
      </c>
      <c r="E42" s="15" t="s">
        <v>708</v>
      </c>
      <c r="F42" s="15" t="s">
        <v>548</v>
      </c>
      <c r="G42" s="15" t="s">
        <v>1610</v>
      </c>
      <c r="H42" s="15" t="s">
        <v>1566</v>
      </c>
      <c r="I42" s="15" t="s">
        <v>2116</v>
      </c>
      <c r="S42" s="38" t="s">
        <v>1608</v>
      </c>
      <c r="T42" s="31" t="s">
        <v>1862</v>
      </c>
      <c r="U42" s="39" t="s">
        <v>2163</v>
      </c>
      <c r="V42" s="189" t="s">
        <v>1863</v>
      </c>
      <c r="W42" s="189"/>
      <c r="X42" s="189"/>
      <c r="Y42" s="189"/>
      <c r="Z42" s="190"/>
    </row>
    <row r="43" spans="1:26" x14ac:dyDescent="0.3">
      <c r="A43" s="15" t="s">
        <v>317</v>
      </c>
      <c r="B43" s="15" t="s">
        <v>1607</v>
      </c>
      <c r="C43" s="15" t="s">
        <v>1220</v>
      </c>
      <c r="D43" s="23" t="s">
        <v>1580</v>
      </c>
      <c r="E43" s="15" t="s">
        <v>708</v>
      </c>
      <c r="F43" s="15" t="s">
        <v>549</v>
      </c>
      <c r="G43" s="15" t="s">
        <v>587</v>
      </c>
      <c r="H43" s="15" t="s">
        <v>1566</v>
      </c>
      <c r="I43" s="15" t="s">
        <v>2117</v>
      </c>
    </row>
    <row r="44" spans="1:26" x14ac:dyDescent="0.3">
      <c r="A44" s="15" t="s">
        <v>318</v>
      </c>
      <c r="B44" s="15" t="s">
        <v>2119</v>
      </c>
      <c r="C44" s="15" t="s">
        <v>1608</v>
      </c>
      <c r="D44" s="23" t="s">
        <v>351</v>
      </c>
      <c r="E44" s="15" t="s">
        <v>708</v>
      </c>
      <c r="F44" s="15" t="s">
        <v>550</v>
      </c>
      <c r="G44" s="15" t="s">
        <v>587</v>
      </c>
      <c r="H44" s="15" t="s">
        <v>1566</v>
      </c>
    </row>
    <row r="45" spans="1:26" x14ac:dyDescent="0.3">
      <c r="A45" s="15" t="s">
        <v>319</v>
      </c>
      <c r="B45" s="15" t="s">
        <v>2119</v>
      </c>
      <c r="C45" s="15" t="s">
        <v>1608</v>
      </c>
      <c r="D45" s="15" t="s">
        <v>352</v>
      </c>
      <c r="E45" s="15" t="s">
        <v>708</v>
      </c>
      <c r="F45" s="15" t="s">
        <v>551</v>
      </c>
      <c r="G45" s="15" t="s">
        <v>1610</v>
      </c>
      <c r="H45" s="15" t="s">
        <v>1567</v>
      </c>
    </row>
    <row r="46" spans="1:26" x14ac:dyDescent="0.3">
      <c r="A46" s="15" t="s">
        <v>354</v>
      </c>
      <c r="B46" s="15" t="s">
        <v>1604</v>
      </c>
      <c r="C46" s="15" t="s">
        <v>1608</v>
      </c>
      <c r="D46" s="15" t="s">
        <v>1651</v>
      </c>
      <c r="E46" s="15" t="s">
        <v>708</v>
      </c>
      <c r="F46" s="15" t="s">
        <v>552</v>
      </c>
      <c r="G46" s="15" t="s">
        <v>1609</v>
      </c>
      <c r="H46" s="15" t="s">
        <v>1567</v>
      </c>
    </row>
    <row r="47" spans="1:26" x14ac:dyDescent="0.3">
      <c r="A47" s="15" t="s">
        <v>355</v>
      </c>
      <c r="B47" s="15" t="s">
        <v>1604</v>
      </c>
      <c r="C47" s="15" t="s">
        <v>1608</v>
      </c>
      <c r="D47" s="15" t="s">
        <v>1652</v>
      </c>
      <c r="E47" s="15" t="s">
        <v>708</v>
      </c>
      <c r="F47" s="15" t="s">
        <v>553</v>
      </c>
      <c r="G47" s="15" t="s">
        <v>1609</v>
      </c>
      <c r="H47" s="15" t="s">
        <v>1567</v>
      </c>
      <c r="I47" s="15" t="s">
        <v>1588</v>
      </c>
    </row>
    <row r="48" spans="1:26" x14ac:dyDescent="0.3">
      <c r="A48" s="15" t="s">
        <v>1</v>
      </c>
      <c r="B48" s="15" t="s">
        <v>1604</v>
      </c>
      <c r="C48" s="15" t="s">
        <v>1608</v>
      </c>
      <c r="D48" s="15" t="s">
        <v>1653</v>
      </c>
      <c r="E48" s="15" t="s">
        <v>708</v>
      </c>
      <c r="F48" s="15" t="s">
        <v>554</v>
      </c>
      <c r="G48" s="15" t="s">
        <v>1609</v>
      </c>
      <c r="H48" s="15" t="s">
        <v>1567</v>
      </c>
    </row>
    <row r="49" spans="1:20" x14ac:dyDescent="0.3">
      <c r="A49" s="15" t="s">
        <v>356</v>
      </c>
      <c r="B49" s="15" t="s">
        <v>1604</v>
      </c>
      <c r="C49" s="15" t="s">
        <v>1608</v>
      </c>
      <c r="D49" s="15" t="s">
        <v>1654</v>
      </c>
      <c r="E49" s="15" t="s">
        <v>708</v>
      </c>
      <c r="F49" s="15" t="s">
        <v>555</v>
      </c>
      <c r="G49" s="15" t="s">
        <v>1609</v>
      </c>
      <c r="H49" s="15" t="s">
        <v>1567</v>
      </c>
    </row>
    <row r="50" spans="1:20" x14ac:dyDescent="0.3">
      <c r="A50" s="15" t="s">
        <v>357</v>
      </c>
      <c r="B50" s="15" t="s">
        <v>1604</v>
      </c>
      <c r="C50" s="15" t="s">
        <v>1608</v>
      </c>
      <c r="D50" s="15" t="s">
        <v>1655</v>
      </c>
      <c r="E50" s="15" t="s">
        <v>708</v>
      </c>
      <c r="F50" s="15" t="s">
        <v>556</v>
      </c>
      <c r="G50" s="15" t="s">
        <v>1609</v>
      </c>
      <c r="H50" s="15" t="s">
        <v>1566</v>
      </c>
    </row>
    <row r="51" spans="1:20" ht="15" thickBot="1" x14ac:dyDescent="0.35">
      <c r="A51" s="15" t="s">
        <v>358</v>
      </c>
      <c r="B51" s="15" t="s">
        <v>1604</v>
      </c>
      <c r="C51" s="15" t="s">
        <v>1608</v>
      </c>
      <c r="D51" s="24" t="s">
        <v>1656</v>
      </c>
      <c r="E51" s="15" t="s">
        <v>708</v>
      </c>
      <c r="F51" s="15" t="s">
        <v>557</v>
      </c>
      <c r="G51" s="15" t="s">
        <v>1611</v>
      </c>
      <c r="H51" s="15" t="s">
        <v>1567</v>
      </c>
    </row>
    <row r="52" spans="1:20" x14ac:dyDescent="0.3">
      <c r="A52" s="15" t="s">
        <v>359</v>
      </c>
      <c r="B52" s="15" t="s">
        <v>1604</v>
      </c>
      <c r="C52" s="15" t="s">
        <v>1608</v>
      </c>
      <c r="D52" s="24" t="s">
        <v>1657</v>
      </c>
      <c r="E52" s="15" t="s">
        <v>708</v>
      </c>
      <c r="F52" s="15" t="s">
        <v>558</v>
      </c>
      <c r="G52" s="15" t="s">
        <v>1611</v>
      </c>
      <c r="H52" s="15" t="s">
        <v>1567</v>
      </c>
      <c r="S52" s="187" t="s">
        <v>2165</v>
      </c>
      <c r="T52" s="188"/>
    </row>
    <row r="53" spans="1:20" x14ac:dyDescent="0.3">
      <c r="A53" s="15" t="s">
        <v>371</v>
      </c>
      <c r="B53" s="15" t="s">
        <v>1604</v>
      </c>
      <c r="C53" s="15" t="s">
        <v>1608</v>
      </c>
      <c r="D53" s="15" t="s">
        <v>1658</v>
      </c>
      <c r="E53" s="15" t="s">
        <v>708</v>
      </c>
      <c r="F53" s="15" t="s">
        <v>559</v>
      </c>
      <c r="G53" s="15" t="s">
        <v>1609</v>
      </c>
      <c r="H53" s="15" t="s">
        <v>1566</v>
      </c>
      <c r="S53" s="77" t="s">
        <v>2166</v>
      </c>
      <c r="T53" s="78" t="s">
        <v>2652</v>
      </c>
    </row>
    <row r="54" spans="1:20" x14ac:dyDescent="0.3">
      <c r="A54" s="15" t="s">
        <v>370</v>
      </c>
      <c r="B54" s="15" t="s">
        <v>1604</v>
      </c>
      <c r="C54" s="15" t="s">
        <v>1608</v>
      </c>
      <c r="D54" s="24" t="s">
        <v>1659</v>
      </c>
      <c r="E54" s="15" t="s">
        <v>708</v>
      </c>
      <c r="F54" s="15" t="s">
        <v>560</v>
      </c>
      <c r="G54" s="15" t="s">
        <v>1611</v>
      </c>
      <c r="H54" s="15" t="s">
        <v>1566</v>
      </c>
      <c r="S54" s="77" t="s">
        <v>2167</v>
      </c>
      <c r="T54" s="78" t="s">
        <v>2653</v>
      </c>
    </row>
    <row r="55" spans="1:20" ht="15" thickBot="1" x14ac:dyDescent="0.35">
      <c r="A55" s="15" t="s">
        <v>360</v>
      </c>
      <c r="B55" s="15" t="s">
        <v>1604</v>
      </c>
      <c r="C55" s="15" t="s">
        <v>1608</v>
      </c>
      <c r="D55" s="15" t="s">
        <v>1660</v>
      </c>
      <c r="E55" s="15" t="s">
        <v>708</v>
      </c>
      <c r="F55" s="15" t="s">
        <v>561</v>
      </c>
      <c r="G55" s="15" t="s">
        <v>1609</v>
      </c>
      <c r="H55" s="15" t="s">
        <v>1566</v>
      </c>
      <c r="S55" s="79" t="s">
        <v>2168</v>
      </c>
      <c r="T55" s="80" t="s">
        <v>2654</v>
      </c>
    </row>
    <row r="56" spans="1:20" x14ac:dyDescent="0.3">
      <c r="A56" s="15" t="s">
        <v>372</v>
      </c>
      <c r="B56" s="15" t="s">
        <v>1604</v>
      </c>
      <c r="C56" s="15" t="s">
        <v>1608</v>
      </c>
      <c r="D56" s="15" t="s">
        <v>401</v>
      </c>
      <c r="E56" s="15" t="s">
        <v>708</v>
      </c>
      <c r="F56" s="15" t="s">
        <v>562</v>
      </c>
      <c r="G56" s="15" t="s">
        <v>1609</v>
      </c>
      <c r="H56" s="15" t="s">
        <v>1567</v>
      </c>
    </row>
    <row r="57" spans="1:20" x14ac:dyDescent="0.3">
      <c r="A57" s="15" t="s">
        <v>373</v>
      </c>
      <c r="B57" s="15" t="s">
        <v>1604</v>
      </c>
      <c r="C57" s="15" t="s">
        <v>1608</v>
      </c>
      <c r="D57" s="15" t="s">
        <v>1661</v>
      </c>
      <c r="E57" s="15" t="s">
        <v>708</v>
      </c>
      <c r="F57" s="15" t="s">
        <v>563</v>
      </c>
      <c r="G57" s="15" t="s">
        <v>1609</v>
      </c>
      <c r="H57" s="15" t="s">
        <v>1567</v>
      </c>
    </row>
    <row r="58" spans="1:20" x14ac:dyDescent="0.3">
      <c r="A58" s="15" t="s">
        <v>374</v>
      </c>
      <c r="B58" s="15" t="s">
        <v>1604</v>
      </c>
      <c r="C58" s="15" t="s">
        <v>1608</v>
      </c>
      <c r="D58" s="15" t="s">
        <v>1662</v>
      </c>
      <c r="E58" s="15" t="s">
        <v>708</v>
      </c>
      <c r="F58" s="15" t="s">
        <v>564</v>
      </c>
      <c r="G58" s="15" t="s">
        <v>1609</v>
      </c>
      <c r="H58" s="15" t="s">
        <v>1566</v>
      </c>
    </row>
    <row r="59" spans="1:20" x14ac:dyDescent="0.3">
      <c r="A59" s="15" t="s">
        <v>361</v>
      </c>
      <c r="B59" s="15" t="s">
        <v>1604</v>
      </c>
      <c r="C59" s="15" t="s">
        <v>1608</v>
      </c>
      <c r="D59" s="26" t="s">
        <v>1663</v>
      </c>
      <c r="E59" s="15" t="s">
        <v>708</v>
      </c>
      <c r="F59" s="15" t="s">
        <v>565</v>
      </c>
      <c r="G59" s="15" t="s">
        <v>588</v>
      </c>
      <c r="H59" s="15" t="s">
        <v>1566</v>
      </c>
    </row>
    <row r="60" spans="1:20" x14ac:dyDescent="0.3">
      <c r="A60" s="15" t="s">
        <v>364</v>
      </c>
      <c r="B60" s="15" t="s">
        <v>1605</v>
      </c>
      <c r="C60" s="15" t="s">
        <v>1608</v>
      </c>
      <c r="D60" s="26" t="s">
        <v>1628</v>
      </c>
      <c r="E60" s="15" t="s">
        <v>708</v>
      </c>
      <c r="F60" s="15" t="s">
        <v>566</v>
      </c>
      <c r="G60" s="15" t="s">
        <v>588</v>
      </c>
      <c r="H60" s="15" t="s">
        <v>1566</v>
      </c>
    </row>
    <row r="61" spans="1:20" x14ac:dyDescent="0.3">
      <c r="A61" s="15" t="s">
        <v>390</v>
      </c>
      <c r="B61" s="15" t="s">
        <v>1605</v>
      </c>
      <c r="C61" s="15" t="s">
        <v>1608</v>
      </c>
      <c r="D61" s="15" t="s">
        <v>1632</v>
      </c>
      <c r="E61" s="15" t="s">
        <v>708</v>
      </c>
      <c r="F61" s="15" t="s">
        <v>567</v>
      </c>
      <c r="G61" s="15" t="s">
        <v>1609</v>
      </c>
      <c r="H61" s="15" t="s">
        <v>1566</v>
      </c>
    </row>
    <row r="62" spans="1:20" x14ac:dyDescent="0.3">
      <c r="A62" s="15" t="s">
        <v>362</v>
      </c>
      <c r="B62" s="15" t="s">
        <v>1605</v>
      </c>
      <c r="C62" s="15" t="s">
        <v>1608</v>
      </c>
      <c r="D62" s="23" t="s">
        <v>1629</v>
      </c>
      <c r="E62" s="15" t="s">
        <v>708</v>
      </c>
      <c r="F62" s="15" t="s">
        <v>568</v>
      </c>
      <c r="G62" s="15" t="s">
        <v>587</v>
      </c>
      <c r="H62" s="15" t="s">
        <v>1566</v>
      </c>
    </row>
    <row r="63" spans="1:20" x14ac:dyDescent="0.3">
      <c r="A63" s="15" t="s">
        <v>376</v>
      </c>
      <c r="B63" s="15" t="s">
        <v>1605</v>
      </c>
      <c r="C63" s="15" t="s">
        <v>1608</v>
      </c>
      <c r="D63" s="24" t="s">
        <v>1633</v>
      </c>
      <c r="E63" s="15" t="s">
        <v>708</v>
      </c>
      <c r="F63" s="15" t="s">
        <v>569</v>
      </c>
      <c r="G63" s="15" t="s">
        <v>1611</v>
      </c>
      <c r="H63" s="15" t="s">
        <v>1566</v>
      </c>
    </row>
    <row r="64" spans="1:20" x14ac:dyDescent="0.3">
      <c r="A64" s="15" t="s">
        <v>375</v>
      </c>
      <c r="B64" s="15" t="s">
        <v>1605</v>
      </c>
      <c r="C64" s="15" t="s">
        <v>1608</v>
      </c>
      <c r="D64" s="24" t="s">
        <v>1630</v>
      </c>
      <c r="E64" s="15" t="s">
        <v>708</v>
      </c>
      <c r="F64" s="15" t="s">
        <v>570</v>
      </c>
      <c r="G64" s="15" t="s">
        <v>1611</v>
      </c>
      <c r="H64" s="15" t="s">
        <v>1567</v>
      </c>
    </row>
    <row r="65" spans="1:8" x14ac:dyDescent="0.3">
      <c r="A65" s="15" t="s">
        <v>377</v>
      </c>
      <c r="B65" s="15" t="s">
        <v>1605</v>
      </c>
      <c r="C65" s="15" t="s">
        <v>1608</v>
      </c>
      <c r="D65" s="24" t="s">
        <v>1634</v>
      </c>
      <c r="E65" s="15" t="s">
        <v>708</v>
      </c>
      <c r="F65" s="15" t="s">
        <v>571</v>
      </c>
      <c r="G65" s="15" t="s">
        <v>1611</v>
      </c>
      <c r="H65" s="15" t="s">
        <v>1567</v>
      </c>
    </row>
    <row r="66" spans="1:8" x14ac:dyDescent="0.3">
      <c r="A66" s="15" t="s">
        <v>419</v>
      </c>
      <c r="B66" s="15" t="s">
        <v>1605</v>
      </c>
      <c r="C66" s="15" t="s">
        <v>1608</v>
      </c>
      <c r="D66" s="23" t="s">
        <v>1635</v>
      </c>
      <c r="E66" s="15" t="s">
        <v>708</v>
      </c>
      <c r="F66" s="15" t="s">
        <v>572</v>
      </c>
      <c r="G66" s="15" t="s">
        <v>587</v>
      </c>
      <c r="H66" s="15" t="s">
        <v>1567</v>
      </c>
    </row>
    <row r="67" spans="1:8" x14ac:dyDescent="0.3">
      <c r="A67" s="15" t="s">
        <v>378</v>
      </c>
      <c r="B67" s="15" t="s">
        <v>1605</v>
      </c>
      <c r="C67" s="15" t="s">
        <v>1608</v>
      </c>
      <c r="D67" s="23" t="s">
        <v>1664</v>
      </c>
      <c r="E67" s="15" t="s">
        <v>708</v>
      </c>
      <c r="F67" s="15" t="s">
        <v>573</v>
      </c>
      <c r="G67" s="15" t="s">
        <v>587</v>
      </c>
      <c r="H67" s="15" t="s">
        <v>1567</v>
      </c>
    </row>
    <row r="68" spans="1:8" x14ac:dyDescent="0.3">
      <c r="A68" s="15" t="s">
        <v>379</v>
      </c>
      <c r="B68" s="15" t="s">
        <v>1605</v>
      </c>
      <c r="C68" s="15" t="s">
        <v>1608</v>
      </c>
      <c r="D68" s="24" t="s">
        <v>1665</v>
      </c>
      <c r="E68" s="15" t="s">
        <v>708</v>
      </c>
      <c r="F68" s="15" t="s">
        <v>574</v>
      </c>
      <c r="G68" s="15" t="s">
        <v>1611</v>
      </c>
      <c r="H68" s="15" t="s">
        <v>1567</v>
      </c>
    </row>
    <row r="69" spans="1:8" x14ac:dyDescent="0.3">
      <c r="A69" s="15" t="s">
        <v>380</v>
      </c>
      <c r="B69" s="15" t="s">
        <v>1605</v>
      </c>
      <c r="C69" s="15" t="s">
        <v>1608</v>
      </c>
      <c r="D69" s="24" t="s">
        <v>1638</v>
      </c>
      <c r="E69" s="15" t="s">
        <v>708</v>
      </c>
      <c r="F69" s="15" t="s">
        <v>575</v>
      </c>
      <c r="G69" s="15" t="s">
        <v>1611</v>
      </c>
      <c r="H69" s="15" t="s">
        <v>1567</v>
      </c>
    </row>
    <row r="70" spans="1:8" x14ac:dyDescent="0.3">
      <c r="A70" s="15" t="s">
        <v>381</v>
      </c>
      <c r="B70" s="15" t="s">
        <v>1605</v>
      </c>
      <c r="C70" s="15" t="s">
        <v>1608</v>
      </c>
      <c r="D70" s="24" t="s">
        <v>1666</v>
      </c>
      <c r="E70" s="15" t="s">
        <v>708</v>
      </c>
      <c r="F70" s="15" t="s">
        <v>576</v>
      </c>
      <c r="G70" s="15" t="s">
        <v>1611</v>
      </c>
      <c r="H70" s="15" t="s">
        <v>1567</v>
      </c>
    </row>
    <row r="71" spans="1:8" x14ac:dyDescent="0.3">
      <c r="A71" s="15" t="s">
        <v>382</v>
      </c>
      <c r="B71" s="15" t="s">
        <v>1605</v>
      </c>
      <c r="C71" s="15" t="s">
        <v>1608</v>
      </c>
      <c r="D71" s="24" t="s">
        <v>1640</v>
      </c>
      <c r="E71" s="15" t="s">
        <v>708</v>
      </c>
      <c r="F71" s="15" t="s">
        <v>577</v>
      </c>
      <c r="G71" s="15" t="s">
        <v>1611</v>
      </c>
      <c r="H71" s="15" t="s">
        <v>1566</v>
      </c>
    </row>
    <row r="72" spans="1:8" x14ac:dyDescent="0.3">
      <c r="A72" s="15" t="s">
        <v>383</v>
      </c>
      <c r="B72" s="15" t="s">
        <v>1605</v>
      </c>
      <c r="C72" s="15" t="s">
        <v>1608</v>
      </c>
      <c r="D72" s="24" t="s">
        <v>1667</v>
      </c>
      <c r="E72" s="15" t="s">
        <v>708</v>
      </c>
      <c r="F72" s="15" t="s">
        <v>578</v>
      </c>
      <c r="G72" s="15" t="s">
        <v>1611</v>
      </c>
      <c r="H72" s="15" t="s">
        <v>1567</v>
      </c>
    </row>
    <row r="73" spans="1:8" x14ac:dyDescent="0.3">
      <c r="A73" s="15" t="s">
        <v>384</v>
      </c>
      <c r="B73" s="15" t="s">
        <v>1605</v>
      </c>
      <c r="C73" s="15" t="s">
        <v>1608</v>
      </c>
      <c r="D73" s="24" t="s">
        <v>1668</v>
      </c>
      <c r="E73" s="15" t="s">
        <v>708</v>
      </c>
      <c r="F73" s="15" t="s">
        <v>579</v>
      </c>
      <c r="G73" s="15" t="s">
        <v>1611</v>
      </c>
      <c r="H73" s="15" t="s">
        <v>1567</v>
      </c>
    </row>
    <row r="74" spans="1:8" x14ac:dyDescent="0.3">
      <c r="A74" s="15" t="s">
        <v>439</v>
      </c>
      <c r="B74" s="15" t="s">
        <v>1605</v>
      </c>
      <c r="C74" s="15" t="s">
        <v>1608</v>
      </c>
      <c r="D74" s="15" t="s">
        <v>1641</v>
      </c>
      <c r="E74" s="15" t="s">
        <v>708</v>
      </c>
      <c r="F74" s="15" t="s">
        <v>580</v>
      </c>
      <c r="G74" s="15" t="s">
        <v>1609</v>
      </c>
      <c r="H74" s="15" t="s">
        <v>1566</v>
      </c>
    </row>
    <row r="75" spans="1:8" x14ac:dyDescent="0.3">
      <c r="A75" s="15" t="s">
        <v>385</v>
      </c>
      <c r="B75" s="15" t="s">
        <v>1605</v>
      </c>
      <c r="C75" s="15" t="s">
        <v>1608</v>
      </c>
      <c r="D75" s="15" t="s">
        <v>1669</v>
      </c>
      <c r="E75" s="15" t="s">
        <v>708</v>
      </c>
      <c r="F75" s="15" t="s">
        <v>581</v>
      </c>
      <c r="G75" s="15" t="s">
        <v>1609</v>
      </c>
      <c r="H75" s="15" t="s">
        <v>1566</v>
      </c>
    </row>
    <row r="76" spans="1:8" x14ac:dyDescent="0.3">
      <c r="A76" s="15" t="s">
        <v>386</v>
      </c>
      <c r="B76" s="15" t="s">
        <v>1605</v>
      </c>
      <c r="C76" s="15" t="s">
        <v>1608</v>
      </c>
      <c r="D76" s="15" t="s">
        <v>1670</v>
      </c>
      <c r="E76" s="15" t="s">
        <v>708</v>
      </c>
      <c r="F76" s="15" t="s">
        <v>582</v>
      </c>
      <c r="G76" s="15" t="s">
        <v>1609</v>
      </c>
      <c r="H76" s="15" t="s">
        <v>1566</v>
      </c>
    </row>
    <row r="77" spans="1:8" x14ac:dyDescent="0.3">
      <c r="A77" s="15" t="s">
        <v>387</v>
      </c>
      <c r="B77" s="15" t="s">
        <v>1605</v>
      </c>
      <c r="C77" s="15" t="s">
        <v>1608</v>
      </c>
      <c r="D77" s="15" t="s">
        <v>1671</v>
      </c>
      <c r="E77" s="15" t="s">
        <v>708</v>
      </c>
      <c r="F77" s="15" t="s">
        <v>583</v>
      </c>
      <c r="G77" s="15" t="s">
        <v>1609</v>
      </c>
      <c r="H77" s="15" t="s">
        <v>1566</v>
      </c>
    </row>
    <row r="78" spans="1:8" x14ac:dyDescent="0.3">
      <c r="A78" s="15" t="s">
        <v>388</v>
      </c>
      <c r="B78" s="15" t="s">
        <v>1605</v>
      </c>
      <c r="C78" s="15" t="s">
        <v>1608</v>
      </c>
      <c r="D78" s="15" t="s">
        <v>1672</v>
      </c>
      <c r="E78" s="15" t="s">
        <v>708</v>
      </c>
      <c r="F78" s="15" t="s">
        <v>584</v>
      </c>
      <c r="G78" s="15" t="s">
        <v>1609</v>
      </c>
      <c r="H78" s="15" t="s">
        <v>1566</v>
      </c>
    </row>
    <row r="79" spans="1:8" x14ac:dyDescent="0.3">
      <c r="A79" s="15" t="s">
        <v>389</v>
      </c>
      <c r="B79" s="15" t="s">
        <v>1606</v>
      </c>
      <c r="C79" s="15" t="s">
        <v>1608</v>
      </c>
      <c r="D79" s="26" t="s">
        <v>1673</v>
      </c>
      <c r="E79" s="15" t="s">
        <v>708</v>
      </c>
      <c r="F79" s="15" t="s">
        <v>585</v>
      </c>
      <c r="G79" s="15" t="s">
        <v>588</v>
      </c>
      <c r="H79" s="15" t="s">
        <v>1566</v>
      </c>
    </row>
    <row r="80" spans="1:8" x14ac:dyDescent="0.3">
      <c r="A80" s="15" t="s">
        <v>391</v>
      </c>
      <c r="B80" s="15" t="s">
        <v>1606</v>
      </c>
      <c r="C80" s="15" t="s">
        <v>1608</v>
      </c>
      <c r="D80" s="15" t="s">
        <v>1674</v>
      </c>
      <c r="E80" s="15" t="s">
        <v>708</v>
      </c>
      <c r="F80" s="15" t="s">
        <v>586</v>
      </c>
      <c r="G80" s="15" t="s">
        <v>1609</v>
      </c>
      <c r="H80" s="15" t="s">
        <v>1567</v>
      </c>
    </row>
    <row r="81" spans="1:8" x14ac:dyDescent="0.3">
      <c r="A81" s="15" t="s">
        <v>392</v>
      </c>
      <c r="B81" s="15" t="s">
        <v>1606</v>
      </c>
      <c r="C81" s="15" t="s">
        <v>1608</v>
      </c>
      <c r="D81" s="24" t="s">
        <v>1675</v>
      </c>
      <c r="E81" s="15" t="s">
        <v>708</v>
      </c>
      <c r="F81" s="15" t="s">
        <v>590</v>
      </c>
      <c r="G81" s="15" t="s">
        <v>1611</v>
      </c>
      <c r="H81" s="15" t="s">
        <v>1566</v>
      </c>
    </row>
    <row r="82" spans="1:8" x14ac:dyDescent="0.3">
      <c r="A82" s="15" t="s">
        <v>393</v>
      </c>
      <c r="B82" s="15" t="s">
        <v>1606</v>
      </c>
      <c r="C82" s="15" t="s">
        <v>1608</v>
      </c>
      <c r="D82" s="24" t="s">
        <v>1676</v>
      </c>
      <c r="E82" s="15" t="s">
        <v>708</v>
      </c>
      <c r="F82" s="15" t="s">
        <v>591</v>
      </c>
      <c r="G82" s="15" t="s">
        <v>1611</v>
      </c>
      <c r="H82" s="15" t="s">
        <v>1567</v>
      </c>
    </row>
    <row r="83" spans="1:8" x14ac:dyDescent="0.3">
      <c r="A83" s="15" t="s">
        <v>394</v>
      </c>
      <c r="B83" s="15" t="s">
        <v>1606</v>
      </c>
      <c r="C83" s="15" t="s">
        <v>1608</v>
      </c>
      <c r="D83" s="24" t="s">
        <v>1677</v>
      </c>
      <c r="E83" s="15" t="s">
        <v>708</v>
      </c>
      <c r="F83" s="15" t="s">
        <v>592</v>
      </c>
      <c r="G83" s="15" t="s">
        <v>1611</v>
      </c>
      <c r="H83" s="15" t="s">
        <v>1567</v>
      </c>
    </row>
    <row r="84" spans="1:8" x14ac:dyDescent="0.3">
      <c r="A84" s="15" t="s">
        <v>395</v>
      </c>
      <c r="B84" s="15" t="s">
        <v>1606</v>
      </c>
      <c r="C84" s="15" t="s">
        <v>1608</v>
      </c>
      <c r="D84" s="15" t="s">
        <v>1678</v>
      </c>
      <c r="E84" s="15" t="s">
        <v>708</v>
      </c>
      <c r="F84" s="15" t="s">
        <v>593</v>
      </c>
      <c r="G84" s="15" t="s">
        <v>1609</v>
      </c>
      <c r="H84" s="15" t="s">
        <v>1566</v>
      </c>
    </row>
    <row r="85" spans="1:8" x14ac:dyDescent="0.3">
      <c r="A85" s="15" t="s">
        <v>396</v>
      </c>
      <c r="B85" s="15" t="s">
        <v>1606</v>
      </c>
      <c r="C85" s="15" t="s">
        <v>1608</v>
      </c>
      <c r="D85" s="15" t="s">
        <v>1679</v>
      </c>
      <c r="E85" s="15" t="s">
        <v>708</v>
      </c>
      <c r="F85" s="15" t="s">
        <v>594</v>
      </c>
      <c r="G85" s="15" t="s">
        <v>1609</v>
      </c>
      <c r="H85" s="15" t="s">
        <v>1566</v>
      </c>
    </row>
    <row r="86" spans="1:8" x14ac:dyDescent="0.3">
      <c r="A86" s="15" t="s">
        <v>397</v>
      </c>
      <c r="B86" s="15" t="s">
        <v>1606</v>
      </c>
      <c r="C86" s="15" t="s">
        <v>1608</v>
      </c>
      <c r="D86" s="15" t="s">
        <v>1680</v>
      </c>
      <c r="E86" s="15" t="s">
        <v>708</v>
      </c>
      <c r="F86" s="15" t="s">
        <v>595</v>
      </c>
      <c r="G86" s="15" t="s">
        <v>1609</v>
      </c>
      <c r="H86" s="15" t="s">
        <v>1566</v>
      </c>
    </row>
    <row r="87" spans="1:8" x14ac:dyDescent="0.3">
      <c r="A87" s="15" t="s">
        <v>398</v>
      </c>
      <c r="B87" s="15" t="s">
        <v>1606</v>
      </c>
      <c r="C87" s="15" t="s">
        <v>1608</v>
      </c>
      <c r="D87" s="15" t="s">
        <v>1681</v>
      </c>
      <c r="E87" s="15" t="s">
        <v>708</v>
      </c>
      <c r="F87" s="15" t="s">
        <v>596</v>
      </c>
      <c r="G87" s="15" t="s">
        <v>1609</v>
      </c>
      <c r="H87" s="15" t="s">
        <v>1567</v>
      </c>
    </row>
    <row r="88" spans="1:8" x14ac:dyDescent="0.3">
      <c r="A88" s="15" t="s">
        <v>399</v>
      </c>
      <c r="B88" s="15" t="s">
        <v>1606</v>
      </c>
      <c r="C88" s="15" t="s">
        <v>1608</v>
      </c>
      <c r="D88" s="15" t="s">
        <v>1682</v>
      </c>
      <c r="E88" s="15" t="s">
        <v>708</v>
      </c>
      <c r="F88" s="15" t="s">
        <v>597</v>
      </c>
      <c r="G88" s="15" t="s">
        <v>1609</v>
      </c>
      <c r="H88" s="15" t="s">
        <v>1567</v>
      </c>
    </row>
    <row r="89" spans="1:8" x14ac:dyDescent="0.3">
      <c r="A89" s="15" t="s">
        <v>400</v>
      </c>
      <c r="B89" s="15" t="s">
        <v>1606</v>
      </c>
      <c r="C89" s="15" t="s">
        <v>1608</v>
      </c>
      <c r="D89" s="15" t="s">
        <v>1683</v>
      </c>
      <c r="E89" s="15" t="s">
        <v>708</v>
      </c>
      <c r="F89" s="15" t="s">
        <v>598</v>
      </c>
      <c r="G89" s="15" t="s">
        <v>1609</v>
      </c>
      <c r="H89" s="15" t="s">
        <v>1567</v>
      </c>
    </row>
    <row r="90" spans="1:8" x14ac:dyDescent="0.3">
      <c r="A90" s="15" t="s">
        <v>402</v>
      </c>
      <c r="B90" s="15" t="s">
        <v>1606</v>
      </c>
      <c r="C90" s="15" t="s">
        <v>1608</v>
      </c>
      <c r="D90" s="15" t="s">
        <v>1684</v>
      </c>
      <c r="E90" s="15" t="s">
        <v>708</v>
      </c>
      <c r="F90" s="15" t="s">
        <v>599</v>
      </c>
      <c r="G90" s="15" t="s">
        <v>1609</v>
      </c>
      <c r="H90" s="15" t="s">
        <v>1567</v>
      </c>
    </row>
    <row r="91" spans="1:8" x14ac:dyDescent="0.3">
      <c r="A91" s="15" t="s">
        <v>408</v>
      </c>
      <c r="B91" s="15" t="s">
        <v>1606</v>
      </c>
      <c r="C91" s="15" t="s">
        <v>1608</v>
      </c>
      <c r="D91" s="15" t="s">
        <v>1685</v>
      </c>
      <c r="E91" s="15" t="s">
        <v>708</v>
      </c>
      <c r="F91" s="15" t="s">
        <v>600</v>
      </c>
      <c r="G91" s="15" t="s">
        <v>1609</v>
      </c>
      <c r="H91" s="15" t="s">
        <v>1567</v>
      </c>
    </row>
    <row r="92" spans="1:8" x14ac:dyDescent="0.3">
      <c r="A92" s="15" t="s">
        <v>403</v>
      </c>
      <c r="B92" s="15" t="s">
        <v>1606</v>
      </c>
      <c r="C92" s="15" t="s">
        <v>1608</v>
      </c>
      <c r="D92" s="15" t="s">
        <v>1686</v>
      </c>
      <c r="E92" s="15" t="s">
        <v>708</v>
      </c>
      <c r="F92" s="15" t="s">
        <v>601</v>
      </c>
      <c r="G92" s="15" t="s">
        <v>1609</v>
      </c>
      <c r="H92" s="15" t="s">
        <v>1567</v>
      </c>
    </row>
    <row r="93" spans="1:8" x14ac:dyDescent="0.3">
      <c r="A93" s="15" t="s">
        <v>405</v>
      </c>
      <c r="B93" s="15" t="s">
        <v>1606</v>
      </c>
      <c r="C93" s="15" t="s">
        <v>1608</v>
      </c>
      <c r="D93" s="15" t="s">
        <v>1687</v>
      </c>
      <c r="E93" s="15" t="s">
        <v>708</v>
      </c>
      <c r="F93" s="15" t="s">
        <v>602</v>
      </c>
      <c r="G93" s="15" t="s">
        <v>1609</v>
      </c>
      <c r="H93" s="15" t="s">
        <v>1567</v>
      </c>
    </row>
    <row r="94" spans="1:8" x14ac:dyDescent="0.3">
      <c r="A94" s="15" t="s">
        <v>406</v>
      </c>
      <c r="B94" s="15" t="s">
        <v>1606</v>
      </c>
      <c r="C94" s="15" t="s">
        <v>1608</v>
      </c>
      <c r="D94" s="15" t="s">
        <v>1688</v>
      </c>
      <c r="E94" s="15" t="s">
        <v>708</v>
      </c>
      <c r="F94" s="15" t="s">
        <v>603</v>
      </c>
      <c r="G94" s="15" t="s">
        <v>1609</v>
      </c>
      <c r="H94" s="15" t="s">
        <v>1567</v>
      </c>
    </row>
    <row r="95" spans="1:8" x14ac:dyDescent="0.3">
      <c r="A95" s="15" t="s">
        <v>409</v>
      </c>
      <c r="B95" s="15" t="s">
        <v>1606</v>
      </c>
      <c r="C95" s="15" t="s">
        <v>1608</v>
      </c>
      <c r="D95" s="15" t="s">
        <v>1689</v>
      </c>
      <c r="E95" s="15" t="s">
        <v>708</v>
      </c>
      <c r="F95" s="15" t="s">
        <v>604</v>
      </c>
      <c r="G95" s="15" t="s">
        <v>1609</v>
      </c>
      <c r="H95" s="15" t="s">
        <v>1567</v>
      </c>
    </row>
    <row r="96" spans="1:8" x14ac:dyDescent="0.3">
      <c r="A96" s="15" t="s">
        <v>410</v>
      </c>
      <c r="B96" s="15" t="s">
        <v>1606</v>
      </c>
      <c r="C96" s="15" t="s">
        <v>1608</v>
      </c>
      <c r="D96" s="15" t="s">
        <v>1690</v>
      </c>
      <c r="E96" s="15" t="s">
        <v>708</v>
      </c>
      <c r="F96" s="15" t="s">
        <v>605</v>
      </c>
      <c r="G96" s="15" t="s">
        <v>1609</v>
      </c>
      <c r="H96" s="15" t="s">
        <v>1567</v>
      </c>
    </row>
    <row r="97" spans="1:9" x14ac:dyDescent="0.3">
      <c r="A97" s="15" t="s">
        <v>411</v>
      </c>
      <c r="B97" s="15" t="s">
        <v>1606</v>
      </c>
      <c r="C97" s="15" t="s">
        <v>1608</v>
      </c>
      <c r="D97" s="15" t="s">
        <v>1691</v>
      </c>
      <c r="E97" s="15" t="s">
        <v>708</v>
      </c>
      <c r="F97" s="15" t="s">
        <v>606</v>
      </c>
      <c r="G97" s="15" t="s">
        <v>1609</v>
      </c>
      <c r="H97" s="15" t="s">
        <v>1567</v>
      </c>
    </row>
    <row r="98" spans="1:9" x14ac:dyDescent="0.3">
      <c r="A98" s="15" t="s">
        <v>412</v>
      </c>
      <c r="B98" s="15" t="s">
        <v>1606</v>
      </c>
      <c r="C98" s="15" t="s">
        <v>1608</v>
      </c>
      <c r="D98" s="15" t="s">
        <v>1692</v>
      </c>
      <c r="E98" s="15" t="s">
        <v>708</v>
      </c>
      <c r="F98" s="15" t="s">
        <v>607</v>
      </c>
      <c r="G98" s="15" t="s">
        <v>1609</v>
      </c>
      <c r="H98" s="15" t="s">
        <v>1567</v>
      </c>
    </row>
    <row r="99" spans="1:9" x14ac:dyDescent="0.3">
      <c r="A99" s="15" t="s">
        <v>478</v>
      </c>
      <c r="B99" s="15" t="s">
        <v>1606</v>
      </c>
      <c r="C99" s="15" t="s">
        <v>1608</v>
      </c>
      <c r="D99" s="15" t="s">
        <v>1693</v>
      </c>
      <c r="E99" s="15" t="s">
        <v>708</v>
      </c>
      <c r="F99" s="15" t="s">
        <v>608</v>
      </c>
      <c r="G99" s="15" t="s">
        <v>1609</v>
      </c>
      <c r="H99" s="15" t="s">
        <v>1567</v>
      </c>
      <c r="I99" s="15" t="s">
        <v>1589</v>
      </c>
    </row>
    <row r="100" spans="1:9" x14ac:dyDescent="0.3">
      <c r="A100" s="15" t="s">
        <v>413</v>
      </c>
      <c r="B100" s="15" t="s">
        <v>1606</v>
      </c>
      <c r="C100" s="15" t="s">
        <v>1608</v>
      </c>
      <c r="D100" s="23" t="s">
        <v>1694</v>
      </c>
      <c r="E100" s="15" t="s">
        <v>708</v>
      </c>
      <c r="F100" s="15" t="s">
        <v>609</v>
      </c>
      <c r="G100" s="15" t="s">
        <v>587</v>
      </c>
      <c r="H100" s="15" t="s">
        <v>1566</v>
      </c>
    </row>
    <row r="101" spans="1:9" x14ac:dyDescent="0.3">
      <c r="A101" s="15" t="s">
        <v>414</v>
      </c>
      <c r="B101" s="15" t="s">
        <v>1606</v>
      </c>
      <c r="C101" s="15" t="s">
        <v>1608</v>
      </c>
      <c r="D101" s="23" t="s">
        <v>1695</v>
      </c>
      <c r="E101" s="15" t="s">
        <v>708</v>
      </c>
      <c r="F101" s="15" t="s">
        <v>610</v>
      </c>
      <c r="G101" s="15" t="s">
        <v>587</v>
      </c>
      <c r="H101" s="15" t="s">
        <v>1567</v>
      </c>
    </row>
    <row r="102" spans="1:9" x14ac:dyDescent="0.3">
      <c r="A102" s="15" t="s">
        <v>415</v>
      </c>
      <c r="B102" s="15" t="s">
        <v>1606</v>
      </c>
      <c r="C102" s="15" t="s">
        <v>1608</v>
      </c>
      <c r="D102" s="24" t="s">
        <v>1696</v>
      </c>
      <c r="E102" s="15" t="s">
        <v>708</v>
      </c>
      <c r="F102" s="15" t="s">
        <v>611</v>
      </c>
      <c r="G102" s="15" t="s">
        <v>1611</v>
      </c>
      <c r="H102" s="15" t="s">
        <v>1567</v>
      </c>
    </row>
    <row r="103" spans="1:9" x14ac:dyDescent="0.3">
      <c r="A103" s="15" t="s">
        <v>417</v>
      </c>
      <c r="B103" s="15" t="s">
        <v>1606</v>
      </c>
      <c r="C103" s="15" t="s">
        <v>1608</v>
      </c>
      <c r="D103" s="23" t="s">
        <v>1697</v>
      </c>
      <c r="E103" s="15" t="s">
        <v>708</v>
      </c>
      <c r="F103" s="15" t="s">
        <v>612</v>
      </c>
      <c r="G103" s="15" t="s">
        <v>587</v>
      </c>
      <c r="H103" s="15" t="s">
        <v>1567</v>
      </c>
    </row>
    <row r="104" spans="1:9" x14ac:dyDescent="0.3">
      <c r="A104" s="15" t="s">
        <v>416</v>
      </c>
      <c r="B104" s="15" t="s">
        <v>1606</v>
      </c>
      <c r="C104" s="15" t="s">
        <v>1608</v>
      </c>
      <c r="D104" s="15" t="s">
        <v>1698</v>
      </c>
      <c r="E104" s="15" t="s">
        <v>708</v>
      </c>
      <c r="F104" s="15" t="s">
        <v>613</v>
      </c>
      <c r="G104" s="15" t="s">
        <v>1609</v>
      </c>
      <c r="H104" s="15" t="s">
        <v>1566</v>
      </c>
    </row>
    <row r="105" spans="1:9" x14ac:dyDescent="0.3">
      <c r="A105" s="15" t="s">
        <v>418</v>
      </c>
      <c r="B105" s="15" t="s">
        <v>1606</v>
      </c>
      <c r="C105" s="15" t="s">
        <v>1608</v>
      </c>
      <c r="D105" s="23" t="s">
        <v>1699</v>
      </c>
      <c r="E105" s="15" t="s">
        <v>708</v>
      </c>
      <c r="F105" s="15" t="s">
        <v>614</v>
      </c>
      <c r="G105" s="15" t="s">
        <v>587</v>
      </c>
      <c r="H105" s="15" t="s">
        <v>1567</v>
      </c>
    </row>
    <row r="106" spans="1:9" x14ac:dyDescent="0.3">
      <c r="A106" s="15" t="s">
        <v>420</v>
      </c>
      <c r="B106" s="15" t="s">
        <v>1606</v>
      </c>
      <c r="C106" s="15" t="s">
        <v>1608</v>
      </c>
      <c r="D106" s="23" t="s">
        <v>1700</v>
      </c>
      <c r="E106" s="15" t="s">
        <v>708</v>
      </c>
      <c r="F106" s="15" t="s">
        <v>615</v>
      </c>
      <c r="G106" s="15" t="s">
        <v>587</v>
      </c>
      <c r="H106" s="15" t="s">
        <v>1566</v>
      </c>
    </row>
    <row r="107" spans="1:9" x14ac:dyDescent="0.3">
      <c r="A107" s="15" t="s">
        <v>421</v>
      </c>
      <c r="B107" s="15" t="s">
        <v>1606</v>
      </c>
      <c r="C107" s="15" t="s">
        <v>1608</v>
      </c>
      <c r="D107" s="23" t="s">
        <v>1701</v>
      </c>
      <c r="E107" s="15" t="s">
        <v>708</v>
      </c>
      <c r="F107" s="15" t="s">
        <v>616</v>
      </c>
      <c r="G107" s="15" t="s">
        <v>587</v>
      </c>
      <c r="H107" s="15" t="s">
        <v>1566</v>
      </c>
    </row>
    <row r="108" spans="1:9" x14ac:dyDescent="0.3">
      <c r="A108" s="15" t="s">
        <v>422</v>
      </c>
      <c r="B108" s="15" t="s">
        <v>1606</v>
      </c>
      <c r="C108" s="15" t="s">
        <v>1608</v>
      </c>
      <c r="D108" s="24" t="s">
        <v>1702</v>
      </c>
      <c r="E108" s="15" t="s">
        <v>708</v>
      </c>
      <c r="F108" s="15" t="s">
        <v>617</v>
      </c>
      <c r="G108" s="15" t="s">
        <v>1611</v>
      </c>
      <c r="H108" s="15" t="s">
        <v>1566</v>
      </c>
    </row>
    <row r="109" spans="1:9" x14ac:dyDescent="0.3">
      <c r="A109" s="15" t="s">
        <v>423</v>
      </c>
      <c r="B109" s="15" t="s">
        <v>1606</v>
      </c>
      <c r="C109" s="15" t="s">
        <v>1608</v>
      </c>
      <c r="D109" s="24" t="s">
        <v>1703</v>
      </c>
      <c r="E109" s="15" t="s">
        <v>708</v>
      </c>
      <c r="F109" s="15" t="s">
        <v>618</v>
      </c>
      <c r="G109" s="15" t="s">
        <v>1611</v>
      </c>
      <c r="H109" s="15" t="s">
        <v>1566</v>
      </c>
    </row>
    <row r="110" spans="1:9" x14ac:dyDescent="0.3">
      <c r="A110" s="15" t="s">
        <v>424</v>
      </c>
      <c r="B110" s="15" t="s">
        <v>1606</v>
      </c>
      <c r="C110" s="15" t="s">
        <v>1608</v>
      </c>
      <c r="D110" s="15" t="s">
        <v>1704</v>
      </c>
      <c r="E110" s="15" t="s">
        <v>708</v>
      </c>
      <c r="F110" s="15" t="s">
        <v>619</v>
      </c>
      <c r="G110" s="15" t="s">
        <v>1609</v>
      </c>
      <c r="H110" s="15" t="s">
        <v>1566</v>
      </c>
    </row>
    <row r="111" spans="1:9" x14ac:dyDescent="0.3">
      <c r="A111" s="15" t="s">
        <v>425</v>
      </c>
      <c r="B111" s="15" t="s">
        <v>1606</v>
      </c>
      <c r="C111" s="15" t="s">
        <v>1608</v>
      </c>
      <c r="D111" s="15" t="s">
        <v>1705</v>
      </c>
      <c r="E111" s="15" t="s">
        <v>708</v>
      </c>
      <c r="F111" s="15" t="s">
        <v>620</v>
      </c>
      <c r="G111" s="15" t="s">
        <v>1609</v>
      </c>
      <c r="H111" s="15" t="s">
        <v>1566</v>
      </c>
      <c r="I111" s="15" t="s">
        <v>1590</v>
      </c>
    </row>
    <row r="112" spans="1:9" x14ac:dyDescent="0.3">
      <c r="A112" s="15" t="s">
        <v>426</v>
      </c>
      <c r="B112" s="15" t="s">
        <v>1606</v>
      </c>
      <c r="C112" s="15" t="s">
        <v>1608</v>
      </c>
      <c r="D112" s="15" t="s">
        <v>1706</v>
      </c>
      <c r="E112" s="15" t="s">
        <v>708</v>
      </c>
      <c r="F112" s="15" t="s">
        <v>621</v>
      </c>
      <c r="G112" s="15" t="s">
        <v>1609</v>
      </c>
      <c r="H112" s="15" t="s">
        <v>1566</v>
      </c>
      <c r="I112" s="15" t="s">
        <v>1590</v>
      </c>
    </row>
    <row r="113" spans="1:9" x14ac:dyDescent="0.3">
      <c r="A113" s="15" t="s">
        <v>427</v>
      </c>
      <c r="B113" s="15" t="s">
        <v>1606</v>
      </c>
      <c r="C113" s="15" t="s">
        <v>1608</v>
      </c>
      <c r="D113" s="15" t="s">
        <v>1707</v>
      </c>
      <c r="E113" s="15" t="s">
        <v>708</v>
      </c>
      <c r="F113" s="15" t="s">
        <v>622</v>
      </c>
      <c r="G113" s="15" t="s">
        <v>1609</v>
      </c>
      <c r="H113" s="15" t="s">
        <v>1566</v>
      </c>
    </row>
    <row r="114" spans="1:9" x14ac:dyDescent="0.3">
      <c r="A114" s="15" t="s">
        <v>428</v>
      </c>
      <c r="B114" s="15" t="s">
        <v>1606</v>
      </c>
      <c r="C114" s="15" t="s">
        <v>1608</v>
      </c>
      <c r="D114" s="15" t="s">
        <v>1708</v>
      </c>
      <c r="E114" s="15" t="s">
        <v>708</v>
      </c>
      <c r="F114" s="15" t="s">
        <v>623</v>
      </c>
      <c r="G114" s="15" t="s">
        <v>1609</v>
      </c>
      <c r="H114" s="15" t="s">
        <v>1566</v>
      </c>
      <c r="I114" s="15" t="s">
        <v>1591</v>
      </c>
    </row>
    <row r="115" spans="1:9" x14ac:dyDescent="0.3">
      <c r="A115" s="15" t="s">
        <v>429</v>
      </c>
      <c r="B115" s="15" t="s">
        <v>1606</v>
      </c>
      <c r="C115" s="15" t="s">
        <v>1608</v>
      </c>
      <c r="D115" s="26" t="s">
        <v>1709</v>
      </c>
      <c r="E115" s="15" t="s">
        <v>708</v>
      </c>
      <c r="F115" s="15" t="s">
        <v>624</v>
      </c>
      <c r="G115" s="15" t="s">
        <v>588</v>
      </c>
      <c r="H115" s="15" t="s">
        <v>1566</v>
      </c>
    </row>
    <row r="116" spans="1:9" x14ac:dyDescent="0.3">
      <c r="A116" s="15" t="s">
        <v>430</v>
      </c>
      <c r="B116" s="15" t="s">
        <v>1606</v>
      </c>
      <c r="C116" s="15" t="s">
        <v>1608</v>
      </c>
      <c r="D116" s="24" t="s">
        <v>1710</v>
      </c>
      <c r="E116" s="15" t="s">
        <v>708</v>
      </c>
      <c r="F116" s="15" t="s">
        <v>625</v>
      </c>
      <c r="G116" s="15" t="s">
        <v>1611</v>
      </c>
      <c r="H116" s="15" t="s">
        <v>1566</v>
      </c>
    </row>
    <row r="117" spans="1:9" x14ac:dyDescent="0.3">
      <c r="A117" s="15" t="s">
        <v>431</v>
      </c>
      <c r="B117" s="15" t="s">
        <v>1606</v>
      </c>
      <c r="C117" s="15" t="s">
        <v>1608</v>
      </c>
      <c r="D117" s="24" t="s">
        <v>1711</v>
      </c>
      <c r="E117" s="15" t="s">
        <v>708</v>
      </c>
      <c r="F117" s="15" t="s">
        <v>626</v>
      </c>
      <c r="G117" s="15" t="s">
        <v>1611</v>
      </c>
      <c r="H117" s="15" t="s">
        <v>1567</v>
      </c>
    </row>
    <row r="118" spans="1:9" x14ac:dyDescent="0.3">
      <c r="A118" s="15" t="s">
        <v>432</v>
      </c>
      <c r="B118" s="15" t="s">
        <v>1606</v>
      </c>
      <c r="C118" s="15" t="s">
        <v>1608</v>
      </c>
      <c r="D118" s="24" t="s">
        <v>1712</v>
      </c>
      <c r="E118" s="15" t="s">
        <v>708</v>
      </c>
      <c r="F118" s="15" t="s">
        <v>627</v>
      </c>
      <c r="G118" s="15" t="s">
        <v>1611</v>
      </c>
      <c r="H118" s="15" t="s">
        <v>1567</v>
      </c>
    </row>
    <row r="119" spans="1:9" x14ac:dyDescent="0.3">
      <c r="A119" s="15" t="s">
        <v>433</v>
      </c>
      <c r="B119" s="15" t="s">
        <v>1606</v>
      </c>
      <c r="C119" s="15" t="s">
        <v>1608</v>
      </c>
      <c r="D119" s="23" t="s">
        <v>1713</v>
      </c>
      <c r="E119" s="15" t="s">
        <v>708</v>
      </c>
      <c r="F119" s="15" t="s">
        <v>628</v>
      </c>
      <c r="G119" s="15" t="s">
        <v>587</v>
      </c>
      <c r="H119" s="15" t="s">
        <v>1567</v>
      </c>
      <c r="I119" s="27" t="s">
        <v>1592</v>
      </c>
    </row>
    <row r="120" spans="1:9" x14ac:dyDescent="0.3">
      <c r="A120" s="15" t="s">
        <v>434</v>
      </c>
      <c r="B120" s="15" t="s">
        <v>1606</v>
      </c>
      <c r="C120" s="15" t="s">
        <v>1608</v>
      </c>
      <c r="D120" s="23" t="s">
        <v>1714</v>
      </c>
      <c r="E120" s="15" t="s">
        <v>708</v>
      </c>
      <c r="F120" s="15" t="s">
        <v>629</v>
      </c>
      <c r="G120" s="15" t="s">
        <v>587</v>
      </c>
      <c r="H120" s="15" t="s">
        <v>1566</v>
      </c>
    </row>
    <row r="121" spans="1:9" x14ac:dyDescent="0.3">
      <c r="A121" s="15" t="s">
        <v>438</v>
      </c>
      <c r="B121" s="15" t="s">
        <v>1606</v>
      </c>
      <c r="C121" s="15" t="s">
        <v>1608</v>
      </c>
      <c r="D121" s="15" t="s">
        <v>1715</v>
      </c>
      <c r="E121" s="15" t="s">
        <v>708</v>
      </c>
      <c r="F121" s="15" t="s">
        <v>630</v>
      </c>
      <c r="G121" s="15" t="s">
        <v>1609</v>
      </c>
      <c r="H121" s="15" t="s">
        <v>1566</v>
      </c>
    </row>
    <row r="122" spans="1:9" x14ac:dyDescent="0.3">
      <c r="A122" s="15" t="s">
        <v>435</v>
      </c>
      <c r="B122" s="15" t="s">
        <v>1606</v>
      </c>
      <c r="C122" s="15" t="s">
        <v>1608</v>
      </c>
      <c r="D122" s="15" t="s">
        <v>1716</v>
      </c>
      <c r="E122" s="15" t="s">
        <v>708</v>
      </c>
      <c r="F122" s="15" t="s">
        <v>631</v>
      </c>
      <c r="G122" s="15" t="s">
        <v>1609</v>
      </c>
      <c r="H122" s="15" t="s">
        <v>1566</v>
      </c>
    </row>
    <row r="123" spans="1:9" x14ac:dyDescent="0.3">
      <c r="A123" s="15" t="s">
        <v>436</v>
      </c>
      <c r="B123" s="15" t="s">
        <v>1606</v>
      </c>
      <c r="C123" s="15" t="s">
        <v>1608</v>
      </c>
      <c r="D123" s="15" t="s">
        <v>1717</v>
      </c>
      <c r="E123" s="15" t="s">
        <v>708</v>
      </c>
      <c r="F123" s="15" t="s">
        <v>632</v>
      </c>
      <c r="G123" s="15" t="s">
        <v>1609</v>
      </c>
      <c r="H123" s="15" t="s">
        <v>1566</v>
      </c>
    </row>
    <row r="124" spans="1:9" x14ac:dyDescent="0.3">
      <c r="A124" s="15" t="s">
        <v>437</v>
      </c>
      <c r="B124" s="15" t="s">
        <v>1606</v>
      </c>
      <c r="C124" s="15" t="s">
        <v>1608</v>
      </c>
      <c r="D124" s="15" t="s">
        <v>1718</v>
      </c>
      <c r="E124" s="15" t="s">
        <v>708</v>
      </c>
      <c r="F124" s="15" t="s">
        <v>633</v>
      </c>
      <c r="G124" s="15" t="s">
        <v>1609</v>
      </c>
      <c r="H124" s="15" t="s">
        <v>1566</v>
      </c>
    </row>
    <row r="125" spans="1:9" x14ac:dyDescent="0.3">
      <c r="A125" s="15" t="s">
        <v>440</v>
      </c>
      <c r="B125" s="15" t="s">
        <v>2118</v>
      </c>
      <c r="C125" s="15" t="s">
        <v>1608</v>
      </c>
      <c r="D125" s="26" t="s">
        <v>1719</v>
      </c>
      <c r="E125" s="15" t="s">
        <v>708</v>
      </c>
      <c r="F125" s="15" t="s">
        <v>634</v>
      </c>
      <c r="G125" s="15" t="s">
        <v>588</v>
      </c>
      <c r="H125" s="15" t="s">
        <v>1566</v>
      </c>
    </row>
    <row r="126" spans="1:9" x14ac:dyDescent="0.3">
      <c r="A126" s="15" t="s">
        <v>441</v>
      </c>
      <c r="B126" s="15" t="s">
        <v>2118</v>
      </c>
      <c r="C126" s="15" t="s">
        <v>1608</v>
      </c>
      <c r="D126" s="26" t="s">
        <v>1720</v>
      </c>
      <c r="E126" s="15" t="s">
        <v>708</v>
      </c>
      <c r="F126" s="15" t="s">
        <v>635</v>
      </c>
      <c r="G126" s="15" t="s">
        <v>588</v>
      </c>
      <c r="H126" s="15" t="s">
        <v>1566</v>
      </c>
    </row>
    <row r="127" spans="1:9" x14ac:dyDescent="0.3">
      <c r="A127" s="15" t="s">
        <v>710</v>
      </c>
      <c r="B127" s="15" t="s">
        <v>2118</v>
      </c>
      <c r="C127" s="15" t="s">
        <v>1608</v>
      </c>
      <c r="D127" s="15" t="s">
        <v>1721</v>
      </c>
      <c r="E127" s="15" t="s">
        <v>708</v>
      </c>
      <c r="F127" s="15" t="s">
        <v>636</v>
      </c>
      <c r="G127" s="15" t="s">
        <v>1609</v>
      </c>
      <c r="H127" s="15" t="s">
        <v>1566</v>
      </c>
    </row>
    <row r="128" spans="1:9" x14ac:dyDescent="0.3">
      <c r="A128" s="15" t="s">
        <v>443</v>
      </c>
      <c r="B128" s="15" t="s">
        <v>2118</v>
      </c>
      <c r="C128" s="15" t="s">
        <v>1608</v>
      </c>
      <c r="D128" s="24" t="s">
        <v>1722</v>
      </c>
      <c r="E128" s="15" t="s">
        <v>708</v>
      </c>
      <c r="F128" s="15" t="s">
        <v>637</v>
      </c>
      <c r="G128" s="15" t="s">
        <v>1611</v>
      </c>
      <c r="H128" s="15" t="s">
        <v>1566</v>
      </c>
    </row>
    <row r="129" spans="1:9" x14ac:dyDescent="0.3">
      <c r="A129" s="15" t="s">
        <v>444</v>
      </c>
      <c r="B129" s="15" t="s">
        <v>2118</v>
      </c>
      <c r="C129" s="15" t="s">
        <v>1608</v>
      </c>
      <c r="D129" s="24" t="s">
        <v>1723</v>
      </c>
      <c r="E129" s="15" t="s">
        <v>708</v>
      </c>
      <c r="F129" s="15" t="s">
        <v>638</v>
      </c>
      <c r="G129" s="15" t="s">
        <v>1611</v>
      </c>
      <c r="H129" s="15" t="s">
        <v>1567</v>
      </c>
    </row>
    <row r="130" spans="1:9" x14ac:dyDescent="0.3">
      <c r="A130" s="15" t="s">
        <v>449</v>
      </c>
      <c r="B130" s="15" t="s">
        <v>2118</v>
      </c>
      <c r="C130" s="15" t="s">
        <v>1608</v>
      </c>
      <c r="D130" s="24" t="s">
        <v>1724</v>
      </c>
      <c r="E130" s="15" t="s">
        <v>708</v>
      </c>
      <c r="F130" s="15" t="s">
        <v>639</v>
      </c>
      <c r="G130" s="15" t="s">
        <v>1611</v>
      </c>
      <c r="H130" s="15" t="s">
        <v>1567</v>
      </c>
    </row>
    <row r="131" spans="1:9" x14ac:dyDescent="0.3">
      <c r="A131" s="15" t="s">
        <v>445</v>
      </c>
      <c r="B131" s="15" t="s">
        <v>2118</v>
      </c>
      <c r="C131" s="15" t="s">
        <v>1608</v>
      </c>
      <c r="D131" s="15" t="s">
        <v>1725</v>
      </c>
      <c r="E131" s="15" t="s">
        <v>708</v>
      </c>
      <c r="F131" s="15" t="s">
        <v>640</v>
      </c>
      <c r="G131" s="15" t="s">
        <v>1609</v>
      </c>
      <c r="H131" s="15" t="s">
        <v>1566</v>
      </c>
    </row>
    <row r="132" spans="1:9" x14ac:dyDescent="0.3">
      <c r="A132" s="15" t="s">
        <v>446</v>
      </c>
      <c r="B132" s="15" t="s">
        <v>1836</v>
      </c>
      <c r="C132" s="15" t="s">
        <v>1608</v>
      </c>
      <c r="D132" s="24" t="s">
        <v>1726</v>
      </c>
      <c r="E132" s="15" t="s">
        <v>708</v>
      </c>
      <c r="F132" s="15" t="s">
        <v>641</v>
      </c>
      <c r="G132" s="15" t="s">
        <v>1611</v>
      </c>
      <c r="H132" s="15" t="s">
        <v>1566</v>
      </c>
    </row>
    <row r="133" spans="1:9" x14ac:dyDescent="0.3">
      <c r="A133" s="15" t="s">
        <v>447</v>
      </c>
      <c r="B133" s="15" t="s">
        <v>1836</v>
      </c>
      <c r="C133" s="15" t="s">
        <v>1608</v>
      </c>
      <c r="D133" s="24" t="s">
        <v>1727</v>
      </c>
      <c r="E133" s="15" t="s">
        <v>708</v>
      </c>
      <c r="F133" s="15" t="s">
        <v>642</v>
      </c>
      <c r="G133" s="15" t="s">
        <v>1611</v>
      </c>
      <c r="H133" s="15" t="s">
        <v>1567</v>
      </c>
    </row>
    <row r="134" spans="1:9" x14ac:dyDescent="0.3">
      <c r="A134" s="15" t="s">
        <v>448</v>
      </c>
      <c r="B134" s="15" t="s">
        <v>1836</v>
      </c>
      <c r="C134" s="15" t="s">
        <v>1608</v>
      </c>
      <c r="D134" s="24" t="s">
        <v>1728</v>
      </c>
      <c r="E134" s="15" t="s">
        <v>708</v>
      </c>
      <c r="F134" s="15" t="s">
        <v>643</v>
      </c>
      <c r="G134" s="15" t="s">
        <v>1611</v>
      </c>
      <c r="H134" s="15" t="s">
        <v>1567</v>
      </c>
    </row>
    <row r="135" spans="1:9" x14ac:dyDescent="0.3">
      <c r="A135" s="15" t="s">
        <v>467</v>
      </c>
      <c r="B135" s="15" t="s">
        <v>1836</v>
      </c>
      <c r="C135" s="15" t="s">
        <v>1608</v>
      </c>
      <c r="D135" s="15" t="s">
        <v>1729</v>
      </c>
      <c r="E135" s="15" t="s">
        <v>708</v>
      </c>
      <c r="F135" s="15" t="s">
        <v>644</v>
      </c>
      <c r="G135" s="15" t="s">
        <v>1609</v>
      </c>
      <c r="H135" s="15" t="s">
        <v>1566</v>
      </c>
    </row>
    <row r="136" spans="1:9" x14ac:dyDescent="0.3">
      <c r="A136" s="15" t="s">
        <v>452</v>
      </c>
      <c r="B136" s="15" t="s">
        <v>1836</v>
      </c>
      <c r="C136" s="15" t="s">
        <v>1608</v>
      </c>
      <c r="D136" s="15" t="s">
        <v>1730</v>
      </c>
      <c r="E136" s="15" t="s">
        <v>708</v>
      </c>
      <c r="F136" s="15" t="s">
        <v>645</v>
      </c>
      <c r="G136" s="15" t="s">
        <v>1609</v>
      </c>
      <c r="H136" s="15" t="s">
        <v>1566</v>
      </c>
    </row>
    <row r="137" spans="1:9" x14ac:dyDescent="0.3">
      <c r="A137" s="15" t="s">
        <v>451</v>
      </c>
      <c r="B137" s="15" t="s">
        <v>1836</v>
      </c>
      <c r="C137" s="15" t="s">
        <v>1608</v>
      </c>
      <c r="D137" s="23" t="s">
        <v>1731</v>
      </c>
      <c r="E137" s="15" t="s">
        <v>708</v>
      </c>
      <c r="F137" s="15" t="s">
        <v>646</v>
      </c>
      <c r="G137" s="15" t="s">
        <v>587</v>
      </c>
      <c r="H137" s="15" t="s">
        <v>1566</v>
      </c>
    </row>
    <row r="138" spans="1:9" x14ac:dyDescent="0.3">
      <c r="A138" s="15" t="s">
        <v>450</v>
      </c>
      <c r="B138" s="15" t="s">
        <v>1836</v>
      </c>
      <c r="C138" s="15" t="s">
        <v>1608</v>
      </c>
      <c r="D138" s="15" t="s">
        <v>1732</v>
      </c>
      <c r="E138" s="15" t="s">
        <v>708</v>
      </c>
      <c r="F138" s="15" t="s">
        <v>647</v>
      </c>
      <c r="G138" s="15" t="s">
        <v>1609</v>
      </c>
      <c r="H138" s="15" t="s">
        <v>1566</v>
      </c>
    </row>
    <row r="139" spans="1:9" x14ac:dyDescent="0.3">
      <c r="A139" s="15" t="s">
        <v>453</v>
      </c>
      <c r="B139" s="15" t="s">
        <v>1836</v>
      </c>
      <c r="C139" s="15" t="s">
        <v>1608</v>
      </c>
      <c r="D139" s="15" t="s">
        <v>1733</v>
      </c>
      <c r="E139" s="15" t="s">
        <v>708</v>
      </c>
      <c r="F139" s="15" t="s">
        <v>648</v>
      </c>
      <c r="G139" s="15" t="s">
        <v>1609</v>
      </c>
      <c r="H139" s="15" t="s">
        <v>1566</v>
      </c>
    </row>
    <row r="140" spans="1:9" x14ac:dyDescent="0.3">
      <c r="A140" s="15" t="s">
        <v>454</v>
      </c>
      <c r="B140" s="15" t="s">
        <v>1836</v>
      </c>
      <c r="C140" s="15" t="s">
        <v>1608</v>
      </c>
      <c r="D140" s="15" t="s">
        <v>1734</v>
      </c>
      <c r="E140" s="15" t="s">
        <v>708</v>
      </c>
      <c r="F140" s="15" t="s">
        <v>649</v>
      </c>
      <c r="G140" s="15" t="s">
        <v>1609</v>
      </c>
      <c r="H140" s="15" t="s">
        <v>1566</v>
      </c>
      <c r="I140" s="15" t="s">
        <v>1593</v>
      </c>
    </row>
    <row r="141" spans="1:9" x14ac:dyDescent="0.3">
      <c r="A141" s="15" t="s">
        <v>455</v>
      </c>
      <c r="B141" s="15" t="s">
        <v>1836</v>
      </c>
      <c r="C141" s="15" t="s">
        <v>1608</v>
      </c>
      <c r="D141" s="15" t="s">
        <v>1735</v>
      </c>
      <c r="E141" s="15" t="s">
        <v>708</v>
      </c>
      <c r="F141" s="15" t="s">
        <v>650</v>
      </c>
      <c r="G141" s="15" t="s">
        <v>1609</v>
      </c>
      <c r="H141" s="15" t="s">
        <v>1566</v>
      </c>
      <c r="I141" s="15" t="s">
        <v>1593</v>
      </c>
    </row>
    <row r="142" spans="1:9" x14ac:dyDescent="0.3">
      <c r="A142" s="15" t="s">
        <v>456</v>
      </c>
      <c r="B142" s="15" t="s">
        <v>1836</v>
      </c>
      <c r="C142" s="15" t="s">
        <v>1608</v>
      </c>
      <c r="D142" s="15" t="s">
        <v>1736</v>
      </c>
      <c r="E142" s="15" t="s">
        <v>708</v>
      </c>
      <c r="F142" s="15" t="s">
        <v>651</v>
      </c>
      <c r="G142" s="15" t="s">
        <v>1609</v>
      </c>
      <c r="H142" s="15" t="s">
        <v>1566</v>
      </c>
    </row>
    <row r="143" spans="1:9" x14ac:dyDescent="0.3">
      <c r="A143" s="15" t="s">
        <v>457</v>
      </c>
      <c r="B143" s="15" t="s">
        <v>1836</v>
      </c>
      <c r="C143" s="15" t="s">
        <v>1608</v>
      </c>
      <c r="D143" s="15" t="s">
        <v>1737</v>
      </c>
      <c r="E143" s="15" t="s">
        <v>708</v>
      </c>
      <c r="F143" s="15" t="s">
        <v>652</v>
      </c>
      <c r="G143" s="15" t="s">
        <v>1609</v>
      </c>
      <c r="H143" s="15" t="s">
        <v>1566</v>
      </c>
      <c r="I143" s="15" t="s">
        <v>1594</v>
      </c>
    </row>
    <row r="144" spans="1:9" x14ac:dyDescent="0.3">
      <c r="A144" s="15" t="s">
        <v>458</v>
      </c>
      <c r="B144" s="15" t="s">
        <v>1836</v>
      </c>
      <c r="C144" s="15" t="s">
        <v>1608</v>
      </c>
      <c r="D144" s="23" t="s">
        <v>1738</v>
      </c>
      <c r="E144" s="15" t="s">
        <v>708</v>
      </c>
      <c r="F144" s="15" t="s">
        <v>653</v>
      </c>
      <c r="G144" s="15" t="s">
        <v>587</v>
      </c>
      <c r="H144" s="15" t="s">
        <v>1567</v>
      </c>
    </row>
    <row r="145" spans="1:9" x14ac:dyDescent="0.3">
      <c r="A145" s="15" t="s">
        <v>459</v>
      </c>
      <c r="B145" s="15" t="s">
        <v>1836</v>
      </c>
      <c r="C145" s="15" t="s">
        <v>1608</v>
      </c>
      <c r="D145" s="24" t="s">
        <v>1739</v>
      </c>
      <c r="E145" s="15" t="s">
        <v>708</v>
      </c>
      <c r="F145" s="15" t="s">
        <v>654</v>
      </c>
      <c r="G145" s="15" t="s">
        <v>1611</v>
      </c>
      <c r="H145" s="15" t="s">
        <v>1566</v>
      </c>
    </row>
    <row r="146" spans="1:9" x14ac:dyDescent="0.3">
      <c r="A146" s="15" t="s">
        <v>460</v>
      </c>
      <c r="B146" s="15" t="s">
        <v>1836</v>
      </c>
      <c r="C146" s="15" t="s">
        <v>1608</v>
      </c>
      <c r="D146" s="24" t="s">
        <v>1740</v>
      </c>
      <c r="E146" s="15" t="s">
        <v>708</v>
      </c>
      <c r="F146" s="15" t="s">
        <v>655</v>
      </c>
      <c r="G146" s="15" t="s">
        <v>1611</v>
      </c>
      <c r="H146" s="15" t="s">
        <v>1567</v>
      </c>
    </row>
    <row r="147" spans="1:9" x14ac:dyDescent="0.3">
      <c r="A147" s="15" t="s">
        <v>461</v>
      </c>
      <c r="B147" s="15" t="s">
        <v>1836</v>
      </c>
      <c r="C147" s="15" t="s">
        <v>1608</v>
      </c>
      <c r="D147" s="24" t="s">
        <v>1741</v>
      </c>
      <c r="E147" s="15" t="s">
        <v>708</v>
      </c>
      <c r="F147" s="15" t="s">
        <v>656</v>
      </c>
      <c r="G147" s="15" t="s">
        <v>1611</v>
      </c>
      <c r="H147" s="15" t="s">
        <v>1567</v>
      </c>
    </row>
    <row r="148" spans="1:9" x14ac:dyDescent="0.3">
      <c r="A148" s="15" t="s">
        <v>462</v>
      </c>
      <c r="B148" s="15" t="s">
        <v>1836</v>
      </c>
      <c r="C148" s="15" t="s">
        <v>1608</v>
      </c>
      <c r="D148" s="23" t="s">
        <v>1742</v>
      </c>
      <c r="E148" s="15" t="s">
        <v>708</v>
      </c>
      <c r="F148" s="15" t="s">
        <v>657</v>
      </c>
      <c r="G148" s="15" t="s">
        <v>587</v>
      </c>
      <c r="H148" s="15" t="s">
        <v>1567</v>
      </c>
    </row>
    <row r="149" spans="1:9" x14ac:dyDescent="0.3">
      <c r="A149" s="15" t="s">
        <v>463</v>
      </c>
      <c r="B149" s="15" t="s">
        <v>1836</v>
      </c>
      <c r="C149" s="15" t="s">
        <v>1608</v>
      </c>
      <c r="D149" s="15" t="s">
        <v>1743</v>
      </c>
      <c r="E149" s="15" t="s">
        <v>708</v>
      </c>
      <c r="F149" s="15" t="s">
        <v>658</v>
      </c>
      <c r="G149" s="15" t="s">
        <v>1609</v>
      </c>
      <c r="H149" s="15" t="s">
        <v>1567</v>
      </c>
    </row>
    <row r="150" spans="1:9" x14ac:dyDescent="0.3">
      <c r="A150" s="15" t="s">
        <v>464</v>
      </c>
      <c r="B150" s="15" t="s">
        <v>1838</v>
      </c>
      <c r="C150" s="15" t="s">
        <v>1608</v>
      </c>
      <c r="D150" s="24" t="s">
        <v>1744</v>
      </c>
      <c r="E150" s="15" t="s">
        <v>708</v>
      </c>
      <c r="F150" s="15" t="s">
        <v>659</v>
      </c>
      <c r="G150" s="15" t="s">
        <v>1611</v>
      </c>
      <c r="H150" s="15" t="s">
        <v>1566</v>
      </c>
    </row>
    <row r="151" spans="1:9" x14ac:dyDescent="0.3">
      <c r="A151" s="15" t="s">
        <v>465</v>
      </c>
      <c r="B151" s="15" t="s">
        <v>1838</v>
      </c>
      <c r="C151" s="15" t="s">
        <v>1608</v>
      </c>
      <c r="D151" s="24" t="s">
        <v>1745</v>
      </c>
      <c r="E151" s="15" t="s">
        <v>708</v>
      </c>
      <c r="F151" s="15" t="s">
        <v>660</v>
      </c>
      <c r="G151" s="15" t="s">
        <v>1611</v>
      </c>
      <c r="H151" s="15" t="s">
        <v>1567</v>
      </c>
    </row>
    <row r="152" spans="1:9" x14ac:dyDescent="0.3">
      <c r="A152" s="15" t="s">
        <v>466</v>
      </c>
      <c r="B152" s="15" t="s">
        <v>1838</v>
      </c>
      <c r="C152" s="15" t="s">
        <v>1608</v>
      </c>
      <c r="D152" s="24" t="s">
        <v>1746</v>
      </c>
      <c r="E152" s="15" t="s">
        <v>708</v>
      </c>
      <c r="F152" s="15" t="s">
        <v>661</v>
      </c>
      <c r="G152" s="15" t="s">
        <v>1611</v>
      </c>
      <c r="H152" s="15" t="s">
        <v>1567</v>
      </c>
    </row>
    <row r="153" spans="1:9" x14ac:dyDescent="0.3">
      <c r="A153" s="15" t="s">
        <v>468</v>
      </c>
      <c r="B153" s="15" t="s">
        <v>1838</v>
      </c>
      <c r="C153" s="15" t="s">
        <v>1608</v>
      </c>
      <c r="D153" s="15" t="s">
        <v>1747</v>
      </c>
      <c r="E153" s="15" t="s">
        <v>708</v>
      </c>
      <c r="F153" s="15" t="s">
        <v>662</v>
      </c>
      <c r="G153" s="15" t="s">
        <v>1609</v>
      </c>
      <c r="H153" s="15" t="s">
        <v>1567</v>
      </c>
    </row>
    <row r="154" spans="1:9" x14ac:dyDescent="0.3">
      <c r="A154" s="15" t="s">
        <v>469</v>
      </c>
      <c r="B154" s="15" t="s">
        <v>1838</v>
      </c>
      <c r="C154" s="15" t="s">
        <v>1608</v>
      </c>
      <c r="D154" s="15" t="s">
        <v>1748</v>
      </c>
      <c r="E154" s="15" t="s">
        <v>708</v>
      </c>
      <c r="F154" s="15" t="s">
        <v>663</v>
      </c>
      <c r="G154" s="15" t="s">
        <v>1609</v>
      </c>
      <c r="H154" s="15" t="s">
        <v>1566</v>
      </c>
    </row>
    <row r="155" spans="1:9" x14ac:dyDescent="0.3">
      <c r="A155" s="15" t="s">
        <v>470</v>
      </c>
      <c r="B155" s="15" t="s">
        <v>1838</v>
      </c>
      <c r="C155" s="15" t="s">
        <v>1608</v>
      </c>
      <c r="D155" s="15" t="s">
        <v>1749</v>
      </c>
      <c r="E155" s="15" t="s">
        <v>708</v>
      </c>
      <c r="F155" s="15" t="s">
        <v>664</v>
      </c>
      <c r="G155" s="15" t="s">
        <v>1609</v>
      </c>
      <c r="H155" s="15" t="s">
        <v>1566</v>
      </c>
    </row>
    <row r="156" spans="1:9" x14ac:dyDescent="0.3">
      <c r="A156" s="15" t="s">
        <v>471</v>
      </c>
      <c r="B156" s="15" t="s">
        <v>1838</v>
      </c>
      <c r="C156" s="15" t="s">
        <v>1608</v>
      </c>
      <c r="D156" s="15" t="s">
        <v>1750</v>
      </c>
      <c r="E156" s="15" t="s">
        <v>708</v>
      </c>
      <c r="F156" s="15" t="s">
        <v>665</v>
      </c>
      <c r="G156" s="15" t="s">
        <v>1609</v>
      </c>
      <c r="H156" s="15" t="s">
        <v>1566</v>
      </c>
    </row>
    <row r="157" spans="1:9" x14ac:dyDescent="0.3">
      <c r="A157" s="15" t="s">
        <v>472</v>
      </c>
      <c r="B157" s="15" t="s">
        <v>1838</v>
      </c>
      <c r="C157" s="15" t="s">
        <v>1608</v>
      </c>
      <c r="D157" s="15" t="s">
        <v>1751</v>
      </c>
      <c r="E157" s="15" t="s">
        <v>708</v>
      </c>
      <c r="F157" s="15" t="s">
        <v>666</v>
      </c>
      <c r="G157" s="15" t="s">
        <v>1609</v>
      </c>
      <c r="H157" s="15" t="s">
        <v>1566</v>
      </c>
    </row>
    <row r="158" spans="1:9" x14ac:dyDescent="0.3">
      <c r="A158" s="15" t="s">
        <v>473</v>
      </c>
      <c r="B158" s="15" t="s">
        <v>1838</v>
      </c>
      <c r="C158" s="15" t="s">
        <v>1608</v>
      </c>
      <c r="D158" s="15" t="s">
        <v>1752</v>
      </c>
      <c r="E158" s="15" t="s">
        <v>708</v>
      </c>
      <c r="F158" s="15" t="s">
        <v>667</v>
      </c>
      <c r="G158" s="15" t="s">
        <v>1609</v>
      </c>
      <c r="H158" s="15" t="s">
        <v>1566</v>
      </c>
      <c r="I158" s="15" t="s">
        <v>1595</v>
      </c>
    </row>
    <row r="159" spans="1:9" x14ac:dyDescent="0.3">
      <c r="A159" s="15" t="s">
        <v>474</v>
      </c>
      <c r="B159" s="15" t="s">
        <v>1838</v>
      </c>
      <c r="C159" s="15" t="s">
        <v>1608</v>
      </c>
      <c r="D159" s="15" t="s">
        <v>1753</v>
      </c>
      <c r="E159" s="15" t="s">
        <v>708</v>
      </c>
      <c r="F159" s="15" t="s">
        <v>668</v>
      </c>
      <c r="G159" s="15" t="s">
        <v>1609</v>
      </c>
      <c r="H159" s="15" t="s">
        <v>1566</v>
      </c>
      <c r="I159" s="15" t="s">
        <v>1595</v>
      </c>
    </row>
    <row r="160" spans="1:9" x14ac:dyDescent="0.3">
      <c r="A160" s="15" t="s">
        <v>475</v>
      </c>
      <c r="B160" s="15" t="s">
        <v>1838</v>
      </c>
      <c r="C160" s="15" t="s">
        <v>1608</v>
      </c>
      <c r="D160" s="15" t="s">
        <v>1754</v>
      </c>
      <c r="E160" s="15" t="s">
        <v>708</v>
      </c>
      <c r="F160" s="15" t="s">
        <v>669</v>
      </c>
      <c r="G160" s="15" t="s">
        <v>1609</v>
      </c>
      <c r="H160" s="15" t="s">
        <v>1566</v>
      </c>
    </row>
    <row r="161" spans="1:9" x14ac:dyDescent="0.3">
      <c r="A161" s="15" t="s">
        <v>476</v>
      </c>
      <c r="B161" s="15" t="s">
        <v>1838</v>
      </c>
      <c r="C161" s="15" t="s">
        <v>1608</v>
      </c>
      <c r="D161" s="15" t="s">
        <v>1755</v>
      </c>
      <c r="E161" s="15" t="s">
        <v>708</v>
      </c>
      <c r="F161" s="15" t="s">
        <v>670</v>
      </c>
      <c r="G161" s="15" t="s">
        <v>1609</v>
      </c>
      <c r="H161" s="15" t="s">
        <v>1566</v>
      </c>
      <c r="I161" s="15" t="s">
        <v>1596</v>
      </c>
    </row>
    <row r="162" spans="1:9" x14ac:dyDescent="0.3">
      <c r="A162" s="15" t="s">
        <v>477</v>
      </c>
      <c r="B162" s="15" t="s">
        <v>1838</v>
      </c>
      <c r="C162" s="15" t="s">
        <v>1608</v>
      </c>
      <c r="D162" s="15" t="s">
        <v>1756</v>
      </c>
      <c r="E162" s="15" t="s">
        <v>708</v>
      </c>
      <c r="F162" s="15" t="s">
        <v>671</v>
      </c>
      <c r="G162" s="15" t="s">
        <v>1609</v>
      </c>
      <c r="H162" s="15" t="s">
        <v>1566</v>
      </c>
    </row>
    <row r="163" spans="1:9" x14ac:dyDescent="0.3">
      <c r="A163" s="15" t="s">
        <v>479</v>
      </c>
      <c r="B163" s="15" t="s">
        <v>1838</v>
      </c>
      <c r="C163" s="15" t="s">
        <v>1608</v>
      </c>
      <c r="D163" s="15" t="s">
        <v>1757</v>
      </c>
      <c r="E163" s="15" t="s">
        <v>708</v>
      </c>
      <c r="F163" s="15" t="s">
        <v>672</v>
      </c>
      <c r="G163" s="15" t="s">
        <v>1610</v>
      </c>
      <c r="H163" s="15" t="s">
        <v>1566</v>
      </c>
      <c r="I163" s="15" t="s">
        <v>1597</v>
      </c>
    </row>
    <row r="164" spans="1:9" x14ac:dyDescent="0.3">
      <c r="A164" s="15" t="s">
        <v>480</v>
      </c>
      <c r="B164" s="15" t="s">
        <v>1840</v>
      </c>
      <c r="C164" s="15" t="s">
        <v>1608</v>
      </c>
      <c r="D164" s="24" t="s">
        <v>1758</v>
      </c>
      <c r="E164" s="15" t="s">
        <v>708</v>
      </c>
      <c r="F164" s="15" t="s">
        <v>673</v>
      </c>
      <c r="G164" s="15" t="s">
        <v>1611</v>
      </c>
      <c r="H164" s="15" t="s">
        <v>1566</v>
      </c>
    </row>
    <row r="165" spans="1:9" x14ac:dyDescent="0.3">
      <c r="A165" s="15" t="s">
        <v>481</v>
      </c>
      <c r="B165" s="15" t="s">
        <v>1840</v>
      </c>
      <c r="C165" s="15" t="s">
        <v>1608</v>
      </c>
      <c r="D165" s="24" t="s">
        <v>1759</v>
      </c>
      <c r="E165" s="15" t="s">
        <v>708</v>
      </c>
      <c r="F165" s="15" t="s">
        <v>674</v>
      </c>
      <c r="G165" s="15" t="s">
        <v>1611</v>
      </c>
      <c r="H165" s="15" t="s">
        <v>1567</v>
      </c>
    </row>
    <row r="166" spans="1:9" x14ac:dyDescent="0.3">
      <c r="A166" s="15" t="s">
        <v>482</v>
      </c>
      <c r="B166" s="15" t="s">
        <v>1840</v>
      </c>
      <c r="C166" s="15" t="s">
        <v>1608</v>
      </c>
      <c r="D166" s="24" t="s">
        <v>1760</v>
      </c>
      <c r="E166" s="15" t="s">
        <v>708</v>
      </c>
      <c r="F166" s="15" t="s">
        <v>675</v>
      </c>
      <c r="G166" s="15" t="s">
        <v>1611</v>
      </c>
      <c r="H166" s="15" t="s">
        <v>1567</v>
      </c>
    </row>
    <row r="167" spans="1:9" x14ac:dyDescent="0.3">
      <c r="A167" s="15" t="s">
        <v>483</v>
      </c>
      <c r="B167" s="15" t="s">
        <v>1840</v>
      </c>
      <c r="C167" s="15" t="s">
        <v>1608</v>
      </c>
      <c r="D167" s="15" t="s">
        <v>1761</v>
      </c>
      <c r="E167" s="15" t="s">
        <v>708</v>
      </c>
      <c r="F167" s="15" t="s">
        <v>676</v>
      </c>
      <c r="G167" s="15" t="s">
        <v>1609</v>
      </c>
      <c r="H167" s="15" t="s">
        <v>1566</v>
      </c>
    </row>
    <row r="168" spans="1:9" x14ac:dyDescent="0.3">
      <c r="A168" s="15" t="s">
        <v>484</v>
      </c>
      <c r="B168" s="15" t="s">
        <v>1840</v>
      </c>
      <c r="C168" s="15" t="s">
        <v>1608</v>
      </c>
      <c r="D168" s="15" t="s">
        <v>1762</v>
      </c>
      <c r="E168" s="15" t="s">
        <v>708</v>
      </c>
      <c r="F168" s="15" t="s">
        <v>677</v>
      </c>
      <c r="G168" s="15" t="s">
        <v>1609</v>
      </c>
      <c r="H168" s="15" t="s">
        <v>1566</v>
      </c>
    </row>
    <row r="169" spans="1:9" x14ac:dyDescent="0.3">
      <c r="A169" s="15" t="s">
        <v>485</v>
      </c>
      <c r="B169" s="15" t="s">
        <v>1840</v>
      </c>
      <c r="C169" s="15" t="s">
        <v>1608</v>
      </c>
      <c r="D169" s="15" t="s">
        <v>1763</v>
      </c>
      <c r="E169" s="15" t="s">
        <v>708</v>
      </c>
      <c r="F169" s="15" t="s">
        <v>678</v>
      </c>
      <c r="G169" s="15" t="s">
        <v>1609</v>
      </c>
      <c r="H169" s="15" t="s">
        <v>1566</v>
      </c>
    </row>
    <row r="170" spans="1:9" x14ac:dyDescent="0.3">
      <c r="A170" s="15" t="s">
        <v>486</v>
      </c>
      <c r="B170" s="15" t="s">
        <v>1840</v>
      </c>
      <c r="C170" s="15" t="s">
        <v>1608</v>
      </c>
      <c r="D170" s="15" t="s">
        <v>1764</v>
      </c>
      <c r="E170" s="15" t="s">
        <v>708</v>
      </c>
      <c r="F170" s="15" t="s">
        <v>679</v>
      </c>
      <c r="G170" s="15" t="s">
        <v>1609</v>
      </c>
      <c r="H170" s="15" t="s">
        <v>1566</v>
      </c>
    </row>
    <row r="171" spans="1:9" x14ac:dyDescent="0.3">
      <c r="A171" s="15" t="s">
        <v>487</v>
      </c>
      <c r="B171" s="15" t="s">
        <v>1840</v>
      </c>
      <c r="C171" s="15" t="s">
        <v>1608</v>
      </c>
      <c r="D171" s="15" t="s">
        <v>1765</v>
      </c>
      <c r="E171" s="15" t="s">
        <v>708</v>
      </c>
      <c r="F171" s="15" t="s">
        <v>680</v>
      </c>
      <c r="G171" s="15" t="s">
        <v>1609</v>
      </c>
      <c r="H171" s="15" t="s">
        <v>1566</v>
      </c>
    </row>
    <row r="172" spans="1:9" x14ac:dyDescent="0.3">
      <c r="A172" s="15" t="s">
        <v>488</v>
      </c>
      <c r="B172" s="15" t="s">
        <v>1840</v>
      </c>
      <c r="C172" s="15" t="s">
        <v>1608</v>
      </c>
      <c r="D172" s="15" t="s">
        <v>1766</v>
      </c>
      <c r="E172" s="15" t="s">
        <v>708</v>
      </c>
      <c r="F172" s="15" t="s">
        <v>491</v>
      </c>
      <c r="G172" s="15" t="s">
        <v>1609</v>
      </c>
      <c r="H172" s="15" t="s">
        <v>1566</v>
      </c>
    </row>
    <row r="173" spans="1:9" x14ac:dyDescent="0.3">
      <c r="A173" s="15" t="s">
        <v>489</v>
      </c>
      <c r="B173" s="15" t="s">
        <v>1840</v>
      </c>
      <c r="C173" s="15" t="s">
        <v>1608</v>
      </c>
      <c r="D173" s="15" t="s">
        <v>1767</v>
      </c>
      <c r="E173" s="15" t="s">
        <v>708</v>
      </c>
      <c r="F173" s="15" t="s">
        <v>681</v>
      </c>
      <c r="G173" s="15" t="s">
        <v>1609</v>
      </c>
      <c r="H173" s="15" t="s">
        <v>1566</v>
      </c>
    </row>
    <row r="174" spans="1:9" x14ac:dyDescent="0.3">
      <c r="A174" s="15" t="s">
        <v>490</v>
      </c>
      <c r="B174" s="15" t="s">
        <v>1840</v>
      </c>
      <c r="C174" s="15" t="s">
        <v>1608</v>
      </c>
      <c r="D174" s="15" t="s">
        <v>1768</v>
      </c>
      <c r="E174" s="15" t="s">
        <v>708</v>
      </c>
      <c r="F174" s="15" t="s">
        <v>682</v>
      </c>
      <c r="G174" s="15" t="s">
        <v>1610</v>
      </c>
      <c r="H174" s="15" t="s">
        <v>1566</v>
      </c>
      <c r="I174" s="15" t="s">
        <v>1598</v>
      </c>
    </row>
    <row r="175" spans="1:9" x14ac:dyDescent="0.3">
      <c r="A175" s="15" t="s">
        <v>492</v>
      </c>
      <c r="B175" s="15" t="s">
        <v>1842</v>
      </c>
      <c r="C175" s="15" t="s">
        <v>1608</v>
      </c>
      <c r="D175" s="24" t="s">
        <v>1769</v>
      </c>
      <c r="E175" s="15" t="s">
        <v>708</v>
      </c>
      <c r="F175" s="15" t="s">
        <v>683</v>
      </c>
      <c r="G175" s="15" t="s">
        <v>1611</v>
      </c>
      <c r="H175" s="15" t="s">
        <v>1566</v>
      </c>
    </row>
    <row r="176" spans="1:9" x14ac:dyDescent="0.3">
      <c r="A176" s="15" t="s">
        <v>493</v>
      </c>
      <c r="B176" s="15" t="s">
        <v>1842</v>
      </c>
      <c r="C176" s="15" t="s">
        <v>1608</v>
      </c>
      <c r="D176" s="24" t="s">
        <v>1770</v>
      </c>
      <c r="E176" s="15" t="s">
        <v>708</v>
      </c>
      <c r="F176" s="15" t="s">
        <v>684</v>
      </c>
      <c r="G176" s="15" t="s">
        <v>1611</v>
      </c>
      <c r="H176" s="15" t="s">
        <v>1567</v>
      </c>
    </row>
    <row r="177" spans="1:9" x14ac:dyDescent="0.3">
      <c r="A177" s="15" t="s">
        <v>494</v>
      </c>
      <c r="B177" s="15" t="s">
        <v>1842</v>
      </c>
      <c r="C177" s="15" t="s">
        <v>1608</v>
      </c>
      <c r="D177" s="24" t="s">
        <v>1771</v>
      </c>
      <c r="E177" s="15" t="s">
        <v>708</v>
      </c>
      <c r="F177" s="15" t="s">
        <v>685</v>
      </c>
      <c r="G177" s="15" t="s">
        <v>1611</v>
      </c>
      <c r="H177" s="15" t="s">
        <v>1567</v>
      </c>
    </row>
    <row r="178" spans="1:9" x14ac:dyDescent="0.3">
      <c r="A178" s="15" t="s">
        <v>495</v>
      </c>
      <c r="B178" s="15" t="s">
        <v>1842</v>
      </c>
      <c r="C178" s="15" t="s">
        <v>1608</v>
      </c>
      <c r="D178" s="15" t="s">
        <v>1772</v>
      </c>
      <c r="E178" s="15" t="s">
        <v>708</v>
      </c>
      <c r="F178" s="15" t="s">
        <v>686</v>
      </c>
      <c r="G178" s="15" t="s">
        <v>1609</v>
      </c>
      <c r="H178" s="15" t="s">
        <v>1566</v>
      </c>
    </row>
    <row r="179" spans="1:9" x14ac:dyDescent="0.3">
      <c r="A179" s="15" t="s">
        <v>496</v>
      </c>
      <c r="B179" s="15" t="s">
        <v>1842</v>
      </c>
      <c r="C179" s="15" t="s">
        <v>1608</v>
      </c>
      <c r="D179" s="15" t="s">
        <v>1773</v>
      </c>
      <c r="E179" s="15" t="s">
        <v>708</v>
      </c>
      <c r="F179" s="15" t="s">
        <v>687</v>
      </c>
      <c r="G179" s="15" t="s">
        <v>1609</v>
      </c>
      <c r="H179" s="15" t="s">
        <v>1566</v>
      </c>
    </row>
    <row r="180" spans="1:9" x14ac:dyDescent="0.3">
      <c r="A180" s="15" t="s">
        <v>497</v>
      </c>
      <c r="B180" s="15" t="s">
        <v>1842</v>
      </c>
      <c r="C180" s="15" t="s">
        <v>1608</v>
      </c>
      <c r="D180" s="15" t="s">
        <v>1774</v>
      </c>
      <c r="E180" s="15" t="s">
        <v>708</v>
      </c>
      <c r="F180" s="15" t="s">
        <v>688</v>
      </c>
      <c r="G180" s="15" t="s">
        <v>1609</v>
      </c>
      <c r="H180" s="15" t="s">
        <v>1566</v>
      </c>
    </row>
    <row r="181" spans="1:9" x14ac:dyDescent="0.3">
      <c r="A181" s="15" t="s">
        <v>498</v>
      </c>
      <c r="B181" s="15" t="s">
        <v>1842</v>
      </c>
      <c r="C181" s="15" t="s">
        <v>1608</v>
      </c>
      <c r="D181" s="15" t="s">
        <v>1775</v>
      </c>
      <c r="E181" s="15" t="s">
        <v>708</v>
      </c>
      <c r="F181" s="15" t="s">
        <v>689</v>
      </c>
      <c r="G181" s="15" t="s">
        <v>1609</v>
      </c>
      <c r="H181" s="15" t="s">
        <v>1566</v>
      </c>
    </row>
    <row r="182" spans="1:9" x14ac:dyDescent="0.3">
      <c r="A182" s="15" t="s">
        <v>499</v>
      </c>
      <c r="B182" s="15" t="s">
        <v>1842</v>
      </c>
      <c r="C182" s="15" t="s">
        <v>1608</v>
      </c>
      <c r="D182" s="15" t="s">
        <v>1776</v>
      </c>
      <c r="E182" s="15" t="s">
        <v>708</v>
      </c>
      <c r="F182" s="15" t="s">
        <v>690</v>
      </c>
      <c r="G182" s="15" t="s">
        <v>1609</v>
      </c>
      <c r="H182" s="15" t="s">
        <v>1566</v>
      </c>
    </row>
    <row r="183" spans="1:9" x14ac:dyDescent="0.3">
      <c r="A183" s="15" t="s">
        <v>500</v>
      </c>
      <c r="B183" s="15" t="s">
        <v>1842</v>
      </c>
      <c r="C183" s="15" t="s">
        <v>1608</v>
      </c>
      <c r="D183" s="15" t="s">
        <v>1777</v>
      </c>
      <c r="E183" s="15" t="s">
        <v>708</v>
      </c>
      <c r="F183" s="15" t="s">
        <v>691</v>
      </c>
      <c r="G183" s="15" t="s">
        <v>1610</v>
      </c>
      <c r="H183" s="15" t="s">
        <v>1566</v>
      </c>
      <c r="I183" s="15" t="s">
        <v>1599</v>
      </c>
    </row>
    <row r="184" spans="1:9" x14ac:dyDescent="0.3">
      <c r="A184" s="15" t="s">
        <v>502</v>
      </c>
      <c r="B184" s="15" t="s">
        <v>1844</v>
      </c>
      <c r="C184" s="15" t="s">
        <v>1608</v>
      </c>
      <c r="D184" s="24" t="s">
        <v>1778</v>
      </c>
      <c r="E184" s="15" t="s">
        <v>708</v>
      </c>
      <c r="F184" s="15" t="s">
        <v>692</v>
      </c>
      <c r="G184" s="15" t="s">
        <v>1611</v>
      </c>
      <c r="H184" s="15" t="s">
        <v>1566</v>
      </c>
    </row>
    <row r="185" spans="1:9" x14ac:dyDescent="0.3">
      <c r="A185" s="15" t="s">
        <v>503</v>
      </c>
      <c r="B185" s="15" t="s">
        <v>1844</v>
      </c>
      <c r="C185" s="15" t="s">
        <v>1608</v>
      </c>
      <c r="D185" s="24" t="s">
        <v>1779</v>
      </c>
      <c r="E185" s="15" t="s">
        <v>708</v>
      </c>
      <c r="F185" s="15" t="s">
        <v>693</v>
      </c>
      <c r="G185" s="15" t="s">
        <v>1611</v>
      </c>
      <c r="H185" s="15" t="s">
        <v>1567</v>
      </c>
    </row>
    <row r="186" spans="1:9" x14ac:dyDescent="0.3">
      <c r="A186" s="15" t="s">
        <v>504</v>
      </c>
      <c r="B186" s="15" t="s">
        <v>1844</v>
      </c>
      <c r="C186" s="15" t="s">
        <v>1608</v>
      </c>
      <c r="D186" s="24" t="s">
        <v>1780</v>
      </c>
      <c r="E186" s="15" t="s">
        <v>708</v>
      </c>
      <c r="F186" s="15" t="s">
        <v>694</v>
      </c>
      <c r="G186" s="15" t="s">
        <v>1611</v>
      </c>
      <c r="H186" s="15" t="s">
        <v>1567</v>
      </c>
    </row>
    <row r="187" spans="1:9" x14ac:dyDescent="0.3">
      <c r="A187" s="15" t="s">
        <v>501</v>
      </c>
      <c r="B187" s="15" t="s">
        <v>1844</v>
      </c>
      <c r="C187" s="15" t="s">
        <v>1608</v>
      </c>
      <c r="D187" s="23" t="s">
        <v>1781</v>
      </c>
      <c r="E187" s="15" t="s">
        <v>708</v>
      </c>
      <c r="F187" s="15" t="s">
        <v>695</v>
      </c>
      <c r="G187" s="15" t="s">
        <v>587</v>
      </c>
      <c r="H187" s="15" t="s">
        <v>1566</v>
      </c>
    </row>
    <row r="188" spans="1:9" x14ac:dyDescent="0.3">
      <c r="A188" s="15" t="s">
        <v>505</v>
      </c>
      <c r="B188" s="15" t="s">
        <v>1844</v>
      </c>
      <c r="C188" s="15" t="s">
        <v>1608</v>
      </c>
      <c r="D188" s="15" t="s">
        <v>1782</v>
      </c>
      <c r="E188" s="15" t="s">
        <v>708</v>
      </c>
      <c r="F188" s="15" t="s">
        <v>696</v>
      </c>
      <c r="G188" s="15" t="s">
        <v>1609</v>
      </c>
      <c r="H188" s="15" t="s">
        <v>1566</v>
      </c>
    </row>
    <row r="189" spans="1:9" x14ac:dyDescent="0.3">
      <c r="A189" s="15" t="s">
        <v>506</v>
      </c>
      <c r="B189" s="15" t="s">
        <v>1844</v>
      </c>
      <c r="C189" s="15" t="s">
        <v>1608</v>
      </c>
      <c r="D189" s="15" t="s">
        <v>1783</v>
      </c>
      <c r="E189" s="15" t="s">
        <v>708</v>
      </c>
      <c r="F189" s="15" t="s">
        <v>697</v>
      </c>
      <c r="G189" s="15" t="s">
        <v>1609</v>
      </c>
      <c r="H189" s="15" t="s">
        <v>1566</v>
      </c>
    </row>
    <row r="190" spans="1:9" x14ac:dyDescent="0.3">
      <c r="A190" s="15" t="s">
        <v>507</v>
      </c>
      <c r="B190" s="15" t="s">
        <v>1844</v>
      </c>
      <c r="C190" s="15" t="s">
        <v>1608</v>
      </c>
      <c r="D190" s="15" t="s">
        <v>1784</v>
      </c>
      <c r="E190" s="15" t="s">
        <v>708</v>
      </c>
      <c r="F190" s="15" t="s">
        <v>698</v>
      </c>
      <c r="G190" s="15" t="s">
        <v>1609</v>
      </c>
      <c r="H190" s="15" t="s">
        <v>1566</v>
      </c>
    </row>
    <row r="191" spans="1:9" x14ac:dyDescent="0.3">
      <c r="A191" s="15" t="s">
        <v>508</v>
      </c>
      <c r="B191" s="15" t="s">
        <v>1844</v>
      </c>
      <c r="C191" s="15" t="s">
        <v>1608</v>
      </c>
      <c r="D191" s="15" t="s">
        <v>1785</v>
      </c>
      <c r="E191" s="15" t="s">
        <v>708</v>
      </c>
      <c r="F191" s="15" t="s">
        <v>699</v>
      </c>
      <c r="G191" s="15" t="s">
        <v>1609</v>
      </c>
      <c r="H191" s="15" t="s">
        <v>1566</v>
      </c>
    </row>
    <row r="192" spans="1:9" x14ac:dyDescent="0.3">
      <c r="A192" s="15" t="s">
        <v>509</v>
      </c>
      <c r="B192" s="15" t="s">
        <v>1844</v>
      </c>
      <c r="C192" s="15" t="s">
        <v>1608</v>
      </c>
      <c r="D192" s="15" t="s">
        <v>1786</v>
      </c>
      <c r="E192" s="15" t="s">
        <v>708</v>
      </c>
      <c r="F192" s="15" t="s">
        <v>700</v>
      </c>
      <c r="G192" s="15" t="s">
        <v>1609</v>
      </c>
      <c r="H192" s="15" t="s">
        <v>1566</v>
      </c>
    </row>
    <row r="193" spans="1:9" x14ac:dyDescent="0.3">
      <c r="A193" s="15" t="s">
        <v>510</v>
      </c>
      <c r="B193" s="15" t="s">
        <v>1844</v>
      </c>
      <c r="C193" s="15" t="s">
        <v>1608</v>
      </c>
      <c r="D193" s="15" t="s">
        <v>1787</v>
      </c>
      <c r="E193" s="15" t="s">
        <v>708</v>
      </c>
      <c r="F193" s="15" t="s">
        <v>701</v>
      </c>
      <c r="G193" s="15" t="s">
        <v>1609</v>
      </c>
      <c r="H193" s="15" t="s">
        <v>1566</v>
      </c>
    </row>
    <row r="194" spans="1:9" x14ac:dyDescent="0.3">
      <c r="A194" s="15" t="s">
        <v>511</v>
      </c>
      <c r="B194" s="15" t="s">
        <v>1844</v>
      </c>
      <c r="C194" s="15" t="s">
        <v>1608</v>
      </c>
      <c r="D194" s="15" t="s">
        <v>1788</v>
      </c>
      <c r="E194" s="15" t="s">
        <v>708</v>
      </c>
      <c r="F194" s="15" t="s">
        <v>702</v>
      </c>
      <c r="G194" s="15" t="s">
        <v>1609</v>
      </c>
      <c r="H194" s="15" t="s">
        <v>1566</v>
      </c>
      <c r="I194" s="15" t="s">
        <v>1600</v>
      </c>
    </row>
    <row r="195" spans="1:9" x14ac:dyDescent="0.3">
      <c r="A195" s="15" t="s">
        <v>512</v>
      </c>
      <c r="B195" s="15" t="s">
        <v>1844</v>
      </c>
      <c r="C195" s="15" t="s">
        <v>1608</v>
      </c>
      <c r="D195" s="15" t="s">
        <v>1789</v>
      </c>
      <c r="E195" s="15" t="s">
        <v>708</v>
      </c>
      <c r="F195" s="15" t="s">
        <v>703</v>
      </c>
      <c r="G195" s="15" t="s">
        <v>1609</v>
      </c>
      <c r="H195" s="15" t="s">
        <v>1566</v>
      </c>
      <c r="I195" s="15" t="s">
        <v>1600</v>
      </c>
    </row>
    <row r="196" spans="1:9" x14ac:dyDescent="0.3">
      <c r="A196" s="15" t="s">
        <v>513</v>
      </c>
      <c r="B196" s="15" t="s">
        <v>1844</v>
      </c>
      <c r="C196" s="15" t="s">
        <v>1608</v>
      </c>
      <c r="D196" s="15" t="s">
        <v>1790</v>
      </c>
      <c r="E196" s="15" t="s">
        <v>708</v>
      </c>
      <c r="F196" s="15" t="s">
        <v>704</v>
      </c>
      <c r="G196" s="15" t="s">
        <v>1609</v>
      </c>
      <c r="H196" s="15" t="s">
        <v>1566</v>
      </c>
    </row>
    <row r="197" spans="1:9" x14ac:dyDescent="0.3">
      <c r="A197" s="15" t="s">
        <v>514</v>
      </c>
      <c r="B197" s="15" t="s">
        <v>1844</v>
      </c>
      <c r="C197" s="15" t="s">
        <v>1608</v>
      </c>
      <c r="D197" s="15" t="s">
        <v>1791</v>
      </c>
      <c r="E197" s="15" t="s">
        <v>708</v>
      </c>
      <c r="F197" s="15" t="s">
        <v>705</v>
      </c>
      <c r="G197" s="15" t="s">
        <v>1609</v>
      </c>
      <c r="H197" s="15" t="s">
        <v>1566</v>
      </c>
      <c r="I197" s="15" t="s">
        <v>1601</v>
      </c>
    </row>
    <row r="198" spans="1:9" x14ac:dyDescent="0.3">
      <c r="A198" s="15" t="s">
        <v>515</v>
      </c>
      <c r="B198" s="15" t="s">
        <v>1844</v>
      </c>
      <c r="C198" s="15" t="s">
        <v>1608</v>
      </c>
      <c r="D198" s="15" t="s">
        <v>1792</v>
      </c>
      <c r="E198" s="15" t="s">
        <v>708</v>
      </c>
      <c r="F198" s="15" t="s">
        <v>706</v>
      </c>
      <c r="G198" s="15" t="s">
        <v>1609</v>
      </c>
      <c r="H198" s="15" t="s">
        <v>1566</v>
      </c>
    </row>
    <row r="199" spans="1:9" x14ac:dyDescent="0.3">
      <c r="A199" s="15" t="s">
        <v>516</v>
      </c>
      <c r="B199" s="15" t="s">
        <v>1844</v>
      </c>
      <c r="C199" s="15" t="s">
        <v>1608</v>
      </c>
      <c r="D199" s="15" t="s">
        <v>1793</v>
      </c>
      <c r="E199" s="15" t="s">
        <v>708</v>
      </c>
      <c r="F199" s="15" t="s">
        <v>707</v>
      </c>
      <c r="G199" s="15" t="s">
        <v>1610</v>
      </c>
      <c r="H199" s="15" t="s">
        <v>1566</v>
      </c>
      <c r="I199" s="15" t="s">
        <v>1602</v>
      </c>
    </row>
  </sheetData>
  <sheetProtection algorithmName="SHA-512" hashValue="m+23PtSuYxekSCS+oa1QqRZ72JK/tr+kW+8nSHEdDfPB1E8l6JWWS+XJ/KqR5f16P20Et2tuS50lUY+aOJkTdQ==" saltValue="rIgfcr8gKeeL+ju9KKi7IA==" spinCount="100000" sheet="1" objects="1" scenarios="1" selectLockedCells="1"/>
  <mergeCells count="76">
    <mergeCell ref="S52:T52"/>
    <mergeCell ref="V42:Z42"/>
    <mergeCell ref="V2:Z2"/>
    <mergeCell ref="S1:Z1"/>
    <mergeCell ref="V37:Z37"/>
    <mergeCell ref="V38:Z38"/>
    <mergeCell ref="V39:Z39"/>
    <mergeCell ref="V40:Z40"/>
    <mergeCell ref="V41:Z41"/>
    <mergeCell ref="V31:Z31"/>
    <mergeCell ref="V32:Z32"/>
    <mergeCell ref="V34:Z34"/>
    <mergeCell ref="V35:Z35"/>
    <mergeCell ref="V36:Z36"/>
    <mergeCell ref="V26:Z26"/>
    <mergeCell ref="V27:Z27"/>
    <mergeCell ref="V20:Z20"/>
    <mergeCell ref="V21:Z21"/>
    <mergeCell ref="V22:Z22"/>
    <mergeCell ref="V24:Z24"/>
    <mergeCell ref="V25:Z25"/>
    <mergeCell ref="V23:Z23"/>
    <mergeCell ref="V18:Z18"/>
    <mergeCell ref="V19:Z19"/>
    <mergeCell ref="V6:Z6"/>
    <mergeCell ref="V8:Z8"/>
    <mergeCell ref="V9:Z9"/>
    <mergeCell ref="V10:Z10"/>
    <mergeCell ref="V11:Z11"/>
    <mergeCell ref="V12:Z12"/>
    <mergeCell ref="V14:Z14"/>
    <mergeCell ref="V15:Z15"/>
    <mergeCell ref="V16:Z16"/>
    <mergeCell ref="V17:Z17"/>
    <mergeCell ref="V13:Z13"/>
    <mergeCell ref="V7:Z7"/>
    <mergeCell ref="V3:Z3"/>
    <mergeCell ref="V4:Z4"/>
    <mergeCell ref="V5:Z5"/>
    <mergeCell ref="A1:I1"/>
    <mergeCell ref="M12:P12"/>
    <mergeCell ref="L1:P1"/>
    <mergeCell ref="M2:P2"/>
    <mergeCell ref="M3:P3"/>
    <mergeCell ref="M4:P4"/>
    <mergeCell ref="M5:P5"/>
    <mergeCell ref="M6:P6"/>
    <mergeCell ref="M7:P7"/>
    <mergeCell ref="M8:P8"/>
    <mergeCell ref="M9:P9"/>
    <mergeCell ref="M10:P10"/>
    <mergeCell ref="M11:P11"/>
    <mergeCell ref="M24:P24"/>
    <mergeCell ref="M13:P13"/>
    <mergeCell ref="M14:P14"/>
    <mergeCell ref="M15:P15"/>
    <mergeCell ref="M16:P16"/>
    <mergeCell ref="M17:P17"/>
    <mergeCell ref="M18:P18"/>
    <mergeCell ref="M19:P19"/>
    <mergeCell ref="M20:P20"/>
    <mergeCell ref="M21:P21"/>
    <mergeCell ref="M22:P22"/>
    <mergeCell ref="M23:P23"/>
    <mergeCell ref="V33:Z33"/>
    <mergeCell ref="M31:P31"/>
    <mergeCell ref="M32:P32"/>
    <mergeCell ref="M25:P25"/>
    <mergeCell ref="M26:P26"/>
    <mergeCell ref="M27:P27"/>
    <mergeCell ref="M28:P28"/>
    <mergeCell ref="M29:P29"/>
    <mergeCell ref="M30:P30"/>
    <mergeCell ref="V29:Z29"/>
    <mergeCell ref="V30:Z30"/>
    <mergeCell ref="V28:Z28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9D08F-5142-4C96-AA6A-52271B9DEE17}">
  <sheetPr codeName="Hoja1"/>
  <dimension ref="C2:F12"/>
  <sheetViews>
    <sheetView workbookViewId="0"/>
  </sheetViews>
  <sheetFormatPr baseColWidth="10" defaultRowHeight="14.4" x14ac:dyDescent="0.3"/>
  <cols>
    <col min="6" max="6" width="12.5546875" bestFit="1" customWidth="1"/>
  </cols>
  <sheetData>
    <row r="2" spans="3:6" x14ac:dyDescent="0.3">
      <c r="C2" s="109" t="s">
        <v>588</v>
      </c>
      <c r="D2" s="109" t="s">
        <v>2665</v>
      </c>
      <c r="E2" s="109" t="s">
        <v>587</v>
      </c>
      <c r="F2" s="109" t="s">
        <v>2666</v>
      </c>
    </row>
    <row r="3" spans="3:6" x14ac:dyDescent="0.3">
      <c r="C3" s="71"/>
      <c r="D3" s="71"/>
      <c r="E3" s="71"/>
      <c r="F3" s="113"/>
    </row>
    <row r="4" spans="3:6" x14ac:dyDescent="0.3">
      <c r="C4" s="71"/>
      <c r="D4" s="71"/>
      <c r="E4" s="71"/>
      <c r="F4" s="113"/>
    </row>
    <row r="5" spans="3:6" x14ac:dyDescent="0.3">
      <c r="C5" s="71"/>
      <c r="D5" s="71"/>
      <c r="E5" s="71"/>
      <c r="F5" s="113"/>
    </row>
    <row r="6" spans="3:6" x14ac:dyDescent="0.3">
      <c r="C6" s="71"/>
      <c r="D6" s="71"/>
      <c r="E6" s="71"/>
      <c r="F6" s="113"/>
    </row>
    <row r="7" spans="3:6" x14ac:dyDescent="0.3">
      <c r="C7" s="71"/>
      <c r="D7" s="71"/>
      <c r="E7" s="71"/>
      <c r="F7" s="114"/>
    </row>
    <row r="8" spans="3:6" x14ac:dyDescent="0.3">
      <c r="C8" s="71"/>
      <c r="D8" s="71"/>
      <c r="E8" s="71"/>
      <c r="F8" s="113"/>
    </row>
    <row r="9" spans="3:6" x14ac:dyDescent="0.3">
      <c r="C9" s="71"/>
      <c r="D9" s="71"/>
      <c r="E9" s="71"/>
      <c r="F9" s="113"/>
    </row>
    <row r="10" spans="3:6" x14ac:dyDescent="0.3">
      <c r="C10" s="71"/>
      <c r="D10" s="71"/>
      <c r="E10" s="71"/>
      <c r="F10" s="113"/>
    </row>
    <row r="11" spans="3:6" x14ac:dyDescent="0.3">
      <c r="C11" s="71"/>
      <c r="D11" s="71"/>
      <c r="E11" s="71"/>
      <c r="F11" s="113"/>
    </row>
    <row r="12" spans="3:6" x14ac:dyDescent="0.3">
      <c r="C12" s="71"/>
      <c r="D12" s="71"/>
      <c r="E12" s="71"/>
      <c r="F12" s="114"/>
    </row>
  </sheetData>
  <sheetProtection algorithmName="SHA-512" hashValue="VClifYWreU2Ar2D4QPEovuXnz8NMUHqHtuSYQYi5Ftc5LuhH4yWCwJEo6SP82SX+YF0IGZkrTHIsipGDsohlbQ==" saltValue="//4QY11TJcAoEj/IeVUKb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74</vt:i4>
      </vt:variant>
    </vt:vector>
  </HeadingPairs>
  <TitlesOfParts>
    <vt:vector size="77" baseType="lpstr">
      <vt:lpstr>INICIO</vt:lpstr>
      <vt:lpstr>FRM_CLINICO</vt:lpstr>
      <vt:lpstr>DB_PACIENTES</vt:lpstr>
      <vt:lpstr>ANIOS</vt:lpstr>
      <vt:lpstr>FRM_SEGUIMIENTO!BLK_ALOJAMIENTO</vt:lpstr>
      <vt:lpstr>FRM_SEGUIMIENTO!BLK_AMBU_12M</vt:lpstr>
      <vt:lpstr>FRM_SEGUIMIENTO!BLK_AMBU_3M</vt:lpstr>
      <vt:lpstr>FRM_SEGUIMIENTO!BLK_AMBU_40S</vt:lpstr>
      <vt:lpstr>FRM_SEGUIMIENTO!BLK_AMBU_6M</vt:lpstr>
      <vt:lpstr>FRM_SEGUIMIENTO!BLK_AMBU_9M</vt:lpstr>
      <vt:lpstr>FRM_SEGUIMIENTO!BLK_AMBU_BASE</vt:lpstr>
      <vt:lpstr>FRM_CLINICO!BLK_CLIN_NAC</vt:lpstr>
      <vt:lpstr>FRM_SEGUIMIENTO!BLK_SALA_PARTOS</vt:lpstr>
      <vt:lpstr>FRM_SEGUIMIENTO!BLK_SEG_ID</vt:lpstr>
      <vt:lpstr>FRM_SEGUIMIENTO!BLK_URN</vt:lpstr>
      <vt:lpstr>FRM_SEGUIMIENTO!CHK_DIAG</vt:lpstr>
      <vt:lpstr>FRM_CLINICO!DATE_CELLS</vt:lpstr>
      <vt:lpstr>FRM_SEGUIMIENTO!DATE_CELLS</vt:lpstr>
      <vt:lpstr>PRUEBAS!DATE_CELLS</vt:lpstr>
      <vt:lpstr>FRM_CLINICO!DEC_CELLS</vt:lpstr>
      <vt:lpstr>FRM_SEGUIMIENTO!DEC_CELLS</vt:lpstr>
      <vt:lpstr>PRUEBAS!DEC_CELLS</vt:lpstr>
      <vt:lpstr>FRM_CLINICO!INT_CELLS</vt:lpstr>
      <vt:lpstr>FRM_SEGUIMIENTO!INT_CELLS</vt:lpstr>
      <vt:lpstr>PRUEBAS!INT_CELLS</vt:lpstr>
      <vt:lpstr>lista0</vt:lpstr>
      <vt:lpstr>lista1</vt:lpstr>
      <vt:lpstr>lista10</vt:lpstr>
      <vt:lpstr>lista11</vt:lpstr>
      <vt:lpstr>lista12</vt:lpstr>
      <vt:lpstr>lista13</vt:lpstr>
      <vt:lpstr>lista14</vt:lpstr>
      <vt:lpstr>lista15</vt:lpstr>
      <vt:lpstr>lista16</vt:lpstr>
      <vt:lpstr>lista17</vt:lpstr>
      <vt:lpstr>lista18</vt:lpstr>
      <vt:lpstr>lista19</vt:lpstr>
      <vt:lpstr>lista2</vt:lpstr>
      <vt:lpstr>lista20</vt:lpstr>
      <vt:lpstr>lista21</vt:lpstr>
      <vt:lpstr>lista22</vt:lpstr>
      <vt:lpstr>lista23</vt:lpstr>
      <vt:lpstr>lista24</vt:lpstr>
      <vt:lpstr>lista25</vt:lpstr>
      <vt:lpstr>lista26</vt:lpstr>
      <vt:lpstr>lista3</vt:lpstr>
      <vt:lpstr>lista4</vt:lpstr>
      <vt:lpstr>lista5</vt:lpstr>
      <vt:lpstr>lista6</vt:lpstr>
      <vt:lpstr>lista7</vt:lpstr>
      <vt:lpstr>lista8</vt:lpstr>
      <vt:lpstr>lista9</vt:lpstr>
      <vt:lpstr>MESES</vt:lpstr>
      <vt:lpstr>PAISES</vt:lpstr>
      <vt:lpstr>FRM_SEGUIMIENTO!REQ_CELLS_ALOJ</vt:lpstr>
      <vt:lpstr>FRM_SEGUIMIENTO!REQ_CELLS_AMBU_12M</vt:lpstr>
      <vt:lpstr>FRM_SEGUIMIENTO!REQ_CELLS_AMBU_3M</vt:lpstr>
      <vt:lpstr>FRM_SEGUIMIENTO!REQ_CELLS_AMBU_40S</vt:lpstr>
      <vt:lpstr>FRM_SEGUIMIENTO!REQ_CELLS_AMBU_6M</vt:lpstr>
      <vt:lpstr>FRM_SEGUIMIENTO!REQ_CELLS_AMBU_9M</vt:lpstr>
      <vt:lpstr>FRM_SEGUIMIENTO!REQ_CELLS_AMBU_BASE</vt:lpstr>
      <vt:lpstr>FRM_CLINICO!REQ_CELLS_CLIN</vt:lpstr>
      <vt:lpstr>PRUEBAS!REQ_CELLS_PRUEBAS</vt:lpstr>
      <vt:lpstr>FRM_SEGUIMIENTO!REQ_CELLS_SALA</vt:lpstr>
      <vt:lpstr>FRM_SEGUIMIENTO!REQ_CELLS_SEG_ID</vt:lpstr>
      <vt:lpstr>FRM_SEGUIMIENTO!REQ_CELLS_URN</vt:lpstr>
      <vt:lpstr>FRM_SEGUIMIENTO!SEC_ALOJ_INPUTS</vt:lpstr>
      <vt:lpstr>FRM_SEGUIMIENTO!SEC_AMBU_12M_INPUTS</vt:lpstr>
      <vt:lpstr>FRM_SEGUIMIENTO!SEC_AMBU_3M_INPUTS</vt:lpstr>
      <vt:lpstr>FRM_SEGUIMIENTO!SEC_AMBU_40S_INPUTS</vt:lpstr>
      <vt:lpstr>FRM_SEGUIMIENTO!SEC_AMBU_6M_INPUTS</vt:lpstr>
      <vt:lpstr>FRM_SEGUIMIENTO!SEC_AMBU_9M_INPUTS</vt:lpstr>
      <vt:lpstr>FRM_SEGUIMIENTO!SEC_AMBU_BASE_INPUTS</vt:lpstr>
      <vt:lpstr>FRM_CLINICO!SEC_CLIN_INPUTS</vt:lpstr>
      <vt:lpstr>FRM_SEGUIMIENTO!SEC_SALA_INPUTS</vt:lpstr>
      <vt:lpstr>FRM_SEGUIMIENTO!SEC_SEG_ID_INPUTS</vt:lpstr>
      <vt:lpstr>FRM_SEGUIMIENTO!SEC_URN_INPUTS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Cerón</dc:creator>
  <cp:lastModifiedBy>Fabio Cerón</cp:lastModifiedBy>
  <dcterms:created xsi:type="dcterms:W3CDTF">2025-12-11T16:53:07Z</dcterms:created>
  <dcterms:modified xsi:type="dcterms:W3CDTF">2026-03-09T06:59:44Z</dcterms:modified>
</cp:coreProperties>
</file>